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2691" documentId="8_{8558FE56-BEB7-4382-AE68-F56D24DA0E15}" xr6:coauthVersionLast="47" xr6:coauthVersionMax="47" xr10:uidLastSave="{77C7CE7F-2259-453F-A8AF-905533F7E963}"/>
  <bookViews>
    <workbookView xWindow="-110" yWindow="-110" windowWidth="29020" windowHeight="18700" xr2:uid="{F1880F1D-7BC3-4014-BB23-7A0FB32A85E3}"/>
  </bookViews>
  <sheets>
    <sheet name="excel_output - 2025-12-05T14592" sheetId="1" r:id="rId1"/>
    <sheet name="Sheet12.10.25" sheetId="2" r:id="rId2"/>
    <sheet name="Sheet1" sheetId="3" r:id="rId3"/>
    <sheet name="Sheet2" sheetId="4" r:id="rId4"/>
  </sheets>
  <definedNames>
    <definedName name="_xlnm._FilterDatabase" localSheetId="0" hidden="1">'excel_output - 2025-12-05T14592'!$A$1:$BC$99</definedName>
    <definedName name="_xlnm._FilterDatabase" localSheetId="2" hidden="1">Sheet1!$B$3:$F$40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" i="1" l="1"/>
  <c r="M99" i="1"/>
  <c r="M94" i="1"/>
  <c r="M95" i="1"/>
  <c r="M96" i="1"/>
  <c r="M97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2" i="1"/>
  <c r="F8" i="2"/>
  <c r="F9" i="2"/>
  <c r="F10" i="2"/>
  <c r="F3" i="2" l="1"/>
  <c r="F4" i="2"/>
  <c r="F5" i="2"/>
  <c r="F6" i="2"/>
  <c r="F7" i="2"/>
  <c r="F2" i="2"/>
</calcChain>
</file>

<file path=xl/sharedStrings.xml><?xml version="1.0" encoding="utf-8"?>
<sst xmlns="http://schemas.openxmlformats.org/spreadsheetml/2006/main" count="2468" uniqueCount="406">
  <si>
    <t>REC_NO</t>
  </si>
  <si>
    <t>DWG</t>
  </si>
  <si>
    <t>REV_NO</t>
  </si>
  <si>
    <t>SCHED_ID</t>
  </si>
  <si>
    <t>CAREA</t>
  </si>
  <si>
    <t>CODE</t>
  </si>
  <si>
    <t>SYSTEM</t>
  </si>
  <si>
    <t>LINE_AREA</t>
  </si>
  <si>
    <t>SPOOL_FR</t>
  </si>
  <si>
    <t>SZE</t>
  </si>
  <si>
    <t>FLD_QTY</t>
  </si>
  <si>
    <t>FLD_WHRS</t>
  </si>
  <si>
    <t>UOM</t>
  </si>
  <si>
    <t>PIPE_SPEC</t>
  </si>
  <si>
    <t>ERN_QTY</t>
  </si>
  <si>
    <t>EARN_WHRS</t>
  </si>
  <si>
    <t>M1_PCT</t>
  </si>
  <si>
    <t>M1_DESC</t>
  </si>
  <si>
    <t>M2_PCT</t>
  </si>
  <si>
    <t>M2_DESC</t>
  </si>
  <si>
    <t>M3_PCT</t>
  </si>
  <si>
    <t>M3_DESC</t>
  </si>
  <si>
    <t>M4_PCT</t>
  </si>
  <si>
    <t>M4_DESC</t>
  </si>
  <si>
    <t>M5_PCT</t>
  </si>
  <si>
    <t>M5_DESC</t>
  </si>
  <si>
    <t>M6_PCT</t>
  </si>
  <si>
    <t>M6_DESC</t>
  </si>
  <si>
    <t>M7_PCT</t>
  </si>
  <si>
    <t>M7_DESC</t>
  </si>
  <si>
    <t>M8_PCT</t>
  </si>
  <si>
    <t>M8_DESC</t>
  </si>
  <si>
    <t>TEST_PKG1</t>
  </si>
  <si>
    <t>CWP</t>
  </si>
  <si>
    <t>IWP_PLAN_NO</t>
  </si>
  <si>
    <t>SPL_CNT</t>
  </si>
  <si>
    <t>IWP_FOREMAN</t>
  </si>
  <si>
    <t>IWP_GEN_FOREMAN</t>
  </si>
  <si>
    <t>WHRS_UNIT</t>
  </si>
  <si>
    <t>M1</t>
  </si>
  <si>
    <t>M2</t>
  </si>
  <si>
    <t>M3</t>
  </si>
  <si>
    <t>M4</t>
  </si>
  <si>
    <t>M5</t>
  </si>
  <si>
    <t>M6</t>
  </si>
  <si>
    <t>M7</t>
  </si>
  <si>
    <t>M8</t>
  </si>
  <si>
    <t>VAR_AREA</t>
  </si>
  <si>
    <t>PAINT_SPEC</t>
  </si>
  <si>
    <t>INSU_SPEC</t>
  </si>
  <si>
    <t>HEAT_TRACE_SPEC</t>
  </si>
  <si>
    <t>TA_BANK</t>
  </si>
  <si>
    <t>TA_BAY</t>
  </si>
  <si>
    <t>TA_LEVEL</t>
  </si>
  <si>
    <t>PSLIP</t>
  </si>
  <si>
    <t>08331</t>
  </si>
  <si>
    <t>08332</t>
  </si>
  <si>
    <t>08211</t>
  </si>
  <si>
    <t>08212</t>
  </si>
  <si>
    <t>PF U/R</t>
  </si>
  <si>
    <t>Type</t>
  </si>
  <si>
    <t>Carbon Steel  Field  Run Pipe 2.5" and under</t>
  </si>
  <si>
    <t>Carbon Steel Field Run Pipe 3" to 10"</t>
  </si>
  <si>
    <t>Carbon Steel Field Run Pipe 12" and over</t>
  </si>
  <si>
    <t>Stainless Steel Alloy Field Run Pipe 2.5" and under</t>
  </si>
  <si>
    <t>Stainless Steel Alloy Field Run Pipe 3" to 10"</t>
  </si>
  <si>
    <t>Stainless Steel Alloy Field Run Pipe 12" and over</t>
  </si>
  <si>
    <t>cost code</t>
  </si>
  <si>
    <t>08213</t>
  </si>
  <si>
    <t>PF Adjust</t>
  </si>
  <si>
    <t>Base U/R</t>
  </si>
  <si>
    <t>08221</t>
  </si>
  <si>
    <t>08222</t>
  </si>
  <si>
    <t>08223</t>
  </si>
  <si>
    <t>UG Speciality Matl Pipe 2.5 and under</t>
  </si>
  <si>
    <t>U/G Speciailty Matl Pipe 3-10</t>
  </si>
  <si>
    <t>check</t>
  </si>
  <si>
    <t>hdpe 12"</t>
  </si>
  <si>
    <t>chevron</t>
  </si>
  <si>
    <t>T&amp;M</t>
  </si>
  <si>
    <t>frac 14(10")5.2-10" non bathtub/4.1- 10" bathtub</t>
  </si>
  <si>
    <t>chevron T&amp;M</t>
  </si>
  <si>
    <t>08333</t>
  </si>
  <si>
    <t>UG Speciality Matl Pipe 2.5 and under12 and over</t>
  </si>
  <si>
    <t>120-DR-590-SHT01</t>
  </si>
  <si>
    <t>CN-2760</t>
  </si>
  <si>
    <t>DR</t>
  </si>
  <si>
    <t>120-DR-590-SHT01-1</t>
  </si>
  <si>
    <t>02</t>
  </si>
  <si>
    <t>LF</t>
  </si>
  <si>
    <t>01HDPE</t>
  </si>
  <si>
    <t>Receive</t>
  </si>
  <si>
    <t>Stage</t>
  </si>
  <si>
    <t>Erect</t>
  </si>
  <si>
    <t>Connect</t>
  </si>
  <si>
    <t>Jeep/Trace</t>
  </si>
  <si>
    <t>Mech. Sell Off</t>
  </si>
  <si>
    <t>Test</t>
  </si>
  <si>
    <t>Post</t>
  </si>
  <si>
    <t>PI-402-001</t>
  </si>
  <si>
    <t>Bob</t>
  </si>
  <si>
    <t>N/A</t>
  </si>
  <si>
    <t>120-DR-590-SHT02</t>
  </si>
  <si>
    <t>120-DR-590-SHT02-1</t>
  </si>
  <si>
    <t>Jose</t>
  </si>
  <si>
    <t>120-DR-591-SHT01</t>
  </si>
  <si>
    <t>120-DR-591-SHT01-1</t>
  </si>
  <si>
    <t>Juan</t>
  </si>
  <si>
    <t>120-DR-591-SHT02</t>
  </si>
  <si>
    <t>120-DR-591-SHT02-1</t>
  </si>
  <si>
    <t>Jerry</t>
  </si>
  <si>
    <t>120-GTD-501-SHT01</t>
  </si>
  <si>
    <t>CN-2880</t>
  </si>
  <si>
    <t>GTD</t>
  </si>
  <si>
    <t>120-GTD-501-SHT01-1</t>
  </si>
  <si>
    <t>PI-401-002</t>
  </si>
  <si>
    <t>Sandra</t>
  </si>
  <si>
    <t>120-GTD-501-SHT01-2</t>
  </si>
  <si>
    <t>06</t>
  </si>
  <si>
    <t>120-GTD-501-SHT02</t>
  </si>
  <si>
    <t>120-GTD-501-SHT02-1</t>
  </si>
  <si>
    <t>120-GTD-501-SHT02-2</t>
  </si>
  <si>
    <t>120-GTD-501-SHT03</t>
  </si>
  <si>
    <t>120-GTD-501-SHT03-1</t>
  </si>
  <si>
    <t>120-GTD-501-SHT03-2</t>
  </si>
  <si>
    <t>120-GTD-501-SHT04</t>
  </si>
  <si>
    <t>120-GTD-501-SHT04-1</t>
  </si>
  <si>
    <t>120-GTD-519-SHT01</t>
  </si>
  <si>
    <t>120-GTD-519-SHT01-1</t>
  </si>
  <si>
    <t>120-GTD-519-SHT01-2</t>
  </si>
  <si>
    <t>120-GTD-519-SHT02</t>
  </si>
  <si>
    <t>120-GTD-519-SHT02-1</t>
  </si>
  <si>
    <t>120-GTD-519-SHT02-2</t>
  </si>
  <si>
    <t>120-GTD-519-SHT03</t>
  </si>
  <si>
    <t>120-GTD-519-SHT03-1</t>
  </si>
  <si>
    <t>120-GTD-519-SHT04</t>
  </si>
  <si>
    <t>120-GTD-519-SHT04-1</t>
  </si>
  <si>
    <t>120-GTD-537-SHT01</t>
  </si>
  <si>
    <t>120-GTD-537-SHT01-1</t>
  </si>
  <si>
    <t>120-GTD-537-SHT01-2</t>
  </si>
  <si>
    <t>120-GTD-537-SHT02</t>
  </si>
  <si>
    <t>120-GTD-537-SHT02-1</t>
  </si>
  <si>
    <t>120-GTD-537-SHT02-2</t>
  </si>
  <si>
    <t>120-GTD-537-SHT03</t>
  </si>
  <si>
    <t>120-GTD-537-SHT03-1</t>
  </si>
  <si>
    <t>120-GTD-537-SHT04</t>
  </si>
  <si>
    <t>120-GTD-537-SHT04-1</t>
  </si>
  <si>
    <t>120-IA-1210-SHT01</t>
  </si>
  <si>
    <t>CN-2910</t>
  </si>
  <si>
    <t>IA</t>
  </si>
  <si>
    <t>120-IA-1210-SHT01-1</t>
  </si>
  <si>
    <t>01CS150</t>
  </si>
  <si>
    <t>Supts</t>
  </si>
  <si>
    <t>Punch</t>
  </si>
  <si>
    <t>PI-401-003</t>
  </si>
  <si>
    <t>CTSU1000-D011</t>
  </si>
  <si>
    <t>120-IA-1210-SHT02</t>
  </si>
  <si>
    <t>120-IA-1210-SHT02-1</t>
  </si>
  <si>
    <t>120-IA-1210-SHT03</t>
  </si>
  <si>
    <t>120-IA-1210-SHT03-1</t>
  </si>
  <si>
    <t>120-IA-1210-SHT04</t>
  </si>
  <si>
    <t>120-IA-1210-SHT04-1</t>
  </si>
  <si>
    <t>120-IA-1210-SHT05</t>
  </si>
  <si>
    <t>120-IA-1210-SHT05-1</t>
  </si>
  <si>
    <t>120-IA-1230-SHT01</t>
  </si>
  <si>
    <t>120-IA-1230-SHT01-1</t>
  </si>
  <si>
    <t>UNASSIGNED</t>
  </si>
  <si>
    <t>CTCE1000-D014</t>
  </si>
  <si>
    <t>120-IA-1230-SHT02</t>
  </si>
  <si>
    <t>120-IA-1230-SHT02-1</t>
  </si>
  <si>
    <t>120-IA-1230-SHT03</t>
  </si>
  <si>
    <t>120-IA-1230-SHT03-1</t>
  </si>
  <si>
    <t>120-IA-1230-SHT04</t>
  </si>
  <si>
    <t>120-IA-1230-SHT04-1</t>
  </si>
  <si>
    <t>120-IA-1230-SHT05</t>
  </si>
  <si>
    <t>120-IA-1230-SHT05-1</t>
  </si>
  <si>
    <t>120-IA-1230-SHT06</t>
  </si>
  <si>
    <t>120-IA-1230-SHT06-1</t>
  </si>
  <si>
    <t>120-GCW-802-SHT01</t>
  </si>
  <si>
    <t>CN-2850</t>
  </si>
  <si>
    <t>GCW</t>
  </si>
  <si>
    <t>120-GCW-802-SHT01-1</t>
  </si>
  <si>
    <t>08</t>
  </si>
  <si>
    <t>120-GCW-802-SHT02</t>
  </si>
  <si>
    <t>120-GCW-802-SHT02-1</t>
  </si>
  <si>
    <t>120-IA-1227-SHT01</t>
  </si>
  <si>
    <t>120-IA-1227-SHT01-1</t>
  </si>
  <si>
    <t>PI-402-003</t>
  </si>
  <si>
    <t>CTSU1000</t>
  </si>
  <si>
    <t>120-IA-1227-SHT02</t>
  </si>
  <si>
    <t>120-IA-1227-SHT02-1</t>
  </si>
  <si>
    <t>120-IA-1227-SHT03</t>
  </si>
  <si>
    <t>120-IA-1227-SHT03-1</t>
  </si>
  <si>
    <t>120-IA-1227-SHT04</t>
  </si>
  <si>
    <t>120-IA-1227-SHT04-1</t>
  </si>
  <si>
    <t>120-DR-587-SHT01</t>
  </si>
  <si>
    <t>120-DR-587-SHT01-1</t>
  </si>
  <si>
    <t>120-DR-587-SHT02</t>
  </si>
  <si>
    <t>120-DR-587-SHT02-1</t>
  </si>
  <si>
    <t>120-NH3-2103-SHT01</t>
  </si>
  <si>
    <t>CN-2970</t>
  </si>
  <si>
    <t>NH3</t>
  </si>
  <si>
    <t>120-NH3-2103-SHT01-1</t>
  </si>
  <si>
    <t>03</t>
  </si>
  <si>
    <t>PI-401-001</t>
  </si>
  <si>
    <t>120-NH3-2103-SHT02</t>
  </si>
  <si>
    <t>120-NH3-2103-SHT02-1</t>
  </si>
  <si>
    <t>120-NH3-2103-SHT03</t>
  </si>
  <si>
    <t>120-NH3-2103-SHT03-1</t>
  </si>
  <si>
    <t>120-PW-1920-SHT01</t>
  </si>
  <si>
    <t>PW</t>
  </si>
  <si>
    <t>120-PW-1920-SHT01-1</t>
  </si>
  <si>
    <t>01.5</t>
  </si>
  <si>
    <t>120-PW-1920-SHT02</t>
  </si>
  <si>
    <t>120-PW-1920-SHT02-1</t>
  </si>
  <si>
    <t>120-PW-1920-SHT03</t>
  </si>
  <si>
    <t>120-PW-1920-SHT03-1</t>
  </si>
  <si>
    <t>120-DR-565-SHT01</t>
  </si>
  <si>
    <t>120-DR-565-SHT01-1</t>
  </si>
  <si>
    <t>120-DR-588-SHT01</t>
  </si>
  <si>
    <t>120-DR-588-SHT01-1</t>
  </si>
  <si>
    <t>120-DR-594-SHT01</t>
  </si>
  <si>
    <t>120-DR-594-SHT01-1</t>
  </si>
  <si>
    <t>120-DR-595-SHT01</t>
  </si>
  <si>
    <t>120-DR-595-SHT01-1</t>
  </si>
  <si>
    <t>120-DW-1727-SHT01</t>
  </si>
  <si>
    <t>CN-2790</t>
  </si>
  <si>
    <t>DW</t>
  </si>
  <si>
    <t>120-DW-1727-SHT01-1</t>
  </si>
  <si>
    <t>120-FG-200-SHT03</t>
  </si>
  <si>
    <t>CN-2820</t>
  </si>
  <si>
    <t>FG</t>
  </si>
  <si>
    <t>120-FG-200-SHT02-1</t>
  </si>
  <si>
    <t>10</t>
  </si>
  <si>
    <t>01CS300</t>
  </si>
  <si>
    <t>PI-401-004</t>
  </si>
  <si>
    <t>120-FG-203-SHT03</t>
  </si>
  <si>
    <t>120-FG-203-SHT05</t>
  </si>
  <si>
    <t>120-FG-203-SHT05-1</t>
  </si>
  <si>
    <t>120-FG-211-SHT02</t>
  </si>
  <si>
    <t>120-FG-211-SHT02-1</t>
  </si>
  <si>
    <t>120-FG-211-SHT04</t>
  </si>
  <si>
    <t>120-FG-211-SHT04-1</t>
  </si>
  <si>
    <t>120-FG-219-SHT01</t>
  </si>
  <si>
    <t>120-FG-219-SHT01-1</t>
  </si>
  <si>
    <t>120-FG-219-SHT04</t>
  </si>
  <si>
    <t>120-FG-219-SHT04-01</t>
  </si>
  <si>
    <t>120-FG-227-SHT01</t>
  </si>
  <si>
    <t>120-FG-227-SHT01-1</t>
  </si>
  <si>
    <t>01CS600</t>
  </si>
  <si>
    <t>120-GCW-805-SHT01</t>
  </si>
  <si>
    <t>120-GCW-805-SHT01-1</t>
  </si>
  <si>
    <t>120-GCW-805-SHT01-2</t>
  </si>
  <si>
    <t>120-GCW-808-SHT01</t>
  </si>
  <si>
    <t>120-GCW-808-SHT01-1</t>
  </si>
  <si>
    <t>120-GCW-808-SHT01-2</t>
  </si>
  <si>
    <t>120-GCW-810-SHT01</t>
  </si>
  <si>
    <t>120-GCW-810-SHT01-1</t>
  </si>
  <si>
    <t>120-GCW-813-SHT01</t>
  </si>
  <si>
    <t>120-GCW-813-SHT01-1</t>
  </si>
  <si>
    <t>120-GCW-813-SHT01-2</t>
  </si>
  <si>
    <t>120-GCW-816-SHT01</t>
  </si>
  <si>
    <t>120-GCW-816-SHT01-1</t>
  </si>
  <si>
    <t>PI-402-002</t>
  </si>
  <si>
    <t>120-GCW-816-SHT01-2</t>
  </si>
  <si>
    <t>120-GCW-818-SHT01</t>
  </si>
  <si>
    <t>120-GCW-818-SHT01-1</t>
  </si>
  <si>
    <t>120-GCW-821-SHT01</t>
  </si>
  <si>
    <t>120-GCW-821-SHT01-1</t>
  </si>
  <si>
    <t>120-GCW-821-SHT01-2</t>
  </si>
  <si>
    <t>120-GCW-824-SHT01</t>
  </si>
  <si>
    <t>120-GCW-824-SHT01-1</t>
  </si>
  <si>
    <t>120-GCW-824-SHT01-2</t>
  </si>
  <si>
    <t>120-IA-1212-SHT01</t>
  </si>
  <si>
    <t>120-IA-1212-SHT01-1</t>
  </si>
  <si>
    <t>120-IA-1213-SHT01</t>
  </si>
  <si>
    <t>120-IA-1213-SHT01-1</t>
  </si>
  <si>
    <t>120-IA-1229-SHT01</t>
  </si>
  <si>
    <t>120-IA-1229-SHT01-1</t>
  </si>
  <si>
    <t>120-IA-1421-SHT01</t>
  </si>
  <si>
    <t>120-IA-1421-SHT01-1</t>
  </si>
  <si>
    <t>01</t>
  </si>
  <si>
    <t>120-IA-1422-SHT01</t>
  </si>
  <si>
    <t>120-IA-1422-SHT01-1</t>
  </si>
  <si>
    <t>120-IA-1423-SHT01</t>
  </si>
  <si>
    <t>120-IA-1423-SHT01-1</t>
  </si>
  <si>
    <t>120-NH3-2105-SHT01</t>
  </si>
  <si>
    <t>120-NH3-2105-SHT01-1</t>
  </si>
  <si>
    <t>120-NH3-2107-SHT01</t>
  </si>
  <si>
    <t>120-NH3-2107-SHT01-1</t>
  </si>
  <si>
    <t>120-PW-1909-SHT01</t>
  </si>
  <si>
    <t>120-PW-1909-SHT01-1</t>
  </si>
  <si>
    <t>120-PW-1911-SHT01</t>
  </si>
  <si>
    <t>120-PW-1911-SHT01-1</t>
  </si>
  <si>
    <t>120-PW-1913-SHT01</t>
  </si>
  <si>
    <t>120-PW-1913-SHT01-1</t>
  </si>
  <si>
    <t>120-PW-1915-SHT01</t>
  </si>
  <si>
    <t>120-PW-1915-SHT01-1</t>
  </si>
  <si>
    <t>120-SW-1002-SHT01</t>
  </si>
  <si>
    <t>CN-3000</t>
  </si>
  <si>
    <t>SW</t>
  </si>
  <si>
    <t>120-SW-1002-SHT01-1</t>
  </si>
  <si>
    <t>FIREWATER</t>
  </si>
  <si>
    <t>120-IA-1219-SHT01</t>
  </si>
  <si>
    <t>120-IA-1219-SHT01-1</t>
  </si>
  <si>
    <t>120-IA-1220-SHT01</t>
  </si>
  <si>
    <t>120-IA-1220-SHT01-1</t>
  </si>
  <si>
    <t>120-NH3-2100-SHT01</t>
  </si>
  <si>
    <t>120-NH3-2100-SHT01-1</t>
  </si>
  <si>
    <t>PI-402-004</t>
  </si>
  <si>
    <t>PI-402-005</t>
  </si>
  <si>
    <t>PI-402-006</t>
  </si>
  <si>
    <t>PI-402-007</t>
  </si>
  <si>
    <t>PI-402-008</t>
  </si>
  <si>
    <t>PI-402-009</t>
  </si>
  <si>
    <t>IWP</t>
  </si>
  <si>
    <t>Manhours</t>
  </si>
  <si>
    <t>Footage</t>
  </si>
  <si>
    <t>PI-401-005</t>
  </si>
  <si>
    <t>PI-401-006</t>
  </si>
  <si>
    <t>PI-401-007</t>
  </si>
  <si>
    <t>PI-401-008</t>
  </si>
  <si>
    <t>PI-401-009</t>
  </si>
  <si>
    <t>PI-401-010</t>
  </si>
  <si>
    <t>PI-401-011</t>
  </si>
  <si>
    <t>PI-401-012</t>
  </si>
  <si>
    <t>PI-401-013</t>
  </si>
  <si>
    <t>PI-401-014</t>
  </si>
  <si>
    <t>PI-401-015</t>
  </si>
  <si>
    <t>120-FG-203-SHT03-1</t>
  </si>
  <si>
    <t>PI-401-016</t>
  </si>
  <si>
    <t>PI-403-003</t>
  </si>
  <si>
    <t>PI-403-002</t>
  </si>
  <si>
    <t>Prime</t>
  </si>
  <si>
    <t>Discipline</t>
  </si>
  <si>
    <t>Pipe</t>
  </si>
  <si>
    <t>Code</t>
  </si>
  <si>
    <t>08112</t>
  </si>
  <si>
    <t>Description</t>
  </si>
  <si>
    <t>08111</t>
  </si>
  <si>
    <t>FR CS 2.5&lt;</t>
  </si>
  <si>
    <t>FR CS &gt;2.5</t>
  </si>
  <si>
    <t>08113</t>
  </si>
  <si>
    <t>08114</t>
  </si>
  <si>
    <t>test</t>
  </si>
  <si>
    <t>Civil</t>
  </si>
  <si>
    <t>04</t>
  </si>
  <si>
    <t>04110</t>
  </si>
  <si>
    <t>04111</t>
  </si>
  <si>
    <t>04112</t>
  </si>
  <si>
    <t>04113</t>
  </si>
  <si>
    <t>05</t>
  </si>
  <si>
    <t>Steel</t>
  </si>
  <si>
    <t>05111</t>
  </si>
  <si>
    <t>PI-403-004</t>
  </si>
  <si>
    <t>PI-403-005</t>
  </si>
  <si>
    <t>PI-403-006</t>
  </si>
  <si>
    <t>PI-403-007</t>
  </si>
  <si>
    <t>PI-403-008</t>
  </si>
  <si>
    <t>PI-403-009</t>
  </si>
  <si>
    <t>PI-403-001</t>
  </si>
  <si>
    <t>120-FP-2202-SHT01</t>
  </si>
  <si>
    <t>120-FP-2202-SHT01-1</t>
  </si>
  <si>
    <t>120-FP-2200-SHT01</t>
  </si>
  <si>
    <t>PI-000-002</t>
  </si>
  <si>
    <t>PI-000-001</t>
  </si>
  <si>
    <t>PI-000-003</t>
  </si>
  <si>
    <t>SOUTH FIREWATER</t>
  </si>
  <si>
    <t>120-FP-2201-SHT-01</t>
  </si>
  <si>
    <t>120-FP-2201-SHT01-1</t>
  </si>
  <si>
    <t>120-FP-2201-SHT01-2</t>
  </si>
  <si>
    <t>Line Area</t>
  </si>
  <si>
    <t>UG</t>
  </si>
  <si>
    <t>POTABLE WATER UN# 1,2,3</t>
  </si>
  <si>
    <t>POTABLE WATER UN# 1</t>
  </si>
  <si>
    <t>AMMONIA SYSTEM 1 UN#1,2,3</t>
  </si>
  <si>
    <t>AMMONIA SYS 2 UN# 1</t>
  </si>
  <si>
    <t>AMMONIA SYS 1 UN#1,2,3</t>
  </si>
  <si>
    <t>SITE DRAIN SYS SLOP TANK PKG1 UN# 1</t>
  </si>
  <si>
    <t>SITE DRAIN SYS SLOP TANK PKG2 UN# 1</t>
  </si>
  <si>
    <t>SITE DRAIN SYS SLOP TANK PKG3 UN# 1</t>
  </si>
  <si>
    <t>SITE UTILITIES UN# 1</t>
  </si>
  <si>
    <t>GCW SYS PIPE UN# 1</t>
  </si>
  <si>
    <t>GCW SYS UTILITIES UN# 1</t>
  </si>
  <si>
    <t>SERVICE WATER SYS PIPE UN# 1</t>
  </si>
  <si>
    <t>INST. AIR SYS PIPE UN# 1</t>
  </si>
  <si>
    <t>SERVICE AIR PIPE UN# 1</t>
  </si>
  <si>
    <t>GCW SYS PIPE 2 UN# 1</t>
  </si>
  <si>
    <t>FUEL SYS PIPE UN# 1</t>
  </si>
  <si>
    <t>POTABLE WATER SYS PIPE UN# 2</t>
  </si>
  <si>
    <t>SITE DRAIN SYS SLOP TANK UN# 2</t>
  </si>
  <si>
    <t>FUEL SYS PIPE UN# 2</t>
  </si>
  <si>
    <t>GCW SYS UN# 2</t>
  </si>
  <si>
    <t>GCW SYS 2  UN# 2</t>
  </si>
  <si>
    <t>GCW SYS 3 UN#2</t>
  </si>
  <si>
    <t>GCW SYS 3 UN# 2</t>
  </si>
  <si>
    <t>INST. AIR UN# 2</t>
  </si>
  <si>
    <t>SERVICE AIR PIPE UN# 2</t>
  </si>
  <si>
    <t>POTABLE WATER UN# 3</t>
  </si>
  <si>
    <t>DRAIN SYS TO SLOP TANK UN# 3</t>
  </si>
  <si>
    <t>GCW SYS PIPE UN# 3</t>
  </si>
  <si>
    <t>INST. AIR UN# 3</t>
  </si>
  <si>
    <t>SERVICE AIR PIPE UN# 3</t>
  </si>
  <si>
    <t>FUEL SYS PIPE UN# 3</t>
  </si>
  <si>
    <t>EASTSIDE FIREWATER</t>
  </si>
  <si>
    <t>NORTHSIDE FIREWATER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</si>
</sst>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quotePrefix="1" applyFont="1"/>
    <xf numFmtId="0" fontId="0" fillId="0" borderId="0" xfId="0" quotePrefix="1"/>
    <xf numFmtId="164" fontId="0" fillId="0" borderId="0" xfId="42" applyNumberFormat="1" applyFont="1"/>
    <xf numFmtId="165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20" fillId="0" borderId="10" xfId="0" applyFont="1" applyBorder="1" applyAlignment="1">
      <alignment horizontal="center"/>
    </xf>
    <xf numFmtId="9" fontId="0" fillId="34" borderId="0" xfId="43" applyFont="1" applyFill="1"/>
    <xf numFmtId="49" fontId="0" fillId="0" borderId="0" xfId="0" applyNumberForma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D1F-74A7-4BB9-9D99-60609747E359}">
  <dimension ref="A1:BC99"/>
  <sheetViews>
    <sheetView tabSelected="1" zoomScale="85" zoomScaleNormal="85" workbookViewId="0">
      <selection activeCell="I28" sqref="I28"/>
    </sheetView>
  </sheetViews>
  <sheetFormatPr defaultRowHeight="15" x14ac:dyDescent="0.25"/>
  <cols>
    <col min="2" max="2" width="29.5703125" customWidth="1"/>
    <col min="3" max="3" width="9.140625" customWidth="1"/>
    <col min="4" max="4" width="12.5703125" customWidth="1"/>
    <col min="5" max="5" width="35.5703125" customWidth="1"/>
    <col min="6" max="6" width="8.7109375" customWidth="1"/>
    <col min="7" max="7" width="10.85546875" customWidth="1"/>
    <col min="8" max="8" width="11.5703125" customWidth="1"/>
    <col min="9" max="9" width="32" customWidth="1"/>
    <col min="10" max="10" width="5.42578125" customWidth="1"/>
    <col min="11" max="12" width="9.140625" customWidth="1"/>
    <col min="13" max="13" width="12.140625" style="4" customWidth="1"/>
    <col min="14" max="14" width="10.5703125" customWidth="1"/>
    <col min="15" max="15" width="10.7109375" customWidth="1"/>
    <col min="16" max="16" width="13.42578125" customWidth="1"/>
    <col min="17" max="17" width="9.140625" style="7" customWidth="1"/>
    <col min="18" max="18" width="9.140625" customWidth="1"/>
    <col min="19" max="19" width="9.140625" style="7" customWidth="1"/>
    <col min="20" max="20" width="9.140625" customWidth="1"/>
    <col min="21" max="21" width="9.140625" style="7" customWidth="1"/>
    <col min="22" max="22" width="9.140625" customWidth="1"/>
    <col min="23" max="23" width="9.140625" style="7" customWidth="1"/>
    <col min="24" max="24" width="9.140625" customWidth="1"/>
    <col min="25" max="25" width="8.7109375" style="7" customWidth="1"/>
    <col min="26" max="26" width="12.85546875" customWidth="1"/>
    <col min="27" max="27" width="8.7109375" style="7" customWidth="1"/>
    <col min="28" max="28" width="12.42578125" customWidth="1"/>
    <col min="29" max="29" width="8.7109375" style="7" customWidth="1"/>
    <col min="30" max="30" width="8.7109375" customWidth="1"/>
    <col min="31" max="31" width="8.7109375" style="7" customWidth="1"/>
    <col min="32" max="32" width="8.7109375" customWidth="1"/>
    <col min="33" max="33" width="12.85546875" customWidth="1"/>
    <col min="34" max="34" width="8.7109375" customWidth="1"/>
    <col min="35" max="35" width="33.5703125" customWidth="1"/>
    <col min="36" max="36" width="9.5703125" customWidth="1"/>
    <col min="37" max="37" width="13.42578125" customWidth="1"/>
    <col min="38" max="38" width="18" customWidth="1"/>
    <col min="39" max="39" width="13.5703125" bestFit="1" customWidth="1"/>
    <col min="40" max="45" width="8.7109375" customWidth="1"/>
    <col min="46" max="47" width="9.140625" customWidth="1"/>
    <col min="49" max="49" width="16.28515625" customWidth="1"/>
    <col min="50" max="50" width="13.5703125" customWidth="1"/>
    <col min="51" max="51" width="16.5703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s="4" t="s">
        <v>11</v>
      </c>
      <c r="N1" t="s">
        <v>13</v>
      </c>
      <c r="O1" t="s">
        <v>14</v>
      </c>
      <c r="P1" t="s">
        <v>15</v>
      </c>
      <c r="Q1" s="7" t="s">
        <v>16</v>
      </c>
      <c r="R1" t="s">
        <v>17</v>
      </c>
      <c r="S1" s="7" t="s">
        <v>18</v>
      </c>
      <c r="T1" t="s">
        <v>19</v>
      </c>
      <c r="U1" s="7" t="s">
        <v>20</v>
      </c>
      <c r="V1" t="s">
        <v>21</v>
      </c>
      <c r="W1" s="7" t="s">
        <v>22</v>
      </c>
      <c r="X1" t="s">
        <v>23</v>
      </c>
      <c r="Y1" s="7" t="s">
        <v>24</v>
      </c>
      <c r="Z1" t="s">
        <v>25</v>
      </c>
      <c r="AA1" s="7" t="s">
        <v>26</v>
      </c>
      <c r="AB1" t="s">
        <v>27</v>
      </c>
      <c r="AC1" s="7" t="s">
        <v>28</v>
      </c>
      <c r="AD1" t="s">
        <v>29</v>
      </c>
      <c r="AE1" s="7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 t="s">
        <v>84</v>
      </c>
      <c r="C2" s="1">
        <v>0</v>
      </c>
      <c r="D2" t="s">
        <v>85</v>
      </c>
      <c r="E2" s="16" t="s">
        <v>390</v>
      </c>
      <c r="F2" s="2" t="s">
        <v>55</v>
      </c>
      <c r="G2" t="s">
        <v>86</v>
      </c>
      <c r="H2" t="s">
        <v>372</v>
      </c>
      <c r="I2" t="s">
        <v>87</v>
      </c>
      <c r="J2" t="s">
        <v>88</v>
      </c>
      <c r="K2">
        <v>136</v>
      </c>
      <c r="L2" t="s">
        <v>89</v>
      </c>
      <c r="M2" s="4">
        <f>_xlfn.XLOOKUP(F2, 'Sheet12.10.25'!C:C, 'Sheet12.10.25'!F:F, "")*K2</f>
        <v>695.91200000000003</v>
      </c>
      <c r="N2" t="s">
        <v>90</v>
      </c>
      <c r="Q2" s="12"/>
      <c r="R2" t="s">
        <v>91</v>
      </c>
      <c r="S2" s="12"/>
      <c r="T2" t="s">
        <v>92</v>
      </c>
      <c r="U2" s="12"/>
      <c r="V2" t="s">
        <v>93</v>
      </c>
      <c r="W2" s="12"/>
      <c r="X2" t="s">
        <v>94</v>
      </c>
      <c r="Y2" s="12"/>
      <c r="Z2" t="s">
        <v>95</v>
      </c>
      <c r="AA2" s="12"/>
      <c r="AB2" t="s">
        <v>96</v>
      </c>
      <c r="AC2" s="12"/>
      <c r="AD2" t="s">
        <v>97</v>
      </c>
      <c r="AE2" s="12"/>
      <c r="AF2" t="s">
        <v>98</v>
      </c>
      <c r="AI2" t="s">
        <v>263</v>
      </c>
      <c r="AJ2">
        <v>1</v>
      </c>
      <c r="AK2" t="s">
        <v>100</v>
      </c>
      <c r="AN2">
        <v>0.02</v>
      </c>
      <c r="AO2">
        <v>0.03</v>
      </c>
      <c r="AP2">
        <v>0.2</v>
      </c>
      <c r="AQ2">
        <v>0.3</v>
      </c>
      <c r="AR2">
        <v>0.1</v>
      </c>
      <c r="AS2">
        <v>0.1</v>
      </c>
      <c r="AT2">
        <v>0.15</v>
      </c>
      <c r="AU2">
        <v>0.1</v>
      </c>
      <c r="AV2">
        <v>120</v>
      </c>
      <c r="AW2" t="s">
        <v>101</v>
      </c>
      <c r="AX2" t="s">
        <v>101</v>
      </c>
      <c r="AY2" t="s">
        <v>101</v>
      </c>
    </row>
    <row r="3" spans="1:55" x14ac:dyDescent="0.25">
      <c r="A3">
        <v>2</v>
      </c>
      <c r="B3" t="s">
        <v>102</v>
      </c>
      <c r="C3" s="1">
        <v>0</v>
      </c>
      <c r="D3" t="s">
        <v>85</v>
      </c>
      <c r="E3" s="16" t="s">
        <v>390</v>
      </c>
      <c r="F3" s="2" t="s">
        <v>55</v>
      </c>
      <c r="G3" t="s">
        <v>86</v>
      </c>
      <c r="H3" t="s">
        <v>372</v>
      </c>
      <c r="I3" t="s">
        <v>103</v>
      </c>
      <c r="J3" t="s">
        <v>88</v>
      </c>
      <c r="K3">
        <v>217</v>
      </c>
      <c r="L3" t="s">
        <v>89</v>
      </c>
      <c r="M3" s="4">
        <f>_xlfn.XLOOKUP(F3, 'Sheet12.10.25'!C:C, 'Sheet12.10.25'!F:F, "")*K3</f>
        <v>1110.3889999999999</v>
      </c>
      <c r="N3" t="s">
        <v>90</v>
      </c>
      <c r="R3" t="s">
        <v>91</v>
      </c>
      <c r="T3" t="s">
        <v>92</v>
      </c>
      <c r="V3" t="s">
        <v>93</v>
      </c>
      <c r="X3" t="s">
        <v>94</v>
      </c>
      <c r="Z3" t="s">
        <v>95</v>
      </c>
      <c r="AB3" t="s">
        <v>96</v>
      </c>
      <c r="AD3" t="s">
        <v>97</v>
      </c>
      <c r="AF3" t="s">
        <v>98</v>
      </c>
      <c r="AI3" t="s">
        <v>263</v>
      </c>
      <c r="AJ3">
        <v>1</v>
      </c>
      <c r="AK3" t="s">
        <v>104</v>
      </c>
      <c r="AN3">
        <v>0.02</v>
      </c>
      <c r="AO3">
        <v>0.03</v>
      </c>
      <c r="AP3">
        <v>0.2</v>
      </c>
      <c r="AQ3">
        <v>0.3</v>
      </c>
      <c r="AR3">
        <v>0.1</v>
      </c>
      <c r="AS3">
        <v>0.1</v>
      </c>
      <c r="AT3">
        <v>0.15</v>
      </c>
      <c r="AU3">
        <v>0.1</v>
      </c>
      <c r="AV3">
        <v>120</v>
      </c>
      <c r="AW3" t="s">
        <v>101</v>
      </c>
      <c r="AX3" t="s">
        <v>101</v>
      </c>
      <c r="AY3" t="s">
        <v>101</v>
      </c>
    </row>
    <row r="4" spans="1:55" x14ac:dyDescent="0.25">
      <c r="A4">
        <v>3</v>
      </c>
      <c r="B4" t="s">
        <v>105</v>
      </c>
      <c r="C4" s="1">
        <v>0</v>
      </c>
      <c r="D4" t="s">
        <v>85</v>
      </c>
      <c r="E4" s="16" t="s">
        <v>399</v>
      </c>
      <c r="F4" s="2" t="s">
        <v>55</v>
      </c>
      <c r="G4" t="s">
        <v>86</v>
      </c>
      <c r="H4" t="s">
        <v>372</v>
      </c>
      <c r="I4" t="s">
        <v>106</v>
      </c>
      <c r="J4" t="s">
        <v>88</v>
      </c>
      <c r="K4">
        <v>142</v>
      </c>
      <c r="L4" t="s">
        <v>89</v>
      </c>
      <c r="M4" s="4">
        <f>_xlfn.XLOOKUP(F4, 'Sheet12.10.25'!C:C, 'Sheet12.10.25'!F:F, "")*K4</f>
        <v>726.61400000000003</v>
      </c>
      <c r="N4" t="s">
        <v>90</v>
      </c>
      <c r="R4" t="s">
        <v>91</v>
      </c>
      <c r="T4" t="s">
        <v>92</v>
      </c>
      <c r="V4" t="s">
        <v>93</v>
      </c>
      <c r="X4" t="s">
        <v>94</v>
      </c>
      <c r="Z4" t="s">
        <v>95</v>
      </c>
      <c r="AB4" t="s">
        <v>96</v>
      </c>
      <c r="AD4" t="s">
        <v>97</v>
      </c>
      <c r="AF4" t="s">
        <v>98</v>
      </c>
      <c r="AI4" t="s">
        <v>332</v>
      </c>
      <c r="AJ4">
        <v>1</v>
      </c>
      <c r="AK4" t="s">
        <v>107</v>
      </c>
      <c r="AN4">
        <v>0.02</v>
      </c>
      <c r="AO4">
        <v>0.03</v>
      </c>
      <c r="AP4">
        <v>0.2</v>
      </c>
      <c r="AQ4">
        <v>0.3</v>
      </c>
      <c r="AR4">
        <v>0.1</v>
      </c>
      <c r="AS4">
        <v>0.1</v>
      </c>
      <c r="AT4">
        <v>0.15</v>
      </c>
      <c r="AU4">
        <v>0.1</v>
      </c>
      <c r="AV4">
        <v>403</v>
      </c>
      <c r="AW4" t="s">
        <v>101</v>
      </c>
      <c r="AX4" t="s">
        <v>101</v>
      </c>
      <c r="AY4" t="s">
        <v>101</v>
      </c>
    </row>
    <row r="5" spans="1:55" x14ac:dyDescent="0.25">
      <c r="A5">
        <v>4</v>
      </c>
      <c r="B5" t="s">
        <v>108</v>
      </c>
      <c r="C5" s="1">
        <v>0</v>
      </c>
      <c r="D5" t="s">
        <v>85</v>
      </c>
      <c r="E5" s="16" t="s">
        <v>399</v>
      </c>
      <c r="F5" s="2" t="s">
        <v>55</v>
      </c>
      <c r="G5" t="s">
        <v>86</v>
      </c>
      <c r="H5" t="s">
        <v>372</v>
      </c>
      <c r="I5" t="s">
        <v>109</v>
      </c>
      <c r="J5" t="s">
        <v>88</v>
      </c>
      <c r="K5">
        <v>222</v>
      </c>
      <c r="L5" t="s">
        <v>89</v>
      </c>
      <c r="M5" s="4">
        <f>_xlfn.XLOOKUP(F5, 'Sheet12.10.25'!C:C, 'Sheet12.10.25'!F:F, "")*K5</f>
        <v>1135.9739999999999</v>
      </c>
      <c r="N5" t="s">
        <v>90</v>
      </c>
      <c r="R5" t="s">
        <v>91</v>
      </c>
      <c r="T5" t="s">
        <v>92</v>
      </c>
      <c r="V5" t="s">
        <v>93</v>
      </c>
      <c r="X5" t="s">
        <v>94</v>
      </c>
      <c r="Z5" t="s">
        <v>95</v>
      </c>
      <c r="AB5" t="s">
        <v>96</v>
      </c>
      <c r="AD5" t="s">
        <v>97</v>
      </c>
      <c r="AF5" t="s">
        <v>98</v>
      </c>
      <c r="AI5" t="s">
        <v>332</v>
      </c>
      <c r="AJ5">
        <v>1</v>
      </c>
      <c r="AK5" t="s">
        <v>110</v>
      </c>
      <c r="AN5">
        <v>0.02</v>
      </c>
      <c r="AO5">
        <v>0.03</v>
      </c>
      <c r="AP5">
        <v>0.2</v>
      </c>
      <c r="AQ5">
        <v>0.3</v>
      </c>
      <c r="AR5">
        <v>0.1</v>
      </c>
      <c r="AS5">
        <v>0.1</v>
      </c>
      <c r="AT5">
        <v>0.15</v>
      </c>
      <c r="AU5">
        <v>0.1</v>
      </c>
      <c r="AV5">
        <v>403</v>
      </c>
      <c r="AW5" t="s">
        <v>101</v>
      </c>
      <c r="AX5" t="s">
        <v>101</v>
      </c>
      <c r="AY5" t="s">
        <v>101</v>
      </c>
    </row>
    <row r="6" spans="1:55" x14ac:dyDescent="0.25">
      <c r="A6">
        <v>5</v>
      </c>
      <c r="B6" t="s">
        <v>111</v>
      </c>
      <c r="C6" s="1">
        <v>0</v>
      </c>
      <c r="D6" t="s">
        <v>112</v>
      </c>
      <c r="E6" s="16" t="s">
        <v>380</v>
      </c>
      <c r="F6" s="2" t="s">
        <v>55</v>
      </c>
      <c r="G6" t="s">
        <v>113</v>
      </c>
      <c r="H6" t="s">
        <v>372</v>
      </c>
      <c r="I6" t="s">
        <v>114</v>
      </c>
      <c r="J6" t="s">
        <v>88</v>
      </c>
      <c r="K6">
        <v>5</v>
      </c>
      <c r="L6" t="s">
        <v>89</v>
      </c>
      <c r="M6" s="4">
        <f>_xlfn.XLOOKUP(F6, 'Sheet12.10.25'!C:C, 'Sheet12.10.25'!F:F, "")*K6</f>
        <v>25.585000000000001</v>
      </c>
      <c r="N6" t="s">
        <v>90</v>
      </c>
      <c r="R6" t="s">
        <v>91</v>
      </c>
      <c r="T6" t="s">
        <v>92</v>
      </c>
      <c r="V6" t="s">
        <v>93</v>
      </c>
      <c r="X6" t="s">
        <v>94</v>
      </c>
      <c r="Z6" t="s">
        <v>95</v>
      </c>
      <c r="AB6" t="s">
        <v>96</v>
      </c>
      <c r="AD6" t="s">
        <v>97</v>
      </c>
      <c r="AF6" t="s">
        <v>98</v>
      </c>
      <c r="AI6" t="s">
        <v>320</v>
      </c>
      <c r="AJ6">
        <v>1</v>
      </c>
      <c r="AK6" t="s">
        <v>116</v>
      </c>
      <c r="AN6">
        <v>0.02</v>
      </c>
      <c r="AO6">
        <v>0.03</v>
      </c>
      <c r="AP6">
        <v>0.2</v>
      </c>
      <c r="AQ6">
        <v>0.3</v>
      </c>
      <c r="AR6">
        <v>0.1</v>
      </c>
      <c r="AS6">
        <v>0.1</v>
      </c>
      <c r="AT6">
        <v>0.15</v>
      </c>
      <c r="AU6">
        <v>0.1</v>
      </c>
      <c r="AV6">
        <v>401</v>
      </c>
      <c r="AW6" t="s">
        <v>101</v>
      </c>
      <c r="AX6" t="s">
        <v>101</v>
      </c>
      <c r="AY6" t="s">
        <v>101</v>
      </c>
    </row>
    <row r="7" spans="1:55" ht="14.25" customHeight="1" x14ac:dyDescent="0.25">
      <c r="A7">
        <v>6</v>
      </c>
      <c r="B7" t="s">
        <v>111</v>
      </c>
      <c r="C7" s="1">
        <v>0</v>
      </c>
      <c r="D7" t="s">
        <v>112</v>
      </c>
      <c r="E7" s="16" t="s">
        <v>380</v>
      </c>
      <c r="F7" s="2" t="s">
        <v>56</v>
      </c>
      <c r="G7" t="s">
        <v>113</v>
      </c>
      <c r="H7" t="s">
        <v>372</v>
      </c>
      <c r="I7" t="s">
        <v>117</v>
      </c>
      <c r="J7" t="s">
        <v>118</v>
      </c>
      <c r="K7">
        <v>27</v>
      </c>
      <c r="L7" t="s">
        <v>89</v>
      </c>
      <c r="M7" s="4">
        <f>_xlfn.XLOOKUP(F7, 'Sheet12.10.25'!C:C, 'Sheet12.10.25'!F:F, "")*K7</f>
        <v>131.73299999999998</v>
      </c>
      <c r="N7" t="s">
        <v>90</v>
      </c>
      <c r="R7" t="s">
        <v>91</v>
      </c>
      <c r="T7" t="s">
        <v>92</v>
      </c>
      <c r="V7" t="s">
        <v>93</v>
      </c>
      <c r="X7" t="s">
        <v>94</v>
      </c>
      <c r="Z7" t="s">
        <v>95</v>
      </c>
      <c r="AB7" t="s">
        <v>96</v>
      </c>
      <c r="AD7" t="s">
        <v>97</v>
      </c>
      <c r="AF7" t="s">
        <v>98</v>
      </c>
      <c r="AI7" t="s">
        <v>320</v>
      </c>
      <c r="AJ7">
        <v>1</v>
      </c>
      <c r="AK7" t="s">
        <v>100</v>
      </c>
      <c r="AN7">
        <v>0.02</v>
      </c>
      <c r="AO7">
        <v>0.03</v>
      </c>
      <c r="AP7">
        <v>0.2</v>
      </c>
      <c r="AQ7">
        <v>0.3</v>
      </c>
      <c r="AR7">
        <v>0.1</v>
      </c>
      <c r="AS7">
        <v>0.1</v>
      </c>
      <c r="AT7">
        <v>0.15</v>
      </c>
      <c r="AU7">
        <v>0.1</v>
      </c>
      <c r="AV7">
        <v>401</v>
      </c>
      <c r="AW7" t="s">
        <v>101</v>
      </c>
      <c r="AX7" t="s">
        <v>101</v>
      </c>
      <c r="AY7" t="s">
        <v>101</v>
      </c>
    </row>
    <row r="8" spans="1:55" x14ac:dyDescent="0.25">
      <c r="A8">
        <v>7</v>
      </c>
      <c r="B8" t="s">
        <v>119</v>
      </c>
      <c r="C8" s="1">
        <v>0</v>
      </c>
      <c r="D8" t="s">
        <v>112</v>
      </c>
      <c r="E8" s="16" t="s">
        <v>380</v>
      </c>
      <c r="F8" s="2" t="s">
        <v>55</v>
      </c>
      <c r="G8" t="s">
        <v>113</v>
      </c>
      <c r="H8" t="s">
        <v>372</v>
      </c>
      <c r="I8" t="s">
        <v>120</v>
      </c>
      <c r="J8" s="3" t="s">
        <v>88</v>
      </c>
      <c r="K8">
        <v>7</v>
      </c>
      <c r="L8" t="s">
        <v>89</v>
      </c>
      <c r="M8" s="4">
        <f>_xlfn.XLOOKUP(F8, 'Sheet12.10.25'!C:C, 'Sheet12.10.25'!F:F, "")*K8</f>
        <v>35.819000000000003</v>
      </c>
      <c r="N8" t="s">
        <v>90</v>
      </c>
      <c r="R8" t="s">
        <v>91</v>
      </c>
      <c r="T8" t="s">
        <v>92</v>
      </c>
      <c r="V8" t="s">
        <v>93</v>
      </c>
      <c r="X8" t="s">
        <v>94</v>
      </c>
      <c r="Z8" t="s">
        <v>95</v>
      </c>
      <c r="AB8" t="s">
        <v>96</v>
      </c>
      <c r="AD8" t="s">
        <v>97</v>
      </c>
      <c r="AF8" t="s">
        <v>98</v>
      </c>
      <c r="AI8" t="s">
        <v>320</v>
      </c>
      <c r="AJ8">
        <v>1</v>
      </c>
      <c r="AK8" t="s">
        <v>104</v>
      </c>
      <c r="AN8">
        <v>0.02</v>
      </c>
      <c r="AO8">
        <v>0.03</v>
      </c>
      <c r="AP8">
        <v>0.2</v>
      </c>
      <c r="AQ8">
        <v>0.3</v>
      </c>
      <c r="AR8">
        <v>0.1</v>
      </c>
      <c r="AS8">
        <v>0.1</v>
      </c>
      <c r="AT8">
        <v>0.15</v>
      </c>
      <c r="AU8">
        <v>0.1</v>
      </c>
      <c r="AV8">
        <v>401</v>
      </c>
      <c r="AW8" t="s">
        <v>101</v>
      </c>
      <c r="AX8" t="s">
        <v>101</v>
      </c>
      <c r="AY8" t="s">
        <v>101</v>
      </c>
    </row>
    <row r="9" spans="1:55" x14ac:dyDescent="0.25">
      <c r="A9">
        <v>8</v>
      </c>
      <c r="B9" t="s">
        <v>119</v>
      </c>
      <c r="C9" s="1">
        <v>0</v>
      </c>
      <c r="D9" t="s">
        <v>112</v>
      </c>
      <c r="E9" s="16" t="s">
        <v>380</v>
      </c>
      <c r="F9" s="2" t="s">
        <v>56</v>
      </c>
      <c r="G9" t="s">
        <v>113</v>
      </c>
      <c r="H9" t="s">
        <v>372</v>
      </c>
      <c r="I9" t="s">
        <v>121</v>
      </c>
      <c r="J9" t="s">
        <v>118</v>
      </c>
      <c r="K9">
        <v>14</v>
      </c>
      <c r="L9" t="s">
        <v>89</v>
      </c>
      <c r="M9" s="4">
        <f>_xlfn.XLOOKUP(F9, 'Sheet12.10.25'!C:C, 'Sheet12.10.25'!F:F, "")*K9</f>
        <v>68.305999999999997</v>
      </c>
      <c r="N9" t="s">
        <v>90</v>
      </c>
      <c r="R9" t="s">
        <v>91</v>
      </c>
      <c r="T9" t="s">
        <v>92</v>
      </c>
      <c r="V9" t="s">
        <v>93</v>
      </c>
      <c r="X9" t="s">
        <v>94</v>
      </c>
      <c r="Z9" t="s">
        <v>95</v>
      </c>
      <c r="AB9" t="s">
        <v>96</v>
      </c>
      <c r="AD9" t="s">
        <v>97</v>
      </c>
      <c r="AF9" t="s">
        <v>98</v>
      </c>
      <c r="AI9" t="s">
        <v>320</v>
      </c>
      <c r="AJ9">
        <v>1</v>
      </c>
      <c r="AK9" t="s">
        <v>104</v>
      </c>
      <c r="AN9">
        <v>0.02</v>
      </c>
      <c r="AO9">
        <v>0.03</v>
      </c>
      <c r="AP9">
        <v>0.2</v>
      </c>
      <c r="AQ9">
        <v>0.3</v>
      </c>
      <c r="AR9">
        <v>0.1</v>
      </c>
      <c r="AS9">
        <v>0.1</v>
      </c>
      <c r="AT9">
        <v>0.15</v>
      </c>
      <c r="AU9">
        <v>0.1</v>
      </c>
      <c r="AV9">
        <v>401</v>
      </c>
      <c r="AW9" t="s">
        <v>101</v>
      </c>
      <c r="AX9" t="s">
        <v>101</v>
      </c>
      <c r="AY9" t="s">
        <v>101</v>
      </c>
    </row>
    <row r="10" spans="1:55" x14ac:dyDescent="0.25">
      <c r="A10">
        <v>9</v>
      </c>
      <c r="B10" t="s">
        <v>122</v>
      </c>
      <c r="C10" s="1">
        <v>0</v>
      </c>
      <c r="D10" t="s">
        <v>112</v>
      </c>
      <c r="E10" s="16" t="s">
        <v>380</v>
      </c>
      <c r="F10" s="2" t="s">
        <v>55</v>
      </c>
      <c r="G10" t="s">
        <v>113</v>
      </c>
      <c r="H10" t="s">
        <v>372</v>
      </c>
      <c r="I10" t="s">
        <v>123</v>
      </c>
      <c r="J10" s="3" t="s">
        <v>88</v>
      </c>
      <c r="K10">
        <v>3</v>
      </c>
      <c r="L10" t="s">
        <v>89</v>
      </c>
      <c r="M10" s="4">
        <f>_xlfn.XLOOKUP(F10, 'Sheet12.10.25'!C:C, 'Sheet12.10.25'!F:F, "")*K10</f>
        <v>15.350999999999999</v>
      </c>
      <c r="N10" t="s">
        <v>90</v>
      </c>
      <c r="R10" t="s">
        <v>91</v>
      </c>
      <c r="T10" t="s">
        <v>92</v>
      </c>
      <c r="V10" t="s">
        <v>93</v>
      </c>
      <c r="X10" t="s">
        <v>94</v>
      </c>
      <c r="Z10" t="s">
        <v>95</v>
      </c>
      <c r="AB10" t="s">
        <v>96</v>
      </c>
      <c r="AD10" t="s">
        <v>97</v>
      </c>
      <c r="AF10" t="s">
        <v>98</v>
      </c>
      <c r="AI10" t="s">
        <v>320</v>
      </c>
      <c r="AJ10">
        <v>1</v>
      </c>
      <c r="AK10" t="s">
        <v>107</v>
      </c>
      <c r="AN10">
        <v>0.02</v>
      </c>
      <c r="AO10">
        <v>0.03</v>
      </c>
      <c r="AP10">
        <v>0.2</v>
      </c>
      <c r="AQ10">
        <v>0.3</v>
      </c>
      <c r="AR10">
        <v>0.1</v>
      </c>
      <c r="AS10">
        <v>0.1</v>
      </c>
      <c r="AT10">
        <v>0.15</v>
      </c>
      <c r="AU10">
        <v>0.1</v>
      </c>
      <c r="AV10">
        <v>401</v>
      </c>
      <c r="AW10" t="s">
        <v>101</v>
      </c>
      <c r="AX10" t="s">
        <v>101</v>
      </c>
      <c r="AY10" t="s">
        <v>101</v>
      </c>
    </row>
    <row r="11" spans="1:55" x14ac:dyDescent="0.25">
      <c r="A11">
        <v>10</v>
      </c>
      <c r="B11" t="s">
        <v>122</v>
      </c>
      <c r="C11" s="1">
        <v>0</v>
      </c>
      <c r="D11" t="s">
        <v>112</v>
      </c>
      <c r="E11" s="16" t="s">
        <v>380</v>
      </c>
      <c r="F11" s="2" t="s">
        <v>56</v>
      </c>
      <c r="G11" t="s">
        <v>113</v>
      </c>
      <c r="H11" t="s">
        <v>372</v>
      </c>
      <c r="I11" t="s">
        <v>124</v>
      </c>
      <c r="J11" t="s">
        <v>118</v>
      </c>
      <c r="K11">
        <v>29</v>
      </c>
      <c r="L11" t="s">
        <v>89</v>
      </c>
      <c r="M11" s="4">
        <f>_xlfn.XLOOKUP(F11, 'Sheet12.10.25'!C:C, 'Sheet12.10.25'!F:F, "")*K11</f>
        <v>141.49099999999999</v>
      </c>
      <c r="N11" t="s">
        <v>90</v>
      </c>
      <c r="R11" t="s">
        <v>91</v>
      </c>
      <c r="T11" t="s">
        <v>92</v>
      </c>
      <c r="V11" t="s">
        <v>93</v>
      </c>
      <c r="X11" t="s">
        <v>94</v>
      </c>
      <c r="Z11" t="s">
        <v>95</v>
      </c>
      <c r="AB11" t="s">
        <v>96</v>
      </c>
      <c r="AD11" t="s">
        <v>97</v>
      </c>
      <c r="AF11" t="s">
        <v>98</v>
      </c>
      <c r="AI11" t="s">
        <v>320</v>
      </c>
      <c r="AJ11">
        <v>1</v>
      </c>
      <c r="AK11" t="s">
        <v>107</v>
      </c>
      <c r="AN11">
        <v>0.02</v>
      </c>
      <c r="AO11">
        <v>0.03</v>
      </c>
      <c r="AP11">
        <v>0.2</v>
      </c>
      <c r="AQ11">
        <v>0.3</v>
      </c>
      <c r="AR11">
        <v>0.1</v>
      </c>
      <c r="AS11">
        <v>0.1</v>
      </c>
      <c r="AT11">
        <v>0.15</v>
      </c>
      <c r="AU11">
        <v>0.1</v>
      </c>
      <c r="AV11">
        <v>401</v>
      </c>
      <c r="AW11" t="s">
        <v>101</v>
      </c>
      <c r="AX11" t="s">
        <v>101</v>
      </c>
      <c r="AY11" t="s">
        <v>101</v>
      </c>
    </row>
    <row r="12" spans="1:55" x14ac:dyDescent="0.25">
      <c r="A12">
        <v>11</v>
      </c>
      <c r="B12" t="s">
        <v>125</v>
      </c>
      <c r="C12" s="1">
        <v>0</v>
      </c>
      <c r="D12" t="s">
        <v>112</v>
      </c>
      <c r="E12" s="16" t="s">
        <v>380</v>
      </c>
      <c r="F12" s="2" t="s">
        <v>56</v>
      </c>
      <c r="G12" t="s">
        <v>113</v>
      </c>
      <c r="H12" t="s">
        <v>372</v>
      </c>
      <c r="I12" t="s">
        <v>126</v>
      </c>
      <c r="J12" t="s">
        <v>118</v>
      </c>
      <c r="K12">
        <v>126</v>
      </c>
      <c r="L12" t="s">
        <v>89</v>
      </c>
      <c r="M12" s="4">
        <f>_xlfn.XLOOKUP(F12, 'Sheet12.10.25'!C:C, 'Sheet12.10.25'!F:F, "")*K12</f>
        <v>614.75399999999991</v>
      </c>
      <c r="N12" t="s">
        <v>90</v>
      </c>
      <c r="R12" t="s">
        <v>91</v>
      </c>
      <c r="T12" t="s">
        <v>92</v>
      </c>
      <c r="V12" t="s">
        <v>93</v>
      </c>
      <c r="X12" t="s">
        <v>94</v>
      </c>
      <c r="Z12" t="s">
        <v>95</v>
      </c>
      <c r="AB12" t="s">
        <v>96</v>
      </c>
      <c r="AD12" t="s">
        <v>97</v>
      </c>
      <c r="AF12" t="s">
        <v>98</v>
      </c>
      <c r="AI12" t="s">
        <v>320</v>
      </c>
      <c r="AJ12">
        <v>1</v>
      </c>
      <c r="AK12" t="s">
        <v>107</v>
      </c>
      <c r="AN12">
        <v>0.02</v>
      </c>
      <c r="AO12">
        <v>0.03</v>
      </c>
      <c r="AP12">
        <v>0.2</v>
      </c>
      <c r="AQ12">
        <v>0.3</v>
      </c>
      <c r="AR12">
        <v>0.1</v>
      </c>
      <c r="AS12">
        <v>0.1</v>
      </c>
      <c r="AT12">
        <v>0.15</v>
      </c>
      <c r="AU12">
        <v>0.1</v>
      </c>
      <c r="AV12">
        <v>401</v>
      </c>
      <c r="AW12" t="s">
        <v>101</v>
      </c>
      <c r="AX12" t="s">
        <v>101</v>
      </c>
      <c r="AY12" t="s">
        <v>101</v>
      </c>
    </row>
    <row r="13" spans="1:55" x14ac:dyDescent="0.25">
      <c r="A13">
        <v>12</v>
      </c>
      <c r="B13" t="s">
        <v>127</v>
      </c>
      <c r="C13" s="1">
        <v>0</v>
      </c>
      <c r="D13" t="s">
        <v>112</v>
      </c>
      <c r="E13" s="16" t="s">
        <v>391</v>
      </c>
      <c r="F13" s="2" t="s">
        <v>55</v>
      </c>
      <c r="G13" t="s">
        <v>113</v>
      </c>
      <c r="H13" t="s">
        <v>372</v>
      </c>
      <c r="I13" t="s">
        <v>128</v>
      </c>
      <c r="J13" t="s">
        <v>88</v>
      </c>
      <c r="K13">
        <v>7</v>
      </c>
      <c r="L13" t="s">
        <v>89</v>
      </c>
      <c r="M13" s="4">
        <f>_xlfn.XLOOKUP(F13, 'Sheet12.10.25'!C:C, 'Sheet12.10.25'!F:F, "")*K13</f>
        <v>35.819000000000003</v>
      </c>
      <c r="N13" t="s">
        <v>90</v>
      </c>
      <c r="R13" t="s">
        <v>91</v>
      </c>
      <c r="T13" t="s">
        <v>92</v>
      </c>
      <c r="V13" t="s">
        <v>93</v>
      </c>
      <c r="X13" t="s">
        <v>94</v>
      </c>
      <c r="Z13" t="s">
        <v>95</v>
      </c>
      <c r="AB13" t="s">
        <v>96</v>
      </c>
      <c r="AD13" t="s">
        <v>97</v>
      </c>
      <c r="AF13" t="s">
        <v>98</v>
      </c>
      <c r="AI13" t="s">
        <v>187</v>
      </c>
      <c r="AJ13">
        <v>1</v>
      </c>
      <c r="AK13" t="s">
        <v>110</v>
      </c>
      <c r="AN13">
        <v>0.02</v>
      </c>
      <c r="AO13">
        <v>0.03</v>
      </c>
      <c r="AP13">
        <v>0.2</v>
      </c>
      <c r="AQ13">
        <v>0.3</v>
      </c>
      <c r="AR13">
        <v>0.1</v>
      </c>
      <c r="AS13">
        <v>0.1</v>
      </c>
      <c r="AT13">
        <v>0.15</v>
      </c>
      <c r="AU13">
        <v>0.1</v>
      </c>
      <c r="AV13">
        <v>120</v>
      </c>
      <c r="AW13" t="s">
        <v>101</v>
      </c>
      <c r="AX13" t="s">
        <v>101</v>
      </c>
      <c r="AY13" t="s">
        <v>101</v>
      </c>
    </row>
    <row r="14" spans="1:55" x14ac:dyDescent="0.25">
      <c r="A14">
        <v>13</v>
      </c>
      <c r="B14" t="s">
        <v>127</v>
      </c>
      <c r="C14" s="1">
        <v>0</v>
      </c>
      <c r="D14" t="s">
        <v>112</v>
      </c>
      <c r="E14" s="16" t="s">
        <v>391</v>
      </c>
      <c r="F14" s="2" t="s">
        <v>56</v>
      </c>
      <c r="G14" t="s">
        <v>113</v>
      </c>
      <c r="H14" t="s">
        <v>372</v>
      </c>
      <c r="I14" t="s">
        <v>129</v>
      </c>
      <c r="J14" t="s">
        <v>118</v>
      </c>
      <c r="K14">
        <v>9</v>
      </c>
      <c r="L14" t="s">
        <v>89</v>
      </c>
      <c r="M14" s="4">
        <f>_xlfn.XLOOKUP(F14, 'Sheet12.10.25'!C:C, 'Sheet12.10.25'!F:F, "")*K14</f>
        <v>43.910999999999994</v>
      </c>
      <c r="N14" t="s">
        <v>90</v>
      </c>
      <c r="R14" t="s">
        <v>91</v>
      </c>
      <c r="T14" t="s">
        <v>92</v>
      </c>
      <c r="V14" t="s">
        <v>93</v>
      </c>
      <c r="X14" t="s">
        <v>94</v>
      </c>
      <c r="Z14" t="s">
        <v>95</v>
      </c>
      <c r="AB14" t="s">
        <v>96</v>
      </c>
      <c r="AD14" t="s">
        <v>97</v>
      </c>
      <c r="AF14" t="s">
        <v>98</v>
      </c>
      <c r="AI14" t="s">
        <v>187</v>
      </c>
      <c r="AJ14">
        <v>1</v>
      </c>
      <c r="AK14" t="s">
        <v>116</v>
      </c>
      <c r="AN14">
        <v>0.02</v>
      </c>
      <c r="AO14">
        <v>0.03</v>
      </c>
      <c r="AP14">
        <v>0.2</v>
      </c>
      <c r="AQ14">
        <v>0.3</v>
      </c>
      <c r="AR14">
        <v>0.1</v>
      </c>
      <c r="AS14">
        <v>0.1</v>
      </c>
      <c r="AT14">
        <v>0.15</v>
      </c>
      <c r="AU14">
        <v>0.1</v>
      </c>
      <c r="AV14">
        <v>120</v>
      </c>
      <c r="AW14" t="s">
        <v>101</v>
      </c>
      <c r="AX14" t="s">
        <v>101</v>
      </c>
      <c r="AY14" t="s">
        <v>101</v>
      </c>
    </row>
    <row r="15" spans="1:55" x14ac:dyDescent="0.25">
      <c r="A15">
        <v>14</v>
      </c>
      <c r="B15" t="s">
        <v>130</v>
      </c>
      <c r="C15" s="1">
        <v>0</v>
      </c>
      <c r="D15" t="s">
        <v>112</v>
      </c>
      <c r="E15" s="16" t="s">
        <v>391</v>
      </c>
      <c r="F15" s="2" t="s">
        <v>55</v>
      </c>
      <c r="G15" t="s">
        <v>113</v>
      </c>
      <c r="H15" t="s">
        <v>372</v>
      </c>
      <c r="I15" t="s">
        <v>131</v>
      </c>
      <c r="J15" s="3" t="s">
        <v>88</v>
      </c>
      <c r="K15">
        <v>7</v>
      </c>
      <c r="L15" t="s">
        <v>89</v>
      </c>
      <c r="M15" s="4">
        <f>_xlfn.XLOOKUP(F15, 'Sheet12.10.25'!C:C, 'Sheet12.10.25'!F:F, "")*K15</f>
        <v>35.819000000000003</v>
      </c>
      <c r="N15" t="s">
        <v>90</v>
      </c>
      <c r="R15" t="s">
        <v>91</v>
      </c>
      <c r="T15" t="s">
        <v>92</v>
      </c>
      <c r="V15" t="s">
        <v>93</v>
      </c>
      <c r="X15" t="s">
        <v>94</v>
      </c>
      <c r="Z15" t="s">
        <v>95</v>
      </c>
      <c r="AB15" t="s">
        <v>96</v>
      </c>
      <c r="AD15" t="s">
        <v>97</v>
      </c>
      <c r="AF15" t="s">
        <v>98</v>
      </c>
      <c r="AI15" t="s">
        <v>187</v>
      </c>
      <c r="AJ15">
        <v>1</v>
      </c>
      <c r="AK15" t="s">
        <v>100</v>
      </c>
      <c r="AN15">
        <v>0.02</v>
      </c>
      <c r="AO15">
        <v>0.03</v>
      </c>
      <c r="AP15">
        <v>0.2</v>
      </c>
      <c r="AQ15">
        <v>0.3</v>
      </c>
      <c r="AR15">
        <v>0.1</v>
      </c>
      <c r="AS15">
        <v>0.1</v>
      </c>
      <c r="AT15">
        <v>0.15</v>
      </c>
      <c r="AU15">
        <v>0.1</v>
      </c>
      <c r="AV15">
        <v>120</v>
      </c>
      <c r="AW15" t="s">
        <v>101</v>
      </c>
      <c r="AX15" t="s">
        <v>101</v>
      </c>
      <c r="AY15" t="s">
        <v>101</v>
      </c>
    </row>
    <row r="16" spans="1:55" x14ac:dyDescent="0.25">
      <c r="A16">
        <v>15</v>
      </c>
      <c r="B16" t="s">
        <v>130</v>
      </c>
      <c r="C16" s="1">
        <v>0</v>
      </c>
      <c r="D16" t="s">
        <v>112</v>
      </c>
      <c r="E16" s="16" t="s">
        <v>391</v>
      </c>
      <c r="F16" s="2" t="s">
        <v>56</v>
      </c>
      <c r="G16" t="s">
        <v>113</v>
      </c>
      <c r="H16" t="s">
        <v>372</v>
      </c>
      <c r="I16" t="s">
        <v>132</v>
      </c>
      <c r="J16" t="s">
        <v>118</v>
      </c>
      <c r="K16">
        <v>8</v>
      </c>
      <c r="L16" t="s">
        <v>89</v>
      </c>
      <c r="M16" s="4">
        <f>_xlfn.XLOOKUP(F16, 'Sheet12.10.25'!C:C, 'Sheet12.10.25'!F:F, "")*K16</f>
        <v>39.031999999999996</v>
      </c>
      <c r="N16" t="s">
        <v>90</v>
      </c>
      <c r="R16" t="s">
        <v>91</v>
      </c>
      <c r="T16" t="s">
        <v>92</v>
      </c>
      <c r="V16" t="s">
        <v>93</v>
      </c>
      <c r="X16" t="s">
        <v>94</v>
      </c>
      <c r="Z16" t="s">
        <v>95</v>
      </c>
      <c r="AB16" t="s">
        <v>96</v>
      </c>
      <c r="AD16" t="s">
        <v>97</v>
      </c>
      <c r="AF16" t="s">
        <v>98</v>
      </c>
      <c r="AI16" t="s">
        <v>187</v>
      </c>
      <c r="AJ16">
        <v>1</v>
      </c>
      <c r="AK16" t="s">
        <v>100</v>
      </c>
      <c r="AN16">
        <v>0.02</v>
      </c>
      <c r="AO16">
        <v>0.03</v>
      </c>
      <c r="AP16">
        <v>0.2</v>
      </c>
      <c r="AQ16">
        <v>0.3</v>
      </c>
      <c r="AR16">
        <v>0.1</v>
      </c>
      <c r="AS16">
        <v>0.1</v>
      </c>
      <c r="AT16">
        <v>0.15</v>
      </c>
      <c r="AU16">
        <v>0.1</v>
      </c>
      <c r="AV16">
        <v>120</v>
      </c>
      <c r="AW16" t="s">
        <v>101</v>
      </c>
      <c r="AX16" t="s">
        <v>101</v>
      </c>
      <c r="AY16" t="s">
        <v>101</v>
      </c>
    </row>
    <row r="17" spans="1:51" x14ac:dyDescent="0.25">
      <c r="A17">
        <v>16</v>
      </c>
      <c r="B17" t="s">
        <v>133</v>
      </c>
      <c r="C17" s="1">
        <v>0</v>
      </c>
      <c r="D17" t="s">
        <v>112</v>
      </c>
      <c r="E17" s="16" t="s">
        <v>391</v>
      </c>
      <c r="F17" s="2" t="s">
        <v>56</v>
      </c>
      <c r="G17" t="s">
        <v>113</v>
      </c>
      <c r="H17" t="s">
        <v>372</v>
      </c>
      <c r="I17" t="s">
        <v>134</v>
      </c>
      <c r="J17" t="s">
        <v>118</v>
      </c>
      <c r="K17">
        <v>49</v>
      </c>
      <c r="L17" t="s">
        <v>89</v>
      </c>
      <c r="M17" s="4">
        <f>_xlfn.XLOOKUP(F17, 'Sheet12.10.25'!C:C, 'Sheet12.10.25'!F:F, "")*K17</f>
        <v>239.07099999999997</v>
      </c>
      <c r="N17" t="s">
        <v>90</v>
      </c>
      <c r="R17" t="s">
        <v>91</v>
      </c>
      <c r="T17" t="s">
        <v>92</v>
      </c>
      <c r="V17" t="s">
        <v>93</v>
      </c>
      <c r="X17" t="s">
        <v>94</v>
      </c>
      <c r="Z17" t="s">
        <v>95</v>
      </c>
      <c r="AB17" t="s">
        <v>96</v>
      </c>
      <c r="AD17" t="s">
        <v>97</v>
      </c>
      <c r="AF17" t="s">
        <v>98</v>
      </c>
      <c r="AI17" t="s">
        <v>187</v>
      </c>
      <c r="AJ17">
        <v>1</v>
      </c>
      <c r="AK17" t="s">
        <v>100</v>
      </c>
      <c r="AN17">
        <v>0.02</v>
      </c>
      <c r="AO17">
        <v>0.03</v>
      </c>
      <c r="AP17">
        <v>0.2</v>
      </c>
      <c r="AQ17">
        <v>0.3</v>
      </c>
      <c r="AR17">
        <v>0.1</v>
      </c>
      <c r="AS17">
        <v>0.1</v>
      </c>
      <c r="AT17">
        <v>0.15</v>
      </c>
      <c r="AU17">
        <v>0.1</v>
      </c>
      <c r="AV17">
        <v>120</v>
      </c>
      <c r="AW17" t="s">
        <v>101</v>
      </c>
      <c r="AX17" t="s">
        <v>101</v>
      </c>
      <c r="AY17" t="s">
        <v>101</v>
      </c>
    </row>
    <row r="18" spans="1:51" x14ac:dyDescent="0.25">
      <c r="A18">
        <v>17</v>
      </c>
      <c r="B18" t="s">
        <v>135</v>
      </c>
      <c r="C18" s="1">
        <v>0</v>
      </c>
      <c r="D18" t="s">
        <v>112</v>
      </c>
      <c r="E18" s="16" t="s">
        <v>391</v>
      </c>
      <c r="F18" s="2" t="s">
        <v>56</v>
      </c>
      <c r="G18" t="s">
        <v>113</v>
      </c>
      <c r="H18" t="s">
        <v>372</v>
      </c>
      <c r="I18" t="s">
        <v>136</v>
      </c>
      <c r="J18" t="s">
        <v>118</v>
      </c>
      <c r="K18">
        <v>115</v>
      </c>
      <c r="L18" t="s">
        <v>89</v>
      </c>
      <c r="M18" s="4">
        <f>_xlfn.XLOOKUP(F18, 'Sheet12.10.25'!C:C, 'Sheet12.10.25'!F:F, "")*K18</f>
        <v>561.08499999999992</v>
      </c>
      <c r="N18" t="s">
        <v>90</v>
      </c>
      <c r="R18" t="s">
        <v>91</v>
      </c>
      <c r="T18" t="s">
        <v>92</v>
      </c>
      <c r="V18" t="s">
        <v>93</v>
      </c>
      <c r="X18" t="s">
        <v>94</v>
      </c>
      <c r="Z18" t="s">
        <v>95</v>
      </c>
      <c r="AB18" t="s">
        <v>96</v>
      </c>
      <c r="AD18" t="s">
        <v>97</v>
      </c>
      <c r="AF18" t="s">
        <v>98</v>
      </c>
      <c r="AI18" t="s">
        <v>187</v>
      </c>
      <c r="AJ18">
        <v>1</v>
      </c>
      <c r="AK18" t="s">
        <v>100</v>
      </c>
      <c r="AN18">
        <v>0.02</v>
      </c>
      <c r="AO18">
        <v>0.03</v>
      </c>
      <c r="AP18">
        <v>0.2</v>
      </c>
      <c r="AQ18">
        <v>0.3</v>
      </c>
      <c r="AR18">
        <v>0.1</v>
      </c>
      <c r="AS18">
        <v>0.1</v>
      </c>
      <c r="AT18">
        <v>0.15</v>
      </c>
      <c r="AU18">
        <v>0.1</v>
      </c>
      <c r="AV18">
        <v>120</v>
      </c>
      <c r="AW18" t="s">
        <v>101</v>
      </c>
      <c r="AX18" t="s">
        <v>101</v>
      </c>
      <c r="AY18" t="s">
        <v>101</v>
      </c>
    </row>
    <row r="19" spans="1:51" x14ac:dyDescent="0.25">
      <c r="A19">
        <v>18</v>
      </c>
      <c r="B19" t="s">
        <v>137</v>
      </c>
      <c r="C19" s="1">
        <v>0</v>
      </c>
      <c r="D19" t="s">
        <v>112</v>
      </c>
      <c r="E19" s="16" t="s">
        <v>399</v>
      </c>
      <c r="F19" s="2" t="s">
        <v>55</v>
      </c>
      <c r="G19" t="s">
        <v>113</v>
      </c>
      <c r="H19" t="s">
        <v>372</v>
      </c>
      <c r="I19" t="s">
        <v>138</v>
      </c>
      <c r="J19" t="s">
        <v>88</v>
      </c>
      <c r="K19">
        <v>2</v>
      </c>
      <c r="L19" t="s">
        <v>89</v>
      </c>
      <c r="M19" s="4">
        <f>_xlfn.XLOOKUP(F19, 'Sheet12.10.25'!C:C, 'Sheet12.10.25'!F:F, "")*K19</f>
        <v>10.234</v>
      </c>
      <c r="N19" t="s">
        <v>90</v>
      </c>
      <c r="R19" t="s">
        <v>91</v>
      </c>
      <c r="T19" t="s">
        <v>92</v>
      </c>
      <c r="V19" t="s">
        <v>93</v>
      </c>
      <c r="X19" t="s">
        <v>94</v>
      </c>
      <c r="Z19" t="s">
        <v>95</v>
      </c>
      <c r="AB19" t="s">
        <v>96</v>
      </c>
      <c r="AD19" t="s">
        <v>97</v>
      </c>
      <c r="AF19" t="s">
        <v>98</v>
      </c>
      <c r="AI19" t="s">
        <v>331</v>
      </c>
      <c r="AJ19">
        <v>1</v>
      </c>
      <c r="AK19" t="s">
        <v>107</v>
      </c>
      <c r="AN19">
        <v>0.02</v>
      </c>
      <c r="AO19">
        <v>0.03</v>
      </c>
      <c r="AP19">
        <v>0.2</v>
      </c>
      <c r="AQ19">
        <v>0.3</v>
      </c>
      <c r="AR19">
        <v>0.1</v>
      </c>
      <c r="AS19">
        <v>0.1</v>
      </c>
      <c r="AT19">
        <v>0.15</v>
      </c>
      <c r="AU19">
        <v>0.1</v>
      </c>
      <c r="AV19">
        <v>403</v>
      </c>
      <c r="AW19" t="s">
        <v>101</v>
      </c>
      <c r="AX19" t="s">
        <v>101</v>
      </c>
      <c r="AY19" t="s">
        <v>101</v>
      </c>
    </row>
    <row r="20" spans="1:51" x14ac:dyDescent="0.25">
      <c r="A20">
        <v>19</v>
      </c>
      <c r="B20" t="s">
        <v>137</v>
      </c>
      <c r="C20" s="1">
        <v>0</v>
      </c>
      <c r="D20" t="s">
        <v>112</v>
      </c>
      <c r="E20" s="16" t="s">
        <v>399</v>
      </c>
      <c r="F20" s="2" t="s">
        <v>56</v>
      </c>
      <c r="G20" t="s">
        <v>113</v>
      </c>
      <c r="H20" t="s">
        <v>372</v>
      </c>
      <c r="I20" t="s">
        <v>139</v>
      </c>
      <c r="J20" t="s">
        <v>118</v>
      </c>
      <c r="K20">
        <v>21</v>
      </c>
      <c r="L20" t="s">
        <v>89</v>
      </c>
      <c r="M20" s="4">
        <f>_xlfn.XLOOKUP(F20, 'Sheet12.10.25'!C:C, 'Sheet12.10.25'!F:F, "")*K20</f>
        <v>102.45899999999999</v>
      </c>
      <c r="N20" t="s">
        <v>90</v>
      </c>
      <c r="R20" t="s">
        <v>91</v>
      </c>
      <c r="T20" t="s">
        <v>92</v>
      </c>
      <c r="V20" t="s">
        <v>93</v>
      </c>
      <c r="X20" t="s">
        <v>94</v>
      </c>
      <c r="Z20" t="s">
        <v>95</v>
      </c>
      <c r="AB20" t="s">
        <v>96</v>
      </c>
      <c r="AD20" t="s">
        <v>97</v>
      </c>
      <c r="AF20" t="s">
        <v>98</v>
      </c>
      <c r="AI20" t="s">
        <v>331</v>
      </c>
      <c r="AJ20">
        <v>1</v>
      </c>
      <c r="AK20" t="s">
        <v>110</v>
      </c>
      <c r="AN20">
        <v>0.02</v>
      </c>
      <c r="AO20">
        <v>0.03</v>
      </c>
      <c r="AP20">
        <v>0.2</v>
      </c>
      <c r="AQ20">
        <v>0.3</v>
      </c>
      <c r="AR20">
        <v>0.1</v>
      </c>
      <c r="AS20">
        <v>0.1</v>
      </c>
      <c r="AT20">
        <v>0.15</v>
      </c>
      <c r="AU20">
        <v>0.1</v>
      </c>
      <c r="AV20">
        <v>403</v>
      </c>
      <c r="AW20" t="s">
        <v>101</v>
      </c>
      <c r="AX20" t="s">
        <v>101</v>
      </c>
      <c r="AY20" t="s">
        <v>101</v>
      </c>
    </row>
    <row r="21" spans="1:51" x14ac:dyDescent="0.25">
      <c r="A21">
        <v>20</v>
      </c>
      <c r="B21" t="s">
        <v>140</v>
      </c>
      <c r="C21" s="1">
        <v>0</v>
      </c>
      <c r="D21" t="s">
        <v>112</v>
      </c>
      <c r="E21" s="16" t="s">
        <v>399</v>
      </c>
      <c r="F21" s="2" t="s">
        <v>55</v>
      </c>
      <c r="G21" t="s">
        <v>113</v>
      </c>
      <c r="H21" t="s">
        <v>372</v>
      </c>
      <c r="I21" t="s">
        <v>141</v>
      </c>
      <c r="J21" s="3" t="s">
        <v>88</v>
      </c>
      <c r="K21">
        <v>9</v>
      </c>
      <c r="L21" t="s">
        <v>89</v>
      </c>
      <c r="M21" s="4">
        <f>_xlfn.XLOOKUP(F21, 'Sheet12.10.25'!C:C, 'Sheet12.10.25'!F:F, "")*K21</f>
        <v>46.052999999999997</v>
      </c>
      <c r="N21" t="s">
        <v>90</v>
      </c>
      <c r="R21" t="s">
        <v>91</v>
      </c>
      <c r="T21" t="s">
        <v>92</v>
      </c>
      <c r="V21" t="s">
        <v>93</v>
      </c>
      <c r="X21" t="s">
        <v>94</v>
      </c>
      <c r="Z21" t="s">
        <v>95</v>
      </c>
      <c r="AB21" t="s">
        <v>96</v>
      </c>
      <c r="AD21" t="s">
        <v>97</v>
      </c>
      <c r="AF21" t="s">
        <v>98</v>
      </c>
      <c r="AI21" t="s">
        <v>331</v>
      </c>
      <c r="AJ21">
        <v>1</v>
      </c>
      <c r="AK21" t="s">
        <v>116</v>
      </c>
      <c r="AN21">
        <v>0.02</v>
      </c>
      <c r="AO21">
        <v>0.03</v>
      </c>
      <c r="AP21">
        <v>0.2</v>
      </c>
      <c r="AQ21">
        <v>0.3</v>
      </c>
      <c r="AR21">
        <v>0.1</v>
      </c>
      <c r="AS21">
        <v>0.1</v>
      </c>
      <c r="AT21">
        <v>0.15</v>
      </c>
      <c r="AU21">
        <v>0.1</v>
      </c>
      <c r="AV21">
        <v>403</v>
      </c>
      <c r="AW21" t="s">
        <v>101</v>
      </c>
      <c r="AX21" t="s">
        <v>101</v>
      </c>
      <c r="AY21" t="s">
        <v>101</v>
      </c>
    </row>
    <row r="22" spans="1:51" x14ac:dyDescent="0.25">
      <c r="A22">
        <v>21</v>
      </c>
      <c r="B22" t="s">
        <v>140</v>
      </c>
      <c r="C22" s="1"/>
      <c r="E22" s="16" t="s">
        <v>399</v>
      </c>
      <c r="F22" s="2" t="s">
        <v>56</v>
      </c>
      <c r="G22" t="s">
        <v>113</v>
      </c>
      <c r="H22" t="s">
        <v>372</v>
      </c>
      <c r="I22" t="s">
        <v>142</v>
      </c>
      <c r="J22" s="3" t="s">
        <v>118</v>
      </c>
      <c r="K22">
        <v>20</v>
      </c>
      <c r="L22" t="s">
        <v>89</v>
      </c>
      <c r="M22" s="4">
        <f>_xlfn.XLOOKUP(F22, 'Sheet12.10.25'!C:C, 'Sheet12.10.25'!F:F, "")*K22</f>
        <v>97.579999999999984</v>
      </c>
      <c r="N22" t="s">
        <v>90</v>
      </c>
      <c r="R22" t="s">
        <v>91</v>
      </c>
      <c r="T22" t="s">
        <v>92</v>
      </c>
      <c r="V22" t="s">
        <v>93</v>
      </c>
      <c r="X22" t="s">
        <v>94</v>
      </c>
      <c r="Z22" t="s">
        <v>95</v>
      </c>
      <c r="AB22" t="s">
        <v>96</v>
      </c>
      <c r="AD22" t="s">
        <v>97</v>
      </c>
      <c r="AF22" t="s">
        <v>98</v>
      </c>
      <c r="AI22" t="s">
        <v>331</v>
      </c>
      <c r="AJ22">
        <v>1</v>
      </c>
      <c r="AN22">
        <v>0.02</v>
      </c>
      <c r="AO22">
        <v>0.03</v>
      </c>
      <c r="AP22">
        <v>0.2</v>
      </c>
      <c r="AQ22">
        <v>0.3</v>
      </c>
      <c r="AR22">
        <v>0.1</v>
      </c>
      <c r="AS22">
        <v>0.1</v>
      </c>
      <c r="AT22">
        <v>0.15</v>
      </c>
      <c r="AU22">
        <v>0.1</v>
      </c>
      <c r="AV22">
        <v>403</v>
      </c>
      <c r="AW22" t="s">
        <v>101</v>
      </c>
      <c r="AX22" t="s">
        <v>101</v>
      </c>
      <c r="AY22" t="s">
        <v>101</v>
      </c>
    </row>
    <row r="23" spans="1:51" x14ac:dyDescent="0.25">
      <c r="A23">
        <v>22</v>
      </c>
      <c r="B23" t="s">
        <v>143</v>
      </c>
      <c r="C23" s="1">
        <v>0</v>
      </c>
      <c r="D23" t="s">
        <v>112</v>
      </c>
      <c r="E23" s="16" t="s">
        <v>399</v>
      </c>
      <c r="F23" s="2" t="s">
        <v>55</v>
      </c>
      <c r="G23" t="s">
        <v>113</v>
      </c>
      <c r="H23" t="s">
        <v>372</v>
      </c>
      <c r="I23" t="s">
        <v>144</v>
      </c>
      <c r="J23" s="3" t="s">
        <v>88</v>
      </c>
      <c r="K23">
        <v>3</v>
      </c>
      <c r="L23" t="s">
        <v>89</v>
      </c>
      <c r="M23" s="4">
        <f>_xlfn.XLOOKUP(F23, 'Sheet12.10.25'!C:C, 'Sheet12.10.25'!F:F, "")*K23</f>
        <v>15.350999999999999</v>
      </c>
      <c r="N23" t="s">
        <v>90</v>
      </c>
      <c r="R23" t="s">
        <v>91</v>
      </c>
      <c r="T23" t="s">
        <v>92</v>
      </c>
      <c r="V23" t="s">
        <v>93</v>
      </c>
      <c r="X23" t="s">
        <v>94</v>
      </c>
      <c r="Z23" t="s">
        <v>95</v>
      </c>
      <c r="AB23" t="s">
        <v>96</v>
      </c>
      <c r="AD23" t="s">
        <v>97</v>
      </c>
      <c r="AF23" t="s">
        <v>98</v>
      </c>
      <c r="AI23" t="s">
        <v>331</v>
      </c>
      <c r="AJ23">
        <v>1</v>
      </c>
      <c r="AK23" t="s">
        <v>100</v>
      </c>
      <c r="AN23">
        <v>0.02</v>
      </c>
      <c r="AO23">
        <v>0.03</v>
      </c>
      <c r="AP23">
        <v>0.2</v>
      </c>
      <c r="AQ23">
        <v>0.3</v>
      </c>
      <c r="AR23">
        <v>0.1</v>
      </c>
      <c r="AS23">
        <v>0.1</v>
      </c>
      <c r="AT23">
        <v>0.15</v>
      </c>
      <c r="AU23">
        <v>0.1</v>
      </c>
      <c r="AV23">
        <v>403</v>
      </c>
      <c r="AW23" t="s">
        <v>101</v>
      </c>
      <c r="AX23" t="s">
        <v>101</v>
      </c>
      <c r="AY23" t="s">
        <v>101</v>
      </c>
    </row>
    <row r="24" spans="1:51" x14ac:dyDescent="0.25">
      <c r="A24">
        <v>23</v>
      </c>
      <c r="B24" t="s">
        <v>143</v>
      </c>
      <c r="C24" s="1"/>
      <c r="E24" s="16" t="s">
        <v>399</v>
      </c>
      <c r="F24" s="2" t="s">
        <v>56</v>
      </c>
      <c r="G24" t="s">
        <v>113</v>
      </c>
      <c r="H24" t="s">
        <v>372</v>
      </c>
      <c r="I24" t="s">
        <v>144</v>
      </c>
      <c r="J24" t="s">
        <v>118</v>
      </c>
      <c r="K24">
        <v>126</v>
      </c>
      <c r="L24" t="s">
        <v>89</v>
      </c>
      <c r="M24" s="4">
        <f>_xlfn.XLOOKUP(F24, 'Sheet12.10.25'!C:C, 'Sheet12.10.25'!F:F, "")*K24</f>
        <v>614.75399999999991</v>
      </c>
      <c r="N24" t="s">
        <v>90</v>
      </c>
      <c r="R24" t="s">
        <v>91</v>
      </c>
      <c r="T24" t="s">
        <v>92</v>
      </c>
      <c r="V24" t="s">
        <v>93</v>
      </c>
      <c r="X24" t="s">
        <v>94</v>
      </c>
      <c r="Z24" t="s">
        <v>95</v>
      </c>
      <c r="AB24" t="s">
        <v>96</v>
      </c>
      <c r="AD24" t="s">
        <v>97</v>
      </c>
      <c r="AF24" t="s">
        <v>98</v>
      </c>
      <c r="AI24" t="s">
        <v>331</v>
      </c>
      <c r="AJ24">
        <v>1</v>
      </c>
      <c r="AN24">
        <v>0.02</v>
      </c>
      <c r="AO24">
        <v>0.03</v>
      </c>
      <c r="AP24">
        <v>0.2</v>
      </c>
      <c r="AQ24">
        <v>0.3</v>
      </c>
      <c r="AR24">
        <v>0.1</v>
      </c>
      <c r="AS24">
        <v>0.1</v>
      </c>
      <c r="AT24">
        <v>0.15</v>
      </c>
      <c r="AU24">
        <v>0.1</v>
      </c>
      <c r="AV24">
        <v>403</v>
      </c>
      <c r="AW24" t="s">
        <v>101</v>
      </c>
      <c r="AX24" t="s">
        <v>101</v>
      </c>
      <c r="AY24" t="s">
        <v>101</v>
      </c>
    </row>
    <row r="25" spans="1:51" x14ac:dyDescent="0.25">
      <c r="A25">
        <v>24</v>
      </c>
      <c r="B25" t="s">
        <v>145</v>
      </c>
      <c r="C25" s="1">
        <v>0</v>
      </c>
      <c r="D25" t="s">
        <v>112</v>
      </c>
      <c r="E25" s="16" t="s">
        <v>399</v>
      </c>
      <c r="F25" s="2" t="s">
        <v>56</v>
      </c>
      <c r="G25" t="s">
        <v>113</v>
      </c>
      <c r="H25" t="s">
        <v>372</v>
      </c>
      <c r="I25" t="s">
        <v>146</v>
      </c>
      <c r="J25" t="s">
        <v>118</v>
      </c>
      <c r="K25">
        <v>39</v>
      </c>
      <c r="L25" t="s">
        <v>89</v>
      </c>
      <c r="M25" s="4">
        <f>_xlfn.XLOOKUP(F25, 'Sheet12.10.25'!C:C, 'Sheet12.10.25'!F:F, "")*K25</f>
        <v>190.28099999999998</v>
      </c>
      <c r="N25" t="s">
        <v>90</v>
      </c>
      <c r="R25" t="s">
        <v>91</v>
      </c>
      <c r="T25" t="s">
        <v>92</v>
      </c>
      <c r="V25" t="s">
        <v>93</v>
      </c>
      <c r="X25" t="s">
        <v>94</v>
      </c>
      <c r="Z25" t="s">
        <v>95</v>
      </c>
      <c r="AB25" t="s">
        <v>96</v>
      </c>
      <c r="AD25" t="s">
        <v>97</v>
      </c>
      <c r="AF25" t="s">
        <v>98</v>
      </c>
      <c r="AI25" t="s">
        <v>331</v>
      </c>
      <c r="AJ25">
        <v>1</v>
      </c>
      <c r="AK25" t="s">
        <v>104</v>
      </c>
      <c r="AN25">
        <v>0.02</v>
      </c>
      <c r="AO25">
        <v>0.03</v>
      </c>
      <c r="AP25">
        <v>0.2</v>
      </c>
      <c r="AQ25">
        <v>0.3</v>
      </c>
      <c r="AR25">
        <v>0.1</v>
      </c>
      <c r="AS25">
        <v>0.1</v>
      </c>
      <c r="AT25">
        <v>0.15</v>
      </c>
      <c r="AU25">
        <v>0.1</v>
      </c>
      <c r="AV25">
        <v>403</v>
      </c>
      <c r="AW25" t="s">
        <v>101</v>
      </c>
      <c r="AX25" t="s">
        <v>101</v>
      </c>
      <c r="AY25" t="s">
        <v>101</v>
      </c>
    </row>
    <row r="26" spans="1:51" x14ac:dyDescent="0.25">
      <c r="A26">
        <v>25</v>
      </c>
      <c r="B26" t="s">
        <v>147</v>
      </c>
      <c r="C26" s="1">
        <v>0</v>
      </c>
      <c r="D26" t="s">
        <v>148</v>
      </c>
      <c r="E26" s="16" t="s">
        <v>386</v>
      </c>
      <c r="F26" s="2" t="s">
        <v>57</v>
      </c>
      <c r="G26" t="s">
        <v>149</v>
      </c>
      <c r="H26" t="s">
        <v>372</v>
      </c>
      <c r="I26" t="s">
        <v>150</v>
      </c>
      <c r="J26" t="s">
        <v>88</v>
      </c>
      <c r="K26">
        <v>91</v>
      </c>
      <c r="L26" t="s">
        <v>89</v>
      </c>
      <c r="M26" s="4">
        <f>_xlfn.XLOOKUP(F26, 'Sheet12.10.25'!C:C, 'Sheet12.10.25'!F:F, "")*K26</f>
        <v>227.40900000000002</v>
      </c>
      <c r="N26" t="s">
        <v>151</v>
      </c>
      <c r="R26" t="s">
        <v>91</v>
      </c>
      <c r="T26" t="s">
        <v>92</v>
      </c>
      <c r="V26" t="s">
        <v>93</v>
      </c>
      <c r="X26" t="s">
        <v>94</v>
      </c>
      <c r="Z26" t="s">
        <v>152</v>
      </c>
      <c r="AB26" t="s">
        <v>153</v>
      </c>
      <c r="AD26" t="s">
        <v>97</v>
      </c>
      <c r="AF26" t="s">
        <v>98</v>
      </c>
      <c r="AI26" t="s">
        <v>327</v>
      </c>
      <c r="AJ26">
        <v>1</v>
      </c>
      <c r="AK26" t="s">
        <v>107</v>
      </c>
      <c r="AN26">
        <v>0.02</v>
      </c>
      <c r="AO26">
        <v>0.03</v>
      </c>
      <c r="AP26">
        <v>0.2</v>
      </c>
      <c r="AQ26">
        <v>0.3</v>
      </c>
      <c r="AR26">
        <v>0.1</v>
      </c>
      <c r="AS26">
        <v>0.1</v>
      </c>
      <c r="AT26">
        <v>0.15</v>
      </c>
      <c r="AU26">
        <v>0.1</v>
      </c>
      <c r="AV26">
        <v>401</v>
      </c>
      <c r="AW26" t="s">
        <v>155</v>
      </c>
      <c r="AX26" t="s">
        <v>101</v>
      </c>
      <c r="AY26" t="s">
        <v>101</v>
      </c>
    </row>
    <row r="27" spans="1:51" x14ac:dyDescent="0.25">
      <c r="A27">
        <v>26</v>
      </c>
      <c r="B27" t="s">
        <v>156</v>
      </c>
      <c r="C27" s="1">
        <v>0</v>
      </c>
      <c r="D27" t="s">
        <v>148</v>
      </c>
      <c r="E27" s="16" t="s">
        <v>386</v>
      </c>
      <c r="F27" s="2" t="s">
        <v>57</v>
      </c>
      <c r="G27" t="s">
        <v>149</v>
      </c>
      <c r="H27" t="s">
        <v>372</v>
      </c>
      <c r="I27" t="s">
        <v>157</v>
      </c>
      <c r="J27" t="s">
        <v>88</v>
      </c>
      <c r="K27">
        <v>34</v>
      </c>
      <c r="L27" t="s">
        <v>89</v>
      </c>
      <c r="M27" s="4">
        <f>_xlfn.XLOOKUP(F27, 'Sheet12.10.25'!C:C, 'Sheet12.10.25'!F:F, "")*K27</f>
        <v>84.966000000000008</v>
      </c>
      <c r="N27" t="s">
        <v>151</v>
      </c>
      <c r="R27" t="s">
        <v>91</v>
      </c>
      <c r="T27" t="s">
        <v>92</v>
      </c>
      <c r="V27" t="s">
        <v>93</v>
      </c>
      <c r="X27" t="s">
        <v>94</v>
      </c>
      <c r="Z27" t="s">
        <v>152</v>
      </c>
      <c r="AB27" t="s">
        <v>153</v>
      </c>
      <c r="AD27" t="s">
        <v>97</v>
      </c>
      <c r="AF27" t="s">
        <v>98</v>
      </c>
      <c r="AI27" t="s">
        <v>327</v>
      </c>
      <c r="AJ27">
        <v>1</v>
      </c>
      <c r="AK27" t="s">
        <v>110</v>
      </c>
      <c r="AN27">
        <v>0.02</v>
      </c>
      <c r="AO27">
        <v>0.03</v>
      </c>
      <c r="AP27">
        <v>0.2</v>
      </c>
      <c r="AQ27">
        <v>0.3</v>
      </c>
      <c r="AR27">
        <v>0.1</v>
      </c>
      <c r="AS27">
        <v>0.1</v>
      </c>
      <c r="AT27">
        <v>0.15</v>
      </c>
      <c r="AU27">
        <v>0.1</v>
      </c>
      <c r="AV27">
        <v>401</v>
      </c>
      <c r="AW27" t="s">
        <v>155</v>
      </c>
      <c r="AX27" t="s">
        <v>101</v>
      </c>
      <c r="AY27" t="s">
        <v>101</v>
      </c>
    </row>
    <row r="28" spans="1:51" x14ac:dyDescent="0.25">
      <c r="A28">
        <v>27</v>
      </c>
      <c r="B28" t="s">
        <v>158</v>
      </c>
      <c r="C28" s="1">
        <v>0</v>
      </c>
      <c r="D28" t="s">
        <v>148</v>
      </c>
      <c r="E28" s="16" t="s">
        <v>386</v>
      </c>
      <c r="F28" s="2" t="s">
        <v>57</v>
      </c>
      <c r="G28" t="s">
        <v>149</v>
      </c>
      <c r="H28" t="s">
        <v>372</v>
      </c>
      <c r="I28" t="s">
        <v>159</v>
      </c>
      <c r="J28" t="s">
        <v>88</v>
      </c>
      <c r="K28">
        <v>110</v>
      </c>
      <c r="L28" t="s">
        <v>89</v>
      </c>
      <c r="M28" s="4">
        <f>_xlfn.XLOOKUP(F28, 'Sheet12.10.25'!C:C, 'Sheet12.10.25'!F:F, "")*K28</f>
        <v>274.89</v>
      </c>
      <c r="N28" t="s">
        <v>151</v>
      </c>
      <c r="R28" t="s">
        <v>91</v>
      </c>
      <c r="T28" t="s">
        <v>92</v>
      </c>
      <c r="V28" t="s">
        <v>93</v>
      </c>
      <c r="X28" t="s">
        <v>94</v>
      </c>
      <c r="Z28" t="s">
        <v>152</v>
      </c>
      <c r="AB28" t="s">
        <v>153</v>
      </c>
      <c r="AD28" t="s">
        <v>97</v>
      </c>
      <c r="AF28" t="s">
        <v>98</v>
      </c>
      <c r="AI28" t="s">
        <v>327</v>
      </c>
      <c r="AJ28">
        <v>1</v>
      </c>
      <c r="AK28" t="s">
        <v>116</v>
      </c>
      <c r="AN28">
        <v>0.02</v>
      </c>
      <c r="AO28">
        <v>0.03</v>
      </c>
      <c r="AP28">
        <v>0.2</v>
      </c>
      <c r="AQ28">
        <v>0.3</v>
      </c>
      <c r="AR28">
        <v>0.1</v>
      </c>
      <c r="AS28">
        <v>0.1</v>
      </c>
      <c r="AT28">
        <v>0.15</v>
      </c>
      <c r="AU28">
        <v>0.1</v>
      </c>
      <c r="AV28">
        <v>401</v>
      </c>
      <c r="AW28" t="s">
        <v>155</v>
      </c>
      <c r="AX28" t="s">
        <v>101</v>
      </c>
      <c r="AY28" t="s">
        <v>101</v>
      </c>
    </row>
    <row r="29" spans="1:51" x14ac:dyDescent="0.25">
      <c r="A29">
        <v>28</v>
      </c>
      <c r="B29" t="s">
        <v>160</v>
      </c>
      <c r="C29" s="1">
        <v>0</v>
      </c>
      <c r="D29" t="s">
        <v>148</v>
      </c>
      <c r="E29" s="16" t="s">
        <v>386</v>
      </c>
      <c r="F29" s="2" t="s">
        <v>57</v>
      </c>
      <c r="G29" t="s">
        <v>149</v>
      </c>
      <c r="H29" t="s">
        <v>372</v>
      </c>
      <c r="I29" t="s">
        <v>161</v>
      </c>
      <c r="J29" t="s">
        <v>88</v>
      </c>
      <c r="K29">
        <v>66</v>
      </c>
      <c r="L29" t="s">
        <v>89</v>
      </c>
      <c r="M29" s="4">
        <f>_xlfn.XLOOKUP(F29, 'Sheet12.10.25'!C:C, 'Sheet12.10.25'!F:F, "")*K29</f>
        <v>164.934</v>
      </c>
      <c r="N29" t="s">
        <v>151</v>
      </c>
      <c r="R29" t="s">
        <v>91</v>
      </c>
      <c r="T29" t="s">
        <v>92</v>
      </c>
      <c r="V29" t="s">
        <v>93</v>
      </c>
      <c r="X29" t="s">
        <v>94</v>
      </c>
      <c r="Z29" t="s">
        <v>152</v>
      </c>
      <c r="AB29" t="s">
        <v>153</v>
      </c>
      <c r="AD29" t="s">
        <v>97</v>
      </c>
      <c r="AF29" t="s">
        <v>98</v>
      </c>
      <c r="AI29" t="s">
        <v>327</v>
      </c>
      <c r="AJ29">
        <v>1</v>
      </c>
      <c r="AK29" t="s">
        <v>100</v>
      </c>
      <c r="AN29">
        <v>0.02</v>
      </c>
      <c r="AO29">
        <v>0.03</v>
      </c>
      <c r="AP29">
        <v>0.2</v>
      </c>
      <c r="AQ29">
        <v>0.3</v>
      </c>
      <c r="AR29">
        <v>0.1</v>
      </c>
      <c r="AS29">
        <v>0.1</v>
      </c>
      <c r="AT29">
        <v>0.15</v>
      </c>
      <c r="AU29">
        <v>0.1</v>
      </c>
      <c r="AV29">
        <v>401</v>
      </c>
      <c r="AW29" t="s">
        <v>155</v>
      </c>
      <c r="AX29" t="s">
        <v>101</v>
      </c>
      <c r="AY29" t="s">
        <v>101</v>
      </c>
    </row>
    <row r="30" spans="1:51" x14ac:dyDescent="0.25">
      <c r="A30">
        <v>29</v>
      </c>
      <c r="B30" t="s">
        <v>162</v>
      </c>
      <c r="C30" s="1">
        <v>0</v>
      </c>
      <c r="D30" t="s">
        <v>148</v>
      </c>
      <c r="E30" s="16" t="s">
        <v>386</v>
      </c>
      <c r="F30" s="2" t="s">
        <v>57</v>
      </c>
      <c r="G30" t="s">
        <v>149</v>
      </c>
      <c r="H30" t="s">
        <v>372</v>
      </c>
      <c r="I30" t="s">
        <v>163</v>
      </c>
      <c r="J30" t="s">
        <v>88</v>
      </c>
      <c r="K30">
        <v>54</v>
      </c>
      <c r="L30" t="s">
        <v>89</v>
      </c>
      <c r="M30" s="4">
        <f>_xlfn.XLOOKUP(F30, 'Sheet12.10.25'!C:C, 'Sheet12.10.25'!F:F, "")*K30</f>
        <v>134.946</v>
      </c>
      <c r="N30" t="s">
        <v>151</v>
      </c>
      <c r="R30" t="s">
        <v>91</v>
      </c>
      <c r="T30" t="s">
        <v>92</v>
      </c>
      <c r="V30" t="s">
        <v>93</v>
      </c>
      <c r="X30" t="s">
        <v>94</v>
      </c>
      <c r="Z30" t="s">
        <v>152</v>
      </c>
      <c r="AB30" t="s">
        <v>153</v>
      </c>
      <c r="AD30" t="s">
        <v>97</v>
      </c>
      <c r="AF30" t="s">
        <v>98</v>
      </c>
      <c r="AI30" t="s">
        <v>327</v>
      </c>
      <c r="AJ30">
        <v>1</v>
      </c>
      <c r="AK30" t="s">
        <v>104</v>
      </c>
      <c r="AN30">
        <v>0.02</v>
      </c>
      <c r="AO30">
        <v>0.03</v>
      </c>
      <c r="AP30">
        <v>0.2</v>
      </c>
      <c r="AQ30">
        <v>0.3</v>
      </c>
      <c r="AR30">
        <v>0.1</v>
      </c>
      <c r="AS30">
        <v>0.1</v>
      </c>
      <c r="AT30">
        <v>0.15</v>
      </c>
      <c r="AU30">
        <v>0.1</v>
      </c>
      <c r="AV30">
        <v>401</v>
      </c>
      <c r="AW30" t="s">
        <v>155</v>
      </c>
      <c r="AX30" t="s">
        <v>101</v>
      </c>
      <c r="AY30" t="s">
        <v>101</v>
      </c>
    </row>
    <row r="31" spans="1:51" x14ac:dyDescent="0.25">
      <c r="A31">
        <v>30</v>
      </c>
      <c r="B31" t="s">
        <v>164</v>
      </c>
      <c r="C31" s="1">
        <v>0</v>
      </c>
      <c r="D31" t="s">
        <v>148</v>
      </c>
      <c r="E31" s="16"/>
      <c r="F31" s="2" t="s">
        <v>57</v>
      </c>
      <c r="G31" t="s">
        <v>149</v>
      </c>
      <c r="H31" t="s">
        <v>372</v>
      </c>
      <c r="I31" t="s">
        <v>165</v>
      </c>
      <c r="J31" t="s">
        <v>88</v>
      </c>
      <c r="K31">
        <v>43</v>
      </c>
      <c r="L31" t="s">
        <v>89</v>
      </c>
      <c r="M31" s="4">
        <f>_xlfn.XLOOKUP(F31, 'Sheet12.10.25'!C:C, 'Sheet12.10.25'!F:F, "")*K31</f>
        <v>107.45700000000001</v>
      </c>
      <c r="N31" t="s">
        <v>151</v>
      </c>
      <c r="R31" t="s">
        <v>91</v>
      </c>
      <c r="T31" t="s">
        <v>92</v>
      </c>
      <c r="V31" t="s">
        <v>93</v>
      </c>
      <c r="X31" t="s">
        <v>94</v>
      </c>
      <c r="Z31" t="s">
        <v>152</v>
      </c>
      <c r="AB31" t="s">
        <v>153</v>
      </c>
      <c r="AD31" t="s">
        <v>97</v>
      </c>
      <c r="AF31" t="s">
        <v>98</v>
      </c>
      <c r="AI31" t="s">
        <v>166</v>
      </c>
      <c r="AJ31">
        <v>1</v>
      </c>
      <c r="AK31" t="s">
        <v>107</v>
      </c>
      <c r="AN31">
        <v>0.02</v>
      </c>
      <c r="AO31">
        <v>0.03</v>
      </c>
      <c r="AP31">
        <v>0.2</v>
      </c>
      <c r="AQ31">
        <v>0.3</v>
      </c>
      <c r="AR31">
        <v>0.1</v>
      </c>
      <c r="AS31">
        <v>0.1</v>
      </c>
      <c r="AT31">
        <v>0.15</v>
      </c>
      <c r="AU31">
        <v>0.1</v>
      </c>
      <c r="AV31">
        <v>120</v>
      </c>
      <c r="AW31" t="s">
        <v>167</v>
      </c>
      <c r="AX31" t="s">
        <v>101</v>
      </c>
      <c r="AY31" t="s">
        <v>101</v>
      </c>
    </row>
    <row r="32" spans="1:51" x14ac:dyDescent="0.25">
      <c r="A32">
        <v>31</v>
      </c>
      <c r="B32" t="s">
        <v>168</v>
      </c>
      <c r="C32" s="1">
        <v>0</v>
      </c>
      <c r="D32" t="s">
        <v>148</v>
      </c>
      <c r="E32" s="16" t="s">
        <v>402</v>
      </c>
      <c r="F32" s="2" t="s">
        <v>57</v>
      </c>
      <c r="G32" t="s">
        <v>149</v>
      </c>
      <c r="H32" t="s">
        <v>372</v>
      </c>
      <c r="I32" t="s">
        <v>169</v>
      </c>
      <c r="J32" t="s">
        <v>88</v>
      </c>
      <c r="K32">
        <v>92</v>
      </c>
      <c r="L32" t="s">
        <v>89</v>
      </c>
      <c r="M32" s="4">
        <f>_xlfn.XLOOKUP(F32, 'Sheet12.10.25'!C:C, 'Sheet12.10.25'!F:F, "")*K32</f>
        <v>229.90800000000002</v>
      </c>
      <c r="N32" t="s">
        <v>151</v>
      </c>
      <c r="R32" t="s">
        <v>91</v>
      </c>
      <c r="T32" t="s">
        <v>92</v>
      </c>
      <c r="V32" t="s">
        <v>93</v>
      </c>
      <c r="X32" t="s">
        <v>94</v>
      </c>
      <c r="Z32" t="s">
        <v>152</v>
      </c>
      <c r="AB32" t="s">
        <v>153</v>
      </c>
      <c r="AD32" t="s">
        <v>97</v>
      </c>
      <c r="AF32" t="s">
        <v>98</v>
      </c>
      <c r="AI32" t="s">
        <v>358</v>
      </c>
      <c r="AJ32">
        <v>1</v>
      </c>
      <c r="AK32" t="s">
        <v>110</v>
      </c>
      <c r="AN32">
        <v>0.02</v>
      </c>
      <c r="AO32">
        <v>0.03</v>
      </c>
      <c r="AP32">
        <v>0.2</v>
      </c>
      <c r="AQ32">
        <v>0.3</v>
      </c>
      <c r="AR32">
        <v>0.1</v>
      </c>
      <c r="AS32">
        <v>0.1</v>
      </c>
      <c r="AT32">
        <v>0.15</v>
      </c>
      <c r="AU32">
        <v>0.1</v>
      </c>
      <c r="AV32">
        <v>403</v>
      </c>
      <c r="AW32" t="s">
        <v>155</v>
      </c>
      <c r="AX32" t="s">
        <v>101</v>
      </c>
      <c r="AY32" t="s">
        <v>101</v>
      </c>
    </row>
    <row r="33" spans="1:51" x14ac:dyDescent="0.25">
      <c r="A33">
        <v>32</v>
      </c>
      <c r="B33" t="s">
        <v>170</v>
      </c>
      <c r="C33" s="1">
        <v>0</v>
      </c>
      <c r="D33" t="s">
        <v>148</v>
      </c>
      <c r="E33" s="16" t="s">
        <v>402</v>
      </c>
      <c r="F33" s="2" t="s">
        <v>57</v>
      </c>
      <c r="G33" t="s">
        <v>149</v>
      </c>
      <c r="H33" t="s">
        <v>372</v>
      </c>
      <c r="I33" t="s">
        <v>171</v>
      </c>
      <c r="J33" t="s">
        <v>88</v>
      </c>
      <c r="K33">
        <v>51</v>
      </c>
      <c r="L33" t="s">
        <v>89</v>
      </c>
      <c r="M33" s="4">
        <f>_xlfn.XLOOKUP(F33, 'Sheet12.10.25'!C:C, 'Sheet12.10.25'!F:F, "")*K33</f>
        <v>127.44900000000001</v>
      </c>
      <c r="N33" t="s">
        <v>151</v>
      </c>
      <c r="R33" t="s">
        <v>91</v>
      </c>
      <c r="T33" t="s">
        <v>92</v>
      </c>
      <c r="V33" t="s">
        <v>93</v>
      </c>
      <c r="X33" t="s">
        <v>94</v>
      </c>
      <c r="Z33" t="s">
        <v>152</v>
      </c>
      <c r="AB33" t="s">
        <v>153</v>
      </c>
      <c r="AD33" t="s">
        <v>97</v>
      </c>
      <c r="AF33" t="s">
        <v>98</v>
      </c>
      <c r="AI33" t="s">
        <v>358</v>
      </c>
      <c r="AJ33">
        <v>1</v>
      </c>
      <c r="AK33" t="s">
        <v>116</v>
      </c>
      <c r="AN33">
        <v>0.02</v>
      </c>
      <c r="AO33">
        <v>0.03</v>
      </c>
      <c r="AP33">
        <v>0.2</v>
      </c>
      <c r="AQ33">
        <v>0.3</v>
      </c>
      <c r="AR33">
        <v>0.1</v>
      </c>
      <c r="AS33">
        <v>0.1</v>
      </c>
      <c r="AT33">
        <v>0.15</v>
      </c>
      <c r="AU33">
        <v>0.1</v>
      </c>
      <c r="AV33">
        <v>403</v>
      </c>
      <c r="AW33" t="s">
        <v>155</v>
      </c>
      <c r="AX33" t="s">
        <v>101</v>
      </c>
      <c r="AY33" t="s">
        <v>101</v>
      </c>
    </row>
    <row r="34" spans="1:51" x14ac:dyDescent="0.25">
      <c r="A34">
        <v>33</v>
      </c>
      <c r="B34" t="s">
        <v>172</v>
      </c>
      <c r="C34" s="1">
        <v>0</v>
      </c>
      <c r="D34" t="s">
        <v>148</v>
      </c>
      <c r="E34" s="16" t="s">
        <v>402</v>
      </c>
      <c r="F34" s="2" t="s">
        <v>57</v>
      </c>
      <c r="G34" t="s">
        <v>149</v>
      </c>
      <c r="H34" t="s">
        <v>372</v>
      </c>
      <c r="I34" t="s">
        <v>173</v>
      </c>
      <c r="J34" t="s">
        <v>88</v>
      </c>
      <c r="K34">
        <v>33</v>
      </c>
      <c r="L34" t="s">
        <v>89</v>
      </c>
      <c r="M34" s="4">
        <f>_xlfn.XLOOKUP(F34, 'Sheet12.10.25'!C:C, 'Sheet12.10.25'!F:F, "")*K34</f>
        <v>82.466999999999999</v>
      </c>
      <c r="N34" t="s">
        <v>151</v>
      </c>
      <c r="R34" t="s">
        <v>91</v>
      </c>
      <c r="T34" t="s">
        <v>92</v>
      </c>
      <c r="V34" t="s">
        <v>93</v>
      </c>
      <c r="X34" t="s">
        <v>94</v>
      </c>
      <c r="Z34" t="s">
        <v>152</v>
      </c>
      <c r="AB34" t="s">
        <v>153</v>
      </c>
      <c r="AD34" t="s">
        <v>97</v>
      </c>
      <c r="AF34" t="s">
        <v>98</v>
      </c>
      <c r="AI34" t="s">
        <v>358</v>
      </c>
      <c r="AJ34">
        <v>1</v>
      </c>
      <c r="AK34" t="s">
        <v>100</v>
      </c>
      <c r="AN34">
        <v>0.02</v>
      </c>
      <c r="AO34">
        <v>0.03</v>
      </c>
      <c r="AP34">
        <v>0.2</v>
      </c>
      <c r="AQ34">
        <v>0.3</v>
      </c>
      <c r="AR34">
        <v>0.1</v>
      </c>
      <c r="AS34">
        <v>0.1</v>
      </c>
      <c r="AT34">
        <v>0.15</v>
      </c>
      <c r="AU34">
        <v>0.1</v>
      </c>
      <c r="AV34">
        <v>403</v>
      </c>
      <c r="AW34" t="s">
        <v>155</v>
      </c>
      <c r="AX34" t="s">
        <v>101</v>
      </c>
      <c r="AY34" t="s">
        <v>101</v>
      </c>
    </row>
    <row r="35" spans="1:51" x14ac:dyDescent="0.25">
      <c r="A35">
        <v>34</v>
      </c>
      <c r="B35" t="s">
        <v>174</v>
      </c>
      <c r="C35" s="1">
        <v>0</v>
      </c>
      <c r="D35" t="s">
        <v>148</v>
      </c>
      <c r="E35" s="16" t="s">
        <v>402</v>
      </c>
      <c r="F35" s="2" t="s">
        <v>57</v>
      </c>
      <c r="G35" t="s">
        <v>149</v>
      </c>
      <c r="H35" t="s">
        <v>372</v>
      </c>
      <c r="I35" t="s">
        <v>175</v>
      </c>
      <c r="J35" t="s">
        <v>88</v>
      </c>
      <c r="K35">
        <v>53</v>
      </c>
      <c r="L35" t="s">
        <v>89</v>
      </c>
      <c r="M35" s="4">
        <f>_xlfn.XLOOKUP(F35, 'Sheet12.10.25'!C:C, 'Sheet12.10.25'!F:F, "")*K35</f>
        <v>132.447</v>
      </c>
      <c r="N35" t="s">
        <v>151</v>
      </c>
      <c r="R35" t="s">
        <v>91</v>
      </c>
      <c r="T35" t="s">
        <v>92</v>
      </c>
      <c r="V35" t="s">
        <v>93</v>
      </c>
      <c r="X35" t="s">
        <v>94</v>
      </c>
      <c r="Z35" t="s">
        <v>152</v>
      </c>
      <c r="AB35" t="s">
        <v>153</v>
      </c>
      <c r="AD35" t="s">
        <v>97</v>
      </c>
      <c r="AF35" t="s">
        <v>98</v>
      </c>
      <c r="AI35" t="s">
        <v>358</v>
      </c>
      <c r="AJ35">
        <v>1</v>
      </c>
      <c r="AK35" t="s">
        <v>104</v>
      </c>
      <c r="AN35">
        <v>0.02</v>
      </c>
      <c r="AO35">
        <v>0.03</v>
      </c>
      <c r="AP35">
        <v>0.2</v>
      </c>
      <c r="AQ35">
        <v>0.3</v>
      </c>
      <c r="AR35">
        <v>0.1</v>
      </c>
      <c r="AS35">
        <v>0.1</v>
      </c>
      <c r="AT35">
        <v>0.15</v>
      </c>
      <c r="AU35">
        <v>0.1</v>
      </c>
      <c r="AV35">
        <v>403</v>
      </c>
      <c r="AW35" t="s">
        <v>155</v>
      </c>
      <c r="AX35" t="s">
        <v>101</v>
      </c>
      <c r="AY35" t="s">
        <v>101</v>
      </c>
    </row>
    <row r="36" spans="1:51" x14ac:dyDescent="0.25">
      <c r="A36">
        <v>35</v>
      </c>
      <c r="B36" t="s">
        <v>176</v>
      </c>
      <c r="C36" s="1"/>
      <c r="E36" s="16" t="s">
        <v>402</v>
      </c>
      <c r="F36" s="2" t="s">
        <v>57</v>
      </c>
      <c r="G36" t="s">
        <v>149</v>
      </c>
      <c r="H36" t="s">
        <v>372</v>
      </c>
      <c r="I36" t="s">
        <v>177</v>
      </c>
      <c r="J36" s="3" t="s">
        <v>88</v>
      </c>
      <c r="K36">
        <v>43</v>
      </c>
      <c r="L36" t="s">
        <v>89</v>
      </c>
      <c r="M36" s="4">
        <f>_xlfn.XLOOKUP(F36, 'Sheet12.10.25'!C:C, 'Sheet12.10.25'!F:F, "")*K36</f>
        <v>107.45700000000001</v>
      </c>
      <c r="N36" t="s">
        <v>151</v>
      </c>
      <c r="R36" t="s">
        <v>91</v>
      </c>
      <c r="T36" t="s">
        <v>92</v>
      </c>
      <c r="V36" t="s">
        <v>93</v>
      </c>
      <c r="X36" t="s">
        <v>94</v>
      </c>
      <c r="Z36" t="s">
        <v>152</v>
      </c>
      <c r="AB36" t="s">
        <v>153</v>
      </c>
      <c r="AD36" t="s">
        <v>97</v>
      </c>
      <c r="AF36" t="s">
        <v>98</v>
      </c>
      <c r="AI36" t="s">
        <v>358</v>
      </c>
      <c r="AJ36">
        <v>1</v>
      </c>
      <c r="AN36">
        <v>0.02</v>
      </c>
      <c r="AO36">
        <v>0.03</v>
      </c>
      <c r="AP36">
        <v>0.2</v>
      </c>
      <c r="AQ36">
        <v>0.3</v>
      </c>
      <c r="AR36">
        <v>0.1</v>
      </c>
      <c r="AS36">
        <v>0.1</v>
      </c>
      <c r="AT36">
        <v>0.15</v>
      </c>
      <c r="AU36">
        <v>0.1</v>
      </c>
      <c r="AV36">
        <v>403</v>
      </c>
      <c r="AW36" t="s">
        <v>155</v>
      </c>
      <c r="AX36" t="s">
        <v>101</v>
      </c>
      <c r="AY36" t="s">
        <v>101</v>
      </c>
    </row>
    <row r="37" spans="1:51" x14ac:dyDescent="0.25">
      <c r="A37">
        <v>36</v>
      </c>
      <c r="B37" t="s">
        <v>178</v>
      </c>
      <c r="C37" s="1">
        <v>0</v>
      </c>
      <c r="D37" t="s">
        <v>179</v>
      </c>
      <c r="E37" s="16" t="s">
        <v>382</v>
      </c>
      <c r="F37" s="2" t="s">
        <v>56</v>
      </c>
      <c r="G37" t="s">
        <v>180</v>
      </c>
      <c r="H37" t="s">
        <v>372</v>
      </c>
      <c r="I37" t="s">
        <v>181</v>
      </c>
      <c r="J37" s="3" t="s">
        <v>182</v>
      </c>
      <c r="K37">
        <v>179</v>
      </c>
      <c r="L37" t="s">
        <v>89</v>
      </c>
      <c r="M37" s="4">
        <f>_xlfn.XLOOKUP(F37, 'Sheet12.10.25'!C:C, 'Sheet12.10.25'!F:F, "")*K37</f>
        <v>873.34099999999989</v>
      </c>
      <c r="N37" t="s">
        <v>90</v>
      </c>
      <c r="R37" t="s">
        <v>91</v>
      </c>
      <c r="T37" t="s">
        <v>92</v>
      </c>
      <c r="V37" t="s">
        <v>93</v>
      </c>
      <c r="X37" t="s">
        <v>94</v>
      </c>
      <c r="Z37" t="s">
        <v>95</v>
      </c>
      <c r="AB37" t="s">
        <v>96</v>
      </c>
      <c r="AD37" t="s">
        <v>97</v>
      </c>
      <c r="AF37" t="s">
        <v>98</v>
      </c>
      <c r="AI37" t="s">
        <v>322</v>
      </c>
      <c r="AJ37">
        <v>1</v>
      </c>
      <c r="AK37" t="s">
        <v>107</v>
      </c>
      <c r="AN37">
        <v>0.02</v>
      </c>
      <c r="AO37">
        <v>0.03</v>
      </c>
      <c r="AP37">
        <v>0.2</v>
      </c>
      <c r="AQ37">
        <v>0.3</v>
      </c>
      <c r="AR37">
        <v>0.1</v>
      </c>
      <c r="AS37">
        <v>0.1</v>
      </c>
      <c r="AT37">
        <v>0.15</v>
      </c>
      <c r="AU37">
        <v>0.1</v>
      </c>
      <c r="AV37">
        <v>401</v>
      </c>
      <c r="AW37" t="s">
        <v>101</v>
      </c>
      <c r="AX37" t="s">
        <v>101</v>
      </c>
      <c r="AY37" t="s">
        <v>101</v>
      </c>
    </row>
    <row r="38" spans="1:51" x14ac:dyDescent="0.25">
      <c r="A38">
        <v>37</v>
      </c>
      <c r="B38" t="s">
        <v>183</v>
      </c>
      <c r="C38" s="1">
        <v>0</v>
      </c>
      <c r="D38" t="s">
        <v>179</v>
      </c>
      <c r="E38" s="16"/>
      <c r="F38" s="2" t="s">
        <v>56</v>
      </c>
      <c r="G38" t="s">
        <v>180</v>
      </c>
      <c r="H38" t="s">
        <v>372</v>
      </c>
      <c r="I38" t="s">
        <v>184</v>
      </c>
      <c r="J38" t="s">
        <v>182</v>
      </c>
      <c r="K38">
        <v>21</v>
      </c>
      <c r="L38" t="s">
        <v>89</v>
      </c>
      <c r="M38" s="4">
        <f>_xlfn.XLOOKUP(F38, 'Sheet12.10.25'!C:C, 'Sheet12.10.25'!F:F, "")*K38</f>
        <v>102.45899999999999</v>
      </c>
      <c r="N38" t="s">
        <v>90</v>
      </c>
      <c r="R38" t="s">
        <v>91</v>
      </c>
      <c r="T38" t="s">
        <v>92</v>
      </c>
      <c r="V38" t="s">
        <v>93</v>
      </c>
      <c r="X38" t="s">
        <v>94</v>
      </c>
      <c r="Z38" t="s">
        <v>95</v>
      </c>
      <c r="AB38" t="s">
        <v>96</v>
      </c>
      <c r="AD38" t="s">
        <v>97</v>
      </c>
      <c r="AF38" t="s">
        <v>98</v>
      </c>
      <c r="AI38" t="s">
        <v>166</v>
      </c>
      <c r="AJ38">
        <v>1</v>
      </c>
      <c r="AK38" t="s">
        <v>110</v>
      </c>
      <c r="AN38">
        <v>0.02</v>
      </c>
      <c r="AO38">
        <v>0.03</v>
      </c>
      <c r="AP38">
        <v>0.2</v>
      </c>
      <c r="AQ38">
        <v>0.3</v>
      </c>
      <c r="AR38">
        <v>0.1</v>
      </c>
      <c r="AS38">
        <v>0.1</v>
      </c>
      <c r="AT38">
        <v>0.15</v>
      </c>
      <c r="AU38">
        <v>0.1</v>
      </c>
      <c r="AV38">
        <v>401</v>
      </c>
      <c r="AW38" t="s">
        <v>101</v>
      </c>
      <c r="AX38" t="s">
        <v>101</v>
      </c>
      <c r="AY38" t="s">
        <v>101</v>
      </c>
    </row>
    <row r="39" spans="1:51" x14ac:dyDescent="0.25">
      <c r="A39">
        <v>38</v>
      </c>
      <c r="B39" t="s">
        <v>185</v>
      </c>
      <c r="C39" s="1">
        <v>0</v>
      </c>
      <c r="D39" t="s">
        <v>148</v>
      </c>
      <c r="E39" s="16" t="s">
        <v>397</v>
      </c>
      <c r="F39" s="2" t="s">
        <v>57</v>
      </c>
      <c r="G39" t="s">
        <v>149</v>
      </c>
      <c r="H39" t="s">
        <v>372</v>
      </c>
      <c r="I39" t="s">
        <v>186</v>
      </c>
      <c r="J39" t="s">
        <v>88</v>
      </c>
      <c r="K39">
        <v>66</v>
      </c>
      <c r="L39" t="s">
        <v>89</v>
      </c>
      <c r="M39" s="4">
        <f>_xlfn.XLOOKUP(F39, 'Sheet12.10.25'!C:C, 'Sheet12.10.25'!F:F, "")*K39</f>
        <v>164.934</v>
      </c>
      <c r="N39" t="s">
        <v>151</v>
      </c>
      <c r="R39" t="s">
        <v>91</v>
      </c>
      <c r="T39" t="s">
        <v>92</v>
      </c>
      <c r="V39" t="s">
        <v>93</v>
      </c>
      <c r="X39" t="s">
        <v>94</v>
      </c>
      <c r="Z39" t="s">
        <v>152</v>
      </c>
      <c r="AB39" t="s">
        <v>153</v>
      </c>
      <c r="AD39" t="s">
        <v>97</v>
      </c>
      <c r="AF39" t="s">
        <v>98</v>
      </c>
      <c r="AI39" t="s">
        <v>313</v>
      </c>
      <c r="AJ39">
        <v>1</v>
      </c>
      <c r="AK39" t="s">
        <v>116</v>
      </c>
      <c r="AN39">
        <v>0.02</v>
      </c>
      <c r="AO39">
        <v>0.03</v>
      </c>
      <c r="AP39">
        <v>0.2</v>
      </c>
      <c r="AQ39">
        <v>0.3</v>
      </c>
      <c r="AR39">
        <v>0.1</v>
      </c>
      <c r="AS39">
        <v>0.1</v>
      </c>
      <c r="AT39">
        <v>0.15</v>
      </c>
      <c r="AU39">
        <v>0.1</v>
      </c>
      <c r="AV39">
        <v>401</v>
      </c>
      <c r="AW39" t="s">
        <v>188</v>
      </c>
      <c r="AX39" t="s">
        <v>101</v>
      </c>
      <c r="AY39" t="s">
        <v>101</v>
      </c>
    </row>
    <row r="40" spans="1:51" x14ac:dyDescent="0.25">
      <c r="A40">
        <v>39</v>
      </c>
      <c r="B40" t="s">
        <v>189</v>
      </c>
      <c r="C40" s="1">
        <v>0</v>
      </c>
      <c r="D40" t="s">
        <v>148</v>
      </c>
      <c r="E40" s="16" t="s">
        <v>397</v>
      </c>
      <c r="F40" s="2" t="s">
        <v>57</v>
      </c>
      <c r="G40" t="s">
        <v>149</v>
      </c>
      <c r="H40" t="s">
        <v>372</v>
      </c>
      <c r="I40" t="s">
        <v>190</v>
      </c>
      <c r="J40" t="s">
        <v>88</v>
      </c>
      <c r="K40">
        <v>65</v>
      </c>
      <c r="L40" t="s">
        <v>89</v>
      </c>
      <c r="M40" s="4">
        <f>_xlfn.XLOOKUP(F40, 'Sheet12.10.25'!C:C, 'Sheet12.10.25'!F:F, "")*K40</f>
        <v>162.435</v>
      </c>
      <c r="N40" t="s">
        <v>151</v>
      </c>
      <c r="R40" t="s">
        <v>91</v>
      </c>
      <c r="T40" t="s">
        <v>92</v>
      </c>
      <c r="V40" t="s">
        <v>93</v>
      </c>
      <c r="X40" t="s">
        <v>94</v>
      </c>
      <c r="Z40" t="s">
        <v>152</v>
      </c>
      <c r="AB40" t="s">
        <v>153</v>
      </c>
      <c r="AD40" t="s">
        <v>97</v>
      </c>
      <c r="AF40" t="s">
        <v>98</v>
      </c>
      <c r="AI40" t="s">
        <v>313</v>
      </c>
      <c r="AJ40">
        <v>1</v>
      </c>
      <c r="AK40" t="s">
        <v>100</v>
      </c>
      <c r="AN40">
        <v>0.02</v>
      </c>
      <c r="AO40">
        <v>0.03</v>
      </c>
      <c r="AP40">
        <v>0.2</v>
      </c>
      <c r="AQ40">
        <v>0.3</v>
      </c>
      <c r="AR40">
        <v>0.1</v>
      </c>
      <c r="AS40">
        <v>0.1</v>
      </c>
      <c r="AT40">
        <v>0.15</v>
      </c>
      <c r="AU40">
        <v>0.1</v>
      </c>
      <c r="AV40">
        <v>120</v>
      </c>
      <c r="AW40" t="s">
        <v>167</v>
      </c>
      <c r="AX40" t="s">
        <v>101</v>
      </c>
      <c r="AY40" t="s">
        <v>101</v>
      </c>
    </row>
    <row r="41" spans="1:51" x14ac:dyDescent="0.25">
      <c r="A41">
        <v>40</v>
      </c>
      <c r="B41" t="s">
        <v>191</v>
      </c>
      <c r="C41" s="1">
        <v>0</v>
      </c>
      <c r="D41" t="s">
        <v>148</v>
      </c>
      <c r="E41" s="16" t="s">
        <v>397</v>
      </c>
      <c r="F41" s="2" t="s">
        <v>57</v>
      </c>
      <c r="G41" t="s">
        <v>149</v>
      </c>
      <c r="H41" t="s">
        <v>372</v>
      </c>
      <c r="I41" t="s">
        <v>192</v>
      </c>
      <c r="J41" t="s">
        <v>88</v>
      </c>
      <c r="K41">
        <v>87</v>
      </c>
      <c r="L41" t="s">
        <v>89</v>
      </c>
      <c r="M41" s="4">
        <f>_xlfn.XLOOKUP(F41, 'Sheet12.10.25'!C:C, 'Sheet12.10.25'!F:F, "")*K41</f>
        <v>217.41300000000001</v>
      </c>
      <c r="N41" t="s">
        <v>151</v>
      </c>
      <c r="R41" t="s">
        <v>91</v>
      </c>
      <c r="T41" t="s">
        <v>92</v>
      </c>
      <c r="V41" t="s">
        <v>93</v>
      </c>
      <c r="X41" t="s">
        <v>94</v>
      </c>
      <c r="Z41" t="s">
        <v>152</v>
      </c>
      <c r="AB41" t="s">
        <v>153</v>
      </c>
      <c r="AD41" t="s">
        <v>97</v>
      </c>
      <c r="AF41" t="s">
        <v>98</v>
      </c>
      <c r="AI41" t="s">
        <v>313</v>
      </c>
      <c r="AJ41">
        <v>1</v>
      </c>
      <c r="AK41" t="s">
        <v>104</v>
      </c>
      <c r="AN41">
        <v>0.02</v>
      </c>
      <c r="AO41">
        <v>0.03</v>
      </c>
      <c r="AP41">
        <v>0.2</v>
      </c>
      <c r="AQ41">
        <v>0.3</v>
      </c>
      <c r="AR41">
        <v>0.1</v>
      </c>
      <c r="AS41">
        <v>0.1</v>
      </c>
      <c r="AT41">
        <v>0.15</v>
      </c>
      <c r="AU41">
        <v>0.1</v>
      </c>
      <c r="AV41">
        <v>120</v>
      </c>
      <c r="AW41" t="s">
        <v>167</v>
      </c>
      <c r="AX41" t="s">
        <v>101</v>
      </c>
      <c r="AY41" t="s">
        <v>101</v>
      </c>
    </row>
    <row r="42" spans="1:51" x14ac:dyDescent="0.25">
      <c r="A42">
        <v>41</v>
      </c>
      <c r="B42" t="s">
        <v>193</v>
      </c>
      <c r="C42" s="1">
        <v>0</v>
      </c>
      <c r="D42" t="s">
        <v>148</v>
      </c>
      <c r="E42" s="16" t="s">
        <v>397</v>
      </c>
      <c r="F42" s="2" t="s">
        <v>57</v>
      </c>
      <c r="G42" t="s">
        <v>149</v>
      </c>
      <c r="H42" t="s">
        <v>372</v>
      </c>
      <c r="I42" t="s">
        <v>194</v>
      </c>
      <c r="J42" t="s">
        <v>88</v>
      </c>
      <c r="K42">
        <v>46</v>
      </c>
      <c r="L42" t="s">
        <v>89</v>
      </c>
      <c r="M42" s="4">
        <f>_xlfn.XLOOKUP(F42, 'Sheet12.10.25'!C:C, 'Sheet12.10.25'!F:F, "")*K42</f>
        <v>114.95400000000001</v>
      </c>
      <c r="N42" t="s">
        <v>151</v>
      </c>
      <c r="R42" t="s">
        <v>91</v>
      </c>
      <c r="T42" t="s">
        <v>92</v>
      </c>
      <c r="V42" t="s">
        <v>93</v>
      </c>
      <c r="X42" t="s">
        <v>94</v>
      </c>
      <c r="Z42" t="s">
        <v>152</v>
      </c>
      <c r="AB42" t="s">
        <v>153</v>
      </c>
      <c r="AD42" t="s">
        <v>97</v>
      </c>
      <c r="AF42" t="s">
        <v>98</v>
      </c>
      <c r="AI42" t="s">
        <v>313</v>
      </c>
      <c r="AJ42">
        <v>1</v>
      </c>
      <c r="AK42" t="s">
        <v>107</v>
      </c>
      <c r="AN42">
        <v>0.02</v>
      </c>
      <c r="AO42">
        <v>0.03</v>
      </c>
      <c r="AP42">
        <v>0.2</v>
      </c>
      <c r="AQ42">
        <v>0.3</v>
      </c>
      <c r="AR42">
        <v>0.1</v>
      </c>
      <c r="AS42">
        <v>0.1</v>
      </c>
      <c r="AT42">
        <v>0.15</v>
      </c>
      <c r="AU42">
        <v>0.1</v>
      </c>
      <c r="AV42">
        <v>120</v>
      </c>
      <c r="AW42" t="s">
        <v>167</v>
      </c>
      <c r="AX42" t="s">
        <v>101</v>
      </c>
      <c r="AY42" t="s">
        <v>101</v>
      </c>
    </row>
    <row r="43" spans="1:51" x14ac:dyDescent="0.25">
      <c r="A43">
        <v>42</v>
      </c>
      <c r="B43" t="s">
        <v>195</v>
      </c>
      <c r="C43" s="1">
        <v>0</v>
      </c>
      <c r="D43" t="s">
        <v>85</v>
      </c>
      <c r="E43" s="16" t="s">
        <v>378</v>
      </c>
      <c r="F43" s="2" t="s">
        <v>55</v>
      </c>
      <c r="G43" t="s">
        <v>86</v>
      </c>
      <c r="H43" t="s">
        <v>372</v>
      </c>
      <c r="I43" t="s">
        <v>196</v>
      </c>
      <c r="J43" t="s">
        <v>88</v>
      </c>
      <c r="K43">
        <v>144</v>
      </c>
      <c r="L43" t="s">
        <v>89</v>
      </c>
      <c r="M43" s="4">
        <f>_xlfn.XLOOKUP(F43, 'Sheet12.10.25'!C:C, 'Sheet12.10.25'!F:F, "")*K43</f>
        <v>736.84799999999996</v>
      </c>
      <c r="N43" t="s">
        <v>90</v>
      </c>
      <c r="R43" t="s">
        <v>91</v>
      </c>
      <c r="T43" t="s">
        <v>92</v>
      </c>
      <c r="V43" t="s">
        <v>93</v>
      </c>
      <c r="X43" t="s">
        <v>94</v>
      </c>
      <c r="Z43" t="s">
        <v>95</v>
      </c>
      <c r="AB43" t="s">
        <v>96</v>
      </c>
      <c r="AD43" t="s">
        <v>97</v>
      </c>
      <c r="AF43" t="s">
        <v>98</v>
      </c>
      <c r="AI43" t="s">
        <v>318</v>
      </c>
      <c r="AJ43">
        <v>1</v>
      </c>
      <c r="AK43" t="s">
        <v>110</v>
      </c>
      <c r="AN43">
        <v>0.02</v>
      </c>
      <c r="AO43">
        <v>0.03</v>
      </c>
      <c r="AP43">
        <v>0.2</v>
      </c>
      <c r="AQ43">
        <v>0.3</v>
      </c>
      <c r="AR43">
        <v>0.1</v>
      </c>
      <c r="AS43">
        <v>0.1</v>
      </c>
      <c r="AT43">
        <v>0.15</v>
      </c>
      <c r="AU43">
        <v>0.1</v>
      </c>
      <c r="AV43">
        <v>401</v>
      </c>
      <c r="AW43" t="s">
        <v>101</v>
      </c>
      <c r="AX43" t="s">
        <v>101</v>
      </c>
      <c r="AY43" t="s">
        <v>101</v>
      </c>
    </row>
    <row r="44" spans="1:51" x14ac:dyDescent="0.25">
      <c r="A44">
        <v>43</v>
      </c>
      <c r="B44" t="s">
        <v>197</v>
      </c>
      <c r="C44" s="1">
        <v>0</v>
      </c>
      <c r="D44" t="s">
        <v>85</v>
      </c>
      <c r="E44" s="16" t="s">
        <v>378</v>
      </c>
      <c r="F44" s="2" t="s">
        <v>55</v>
      </c>
      <c r="G44" t="s">
        <v>86</v>
      </c>
      <c r="H44" t="s">
        <v>372</v>
      </c>
      <c r="I44" t="s">
        <v>198</v>
      </c>
      <c r="J44" t="s">
        <v>88</v>
      </c>
      <c r="K44">
        <v>215</v>
      </c>
      <c r="L44" t="s">
        <v>89</v>
      </c>
      <c r="M44" s="4">
        <f>_xlfn.XLOOKUP(F44, 'Sheet12.10.25'!C:C, 'Sheet12.10.25'!F:F, "")*K44</f>
        <v>1100.155</v>
      </c>
      <c r="N44" t="s">
        <v>90</v>
      </c>
      <c r="R44" t="s">
        <v>91</v>
      </c>
      <c r="T44" t="s">
        <v>92</v>
      </c>
      <c r="V44" t="s">
        <v>93</v>
      </c>
      <c r="X44" t="s">
        <v>94</v>
      </c>
      <c r="Z44" t="s">
        <v>95</v>
      </c>
      <c r="AB44" t="s">
        <v>96</v>
      </c>
      <c r="AD44" t="s">
        <v>97</v>
      </c>
      <c r="AF44" t="s">
        <v>98</v>
      </c>
      <c r="AI44" t="s">
        <v>318</v>
      </c>
      <c r="AJ44">
        <v>1</v>
      </c>
      <c r="AK44" t="s">
        <v>116</v>
      </c>
      <c r="AN44">
        <v>0.02</v>
      </c>
      <c r="AO44">
        <v>0.03</v>
      </c>
      <c r="AP44">
        <v>0.2</v>
      </c>
      <c r="AQ44">
        <v>0.3</v>
      </c>
      <c r="AR44">
        <v>0.1</v>
      </c>
      <c r="AS44">
        <v>0.1</v>
      </c>
      <c r="AT44">
        <v>0.15</v>
      </c>
      <c r="AU44">
        <v>0.1</v>
      </c>
      <c r="AV44">
        <v>401</v>
      </c>
      <c r="AW44" t="s">
        <v>101</v>
      </c>
      <c r="AX44" t="s">
        <v>101</v>
      </c>
      <c r="AY44" t="s">
        <v>101</v>
      </c>
    </row>
    <row r="45" spans="1:51" x14ac:dyDescent="0.25">
      <c r="A45">
        <v>44</v>
      </c>
      <c r="B45" t="s">
        <v>199</v>
      </c>
      <c r="C45" s="1">
        <v>0</v>
      </c>
      <c r="D45" t="s">
        <v>200</v>
      </c>
      <c r="E45" s="16" t="s">
        <v>375</v>
      </c>
      <c r="F45" s="2" t="s">
        <v>56</v>
      </c>
      <c r="G45" t="s">
        <v>201</v>
      </c>
      <c r="H45" t="s">
        <v>372</v>
      </c>
      <c r="I45" t="s">
        <v>202</v>
      </c>
      <c r="J45" t="s">
        <v>203</v>
      </c>
      <c r="K45">
        <v>104</v>
      </c>
      <c r="L45" t="s">
        <v>89</v>
      </c>
      <c r="M45" s="4">
        <f>_xlfn.XLOOKUP(F45, 'Sheet12.10.25'!C:C, 'Sheet12.10.25'!F:F, "")*K45</f>
        <v>507.41599999999994</v>
      </c>
      <c r="N45" t="s">
        <v>90</v>
      </c>
      <c r="R45" t="s">
        <v>91</v>
      </c>
      <c r="T45" t="s">
        <v>92</v>
      </c>
      <c r="V45" t="s">
        <v>93</v>
      </c>
      <c r="X45" t="s">
        <v>94</v>
      </c>
      <c r="Z45" t="s">
        <v>95</v>
      </c>
      <c r="AB45" t="s">
        <v>96</v>
      </c>
      <c r="AD45" t="s">
        <v>97</v>
      </c>
      <c r="AF45" t="s">
        <v>98</v>
      </c>
      <c r="AI45" t="s">
        <v>154</v>
      </c>
      <c r="AJ45">
        <v>1</v>
      </c>
      <c r="AK45" t="s">
        <v>100</v>
      </c>
      <c r="AN45">
        <v>0.02</v>
      </c>
      <c r="AO45">
        <v>0.03</v>
      </c>
      <c r="AP45">
        <v>0.2</v>
      </c>
      <c r="AQ45">
        <v>0.3</v>
      </c>
      <c r="AR45">
        <v>0.1</v>
      </c>
      <c r="AS45">
        <v>0.1</v>
      </c>
      <c r="AT45">
        <v>0.15</v>
      </c>
      <c r="AU45">
        <v>0.1</v>
      </c>
      <c r="AV45">
        <v>401</v>
      </c>
      <c r="AW45" t="s">
        <v>101</v>
      </c>
      <c r="AX45" t="s">
        <v>101</v>
      </c>
      <c r="AY45" t="s">
        <v>101</v>
      </c>
    </row>
    <row r="46" spans="1:51" x14ac:dyDescent="0.25">
      <c r="A46">
        <v>45</v>
      </c>
      <c r="B46" t="s">
        <v>205</v>
      </c>
      <c r="C46" s="1">
        <v>0</v>
      </c>
      <c r="D46" t="s">
        <v>200</v>
      </c>
      <c r="E46" s="16" t="s">
        <v>375</v>
      </c>
      <c r="F46" s="2" t="s">
        <v>56</v>
      </c>
      <c r="G46" t="s">
        <v>201</v>
      </c>
      <c r="H46" t="s">
        <v>372</v>
      </c>
      <c r="I46" t="s">
        <v>206</v>
      </c>
      <c r="J46" t="s">
        <v>203</v>
      </c>
      <c r="K46">
        <v>399</v>
      </c>
      <c r="L46" t="s">
        <v>89</v>
      </c>
      <c r="M46" s="4">
        <f>_xlfn.XLOOKUP(F46, 'Sheet12.10.25'!C:C, 'Sheet12.10.25'!F:F, "")*K46</f>
        <v>1946.7209999999998</v>
      </c>
      <c r="N46" t="s">
        <v>90</v>
      </c>
      <c r="R46" t="s">
        <v>91</v>
      </c>
      <c r="T46" t="s">
        <v>92</v>
      </c>
      <c r="V46" t="s">
        <v>93</v>
      </c>
      <c r="X46" t="s">
        <v>94</v>
      </c>
      <c r="Z46" t="s">
        <v>95</v>
      </c>
      <c r="AB46" t="s">
        <v>96</v>
      </c>
      <c r="AD46" t="s">
        <v>97</v>
      </c>
      <c r="AF46" t="s">
        <v>98</v>
      </c>
      <c r="AI46" t="s">
        <v>154</v>
      </c>
      <c r="AJ46">
        <v>1</v>
      </c>
      <c r="AK46" t="s">
        <v>104</v>
      </c>
      <c r="AN46">
        <v>0.02</v>
      </c>
      <c r="AO46">
        <v>0.03</v>
      </c>
      <c r="AP46">
        <v>0.2</v>
      </c>
      <c r="AQ46">
        <v>0.3</v>
      </c>
      <c r="AR46">
        <v>0.1</v>
      </c>
      <c r="AS46">
        <v>0.1</v>
      </c>
      <c r="AT46">
        <v>0.15</v>
      </c>
      <c r="AU46">
        <v>0.1</v>
      </c>
      <c r="AV46">
        <v>401</v>
      </c>
      <c r="AW46" t="s">
        <v>101</v>
      </c>
      <c r="AX46" t="s">
        <v>101</v>
      </c>
      <c r="AY46" t="s">
        <v>101</v>
      </c>
    </row>
    <row r="47" spans="1:51" x14ac:dyDescent="0.25">
      <c r="A47">
        <v>46</v>
      </c>
      <c r="B47" t="s">
        <v>207</v>
      </c>
      <c r="C47" s="1">
        <v>0</v>
      </c>
      <c r="D47" t="s">
        <v>200</v>
      </c>
      <c r="E47" s="16" t="s">
        <v>375</v>
      </c>
      <c r="F47" s="2" t="s">
        <v>56</v>
      </c>
      <c r="G47" t="s">
        <v>201</v>
      </c>
      <c r="H47" t="s">
        <v>372</v>
      </c>
      <c r="I47" t="s">
        <v>208</v>
      </c>
      <c r="J47" t="s">
        <v>203</v>
      </c>
      <c r="K47">
        <v>71</v>
      </c>
      <c r="L47" t="s">
        <v>89</v>
      </c>
      <c r="M47" s="4">
        <f>_xlfn.XLOOKUP(F47, 'Sheet12.10.25'!C:C, 'Sheet12.10.25'!F:F, "")*K47</f>
        <v>346.40899999999999</v>
      </c>
      <c r="N47" t="s">
        <v>90</v>
      </c>
      <c r="R47" t="s">
        <v>91</v>
      </c>
      <c r="T47" t="s">
        <v>92</v>
      </c>
      <c r="V47" t="s">
        <v>93</v>
      </c>
      <c r="X47" t="s">
        <v>94</v>
      </c>
      <c r="Z47" t="s">
        <v>95</v>
      </c>
      <c r="AB47" t="s">
        <v>96</v>
      </c>
      <c r="AD47" t="s">
        <v>97</v>
      </c>
      <c r="AF47" t="s">
        <v>98</v>
      </c>
      <c r="AI47" t="s">
        <v>154</v>
      </c>
      <c r="AJ47">
        <v>1</v>
      </c>
      <c r="AK47" t="s">
        <v>107</v>
      </c>
      <c r="AN47">
        <v>0.02</v>
      </c>
      <c r="AO47">
        <v>0.03</v>
      </c>
      <c r="AP47">
        <v>0.2</v>
      </c>
      <c r="AQ47">
        <v>0.3</v>
      </c>
      <c r="AR47">
        <v>0.1</v>
      </c>
      <c r="AS47">
        <v>0.1</v>
      </c>
      <c r="AT47">
        <v>0.15</v>
      </c>
      <c r="AU47">
        <v>0.1</v>
      </c>
      <c r="AV47">
        <v>403</v>
      </c>
      <c r="AW47" t="s">
        <v>101</v>
      </c>
      <c r="AX47" t="s">
        <v>101</v>
      </c>
      <c r="AY47" t="s">
        <v>101</v>
      </c>
    </row>
    <row r="48" spans="1:51" x14ac:dyDescent="0.25">
      <c r="A48">
        <v>47</v>
      </c>
      <c r="B48" t="s">
        <v>209</v>
      </c>
      <c r="C48" s="1">
        <v>0</v>
      </c>
      <c r="D48" t="s">
        <v>200</v>
      </c>
      <c r="E48" s="16" t="s">
        <v>373</v>
      </c>
      <c r="F48" s="2" t="s">
        <v>55</v>
      </c>
      <c r="G48" t="s">
        <v>210</v>
      </c>
      <c r="H48" t="s">
        <v>372</v>
      </c>
      <c r="I48" t="s">
        <v>211</v>
      </c>
      <c r="J48" t="s">
        <v>212</v>
      </c>
      <c r="K48">
        <v>201</v>
      </c>
      <c r="L48" t="s">
        <v>89</v>
      </c>
      <c r="M48" s="4">
        <f>_xlfn.XLOOKUP(F48, 'Sheet12.10.25'!C:C, 'Sheet12.10.25'!F:F, "")*K48</f>
        <v>1028.5170000000001</v>
      </c>
      <c r="N48" t="s">
        <v>90</v>
      </c>
      <c r="R48" t="s">
        <v>91</v>
      </c>
      <c r="T48" t="s">
        <v>92</v>
      </c>
      <c r="V48" t="s">
        <v>93</v>
      </c>
      <c r="X48" t="s">
        <v>94</v>
      </c>
      <c r="Z48" t="s">
        <v>95</v>
      </c>
      <c r="AB48" t="s">
        <v>96</v>
      </c>
      <c r="AD48" t="s">
        <v>97</v>
      </c>
      <c r="AF48" t="s">
        <v>98</v>
      </c>
      <c r="AI48" t="s">
        <v>204</v>
      </c>
      <c r="AJ48">
        <v>1</v>
      </c>
      <c r="AK48" t="s">
        <v>110</v>
      </c>
      <c r="AN48">
        <v>0.02</v>
      </c>
      <c r="AO48">
        <v>0.03</v>
      </c>
      <c r="AP48">
        <v>0.2</v>
      </c>
      <c r="AQ48">
        <v>0.3</v>
      </c>
      <c r="AR48">
        <v>0.1</v>
      </c>
      <c r="AS48">
        <v>0.1</v>
      </c>
      <c r="AT48">
        <v>0.15</v>
      </c>
      <c r="AU48">
        <v>0.1</v>
      </c>
      <c r="AV48">
        <v>401</v>
      </c>
      <c r="AW48" t="s">
        <v>101</v>
      </c>
      <c r="AX48" t="s">
        <v>101</v>
      </c>
      <c r="AY48" t="s">
        <v>101</v>
      </c>
    </row>
    <row r="49" spans="1:51" x14ac:dyDescent="0.25">
      <c r="A49">
        <v>48</v>
      </c>
      <c r="B49" t="s">
        <v>213</v>
      </c>
      <c r="C49" s="1">
        <v>0</v>
      </c>
      <c r="D49" t="s">
        <v>200</v>
      </c>
      <c r="E49" s="16" t="s">
        <v>373</v>
      </c>
      <c r="F49" s="2" t="s">
        <v>55</v>
      </c>
      <c r="G49" t="s">
        <v>210</v>
      </c>
      <c r="H49" t="s">
        <v>372</v>
      </c>
      <c r="I49" t="s">
        <v>214</v>
      </c>
      <c r="J49" t="s">
        <v>212</v>
      </c>
      <c r="K49">
        <v>246</v>
      </c>
      <c r="L49" t="s">
        <v>89</v>
      </c>
      <c r="M49" s="4">
        <f>_xlfn.XLOOKUP(F49, 'Sheet12.10.25'!C:C, 'Sheet12.10.25'!F:F, "")*K49</f>
        <v>1258.7819999999999</v>
      </c>
      <c r="N49" t="s">
        <v>90</v>
      </c>
      <c r="R49" t="s">
        <v>91</v>
      </c>
      <c r="T49" t="s">
        <v>92</v>
      </c>
      <c r="V49" t="s">
        <v>93</v>
      </c>
      <c r="X49" t="s">
        <v>94</v>
      </c>
      <c r="Z49" t="s">
        <v>95</v>
      </c>
      <c r="AB49" t="s">
        <v>96</v>
      </c>
      <c r="AD49" t="s">
        <v>97</v>
      </c>
      <c r="AF49" t="s">
        <v>98</v>
      </c>
      <c r="AI49" t="s">
        <v>204</v>
      </c>
      <c r="AJ49">
        <v>1</v>
      </c>
      <c r="AK49" t="s">
        <v>116</v>
      </c>
      <c r="AN49">
        <v>0.02</v>
      </c>
      <c r="AO49">
        <v>0.03</v>
      </c>
      <c r="AP49">
        <v>0.2</v>
      </c>
      <c r="AQ49">
        <v>0.3</v>
      </c>
      <c r="AR49">
        <v>0.1</v>
      </c>
      <c r="AS49">
        <v>0.1</v>
      </c>
      <c r="AT49">
        <v>0.15</v>
      </c>
      <c r="AU49">
        <v>0.1</v>
      </c>
      <c r="AV49">
        <v>401</v>
      </c>
      <c r="AW49" t="s">
        <v>101</v>
      </c>
      <c r="AX49" t="s">
        <v>101</v>
      </c>
      <c r="AY49" t="s">
        <v>101</v>
      </c>
    </row>
    <row r="50" spans="1:51" x14ac:dyDescent="0.25">
      <c r="A50">
        <v>49</v>
      </c>
      <c r="B50" t="s">
        <v>215</v>
      </c>
      <c r="C50" s="1">
        <v>0</v>
      </c>
      <c r="D50" t="s">
        <v>200</v>
      </c>
      <c r="E50" s="16" t="s">
        <v>373</v>
      </c>
      <c r="F50" s="2" t="s">
        <v>55</v>
      </c>
      <c r="G50" t="s">
        <v>210</v>
      </c>
      <c r="H50" t="s">
        <v>372</v>
      </c>
      <c r="I50" t="s">
        <v>216</v>
      </c>
      <c r="J50" t="s">
        <v>212</v>
      </c>
      <c r="K50">
        <v>229</v>
      </c>
      <c r="L50" t="s">
        <v>89</v>
      </c>
      <c r="M50" s="4">
        <f>_xlfn.XLOOKUP(F50, 'Sheet12.10.25'!C:C, 'Sheet12.10.25'!F:F, "")*K50</f>
        <v>1171.7929999999999</v>
      </c>
      <c r="N50" t="s">
        <v>90</v>
      </c>
      <c r="R50" t="s">
        <v>91</v>
      </c>
      <c r="T50" t="s">
        <v>92</v>
      </c>
      <c r="V50" t="s">
        <v>93</v>
      </c>
      <c r="X50" t="s">
        <v>94</v>
      </c>
      <c r="Z50" t="s">
        <v>95</v>
      </c>
      <c r="AB50" t="s">
        <v>96</v>
      </c>
      <c r="AD50" t="s">
        <v>97</v>
      </c>
      <c r="AF50" t="s">
        <v>98</v>
      </c>
      <c r="AI50" t="s">
        <v>204</v>
      </c>
      <c r="AJ50">
        <v>1</v>
      </c>
      <c r="AK50" t="s">
        <v>100</v>
      </c>
      <c r="AN50">
        <v>0.02</v>
      </c>
      <c r="AO50">
        <v>0.03</v>
      </c>
      <c r="AP50">
        <v>0.2</v>
      </c>
      <c r="AQ50">
        <v>0.3</v>
      </c>
      <c r="AR50">
        <v>0.1</v>
      </c>
      <c r="AS50">
        <v>0.1</v>
      </c>
      <c r="AT50">
        <v>0.15</v>
      </c>
      <c r="AU50">
        <v>0.1</v>
      </c>
      <c r="AV50">
        <v>403</v>
      </c>
      <c r="AW50" t="s">
        <v>101</v>
      </c>
      <c r="AX50" t="s">
        <v>101</v>
      </c>
      <c r="AY50" t="s">
        <v>101</v>
      </c>
    </row>
    <row r="51" spans="1:51" x14ac:dyDescent="0.25">
      <c r="A51">
        <v>50</v>
      </c>
      <c r="B51" t="s">
        <v>217</v>
      </c>
      <c r="C51" s="1">
        <v>0</v>
      </c>
      <c r="D51" t="s">
        <v>85</v>
      </c>
      <c r="E51" s="16" t="s">
        <v>379</v>
      </c>
      <c r="F51" s="2" t="s">
        <v>55</v>
      </c>
      <c r="G51" t="s">
        <v>86</v>
      </c>
      <c r="H51" t="s">
        <v>372</v>
      </c>
      <c r="I51" t="s">
        <v>218</v>
      </c>
      <c r="J51" t="s">
        <v>88</v>
      </c>
      <c r="K51">
        <v>90</v>
      </c>
      <c r="L51" t="s">
        <v>89</v>
      </c>
      <c r="M51" s="4">
        <f>_xlfn.XLOOKUP(F51, 'Sheet12.10.25'!C:C, 'Sheet12.10.25'!F:F, "")*K51</f>
        <v>460.53</v>
      </c>
      <c r="N51" t="s">
        <v>90</v>
      </c>
      <c r="R51" t="s">
        <v>91</v>
      </c>
      <c r="T51" t="s">
        <v>92</v>
      </c>
      <c r="V51" t="s">
        <v>93</v>
      </c>
      <c r="X51" t="s">
        <v>94</v>
      </c>
      <c r="Z51" t="s">
        <v>95</v>
      </c>
      <c r="AB51" t="s">
        <v>96</v>
      </c>
      <c r="AD51" t="s">
        <v>97</v>
      </c>
      <c r="AF51" t="s">
        <v>98</v>
      </c>
      <c r="AI51" t="s">
        <v>319</v>
      </c>
      <c r="AJ51">
        <v>1</v>
      </c>
      <c r="AK51" t="s">
        <v>104</v>
      </c>
      <c r="AN51">
        <v>0.02</v>
      </c>
      <c r="AO51">
        <v>0.03</v>
      </c>
      <c r="AP51">
        <v>0.2</v>
      </c>
      <c r="AQ51">
        <v>0.3</v>
      </c>
      <c r="AR51">
        <v>0.1</v>
      </c>
      <c r="AS51">
        <v>0.1</v>
      </c>
      <c r="AT51">
        <v>0.15</v>
      </c>
      <c r="AU51">
        <v>0.1</v>
      </c>
      <c r="AV51">
        <v>401</v>
      </c>
      <c r="AW51" t="s">
        <v>101</v>
      </c>
      <c r="AX51" t="s">
        <v>101</v>
      </c>
      <c r="AY51" t="s">
        <v>101</v>
      </c>
    </row>
    <row r="52" spans="1:51" x14ac:dyDescent="0.25">
      <c r="A52">
        <v>51</v>
      </c>
      <c r="B52" t="s">
        <v>219</v>
      </c>
      <c r="C52" s="1">
        <v>0</v>
      </c>
      <c r="D52" t="s">
        <v>85</v>
      </c>
      <c r="E52" s="16" t="s">
        <v>380</v>
      </c>
      <c r="F52" s="2" t="s">
        <v>55</v>
      </c>
      <c r="G52" t="s">
        <v>86</v>
      </c>
      <c r="H52" t="s">
        <v>372</v>
      </c>
      <c r="I52" t="s">
        <v>220</v>
      </c>
      <c r="J52" t="s">
        <v>88</v>
      </c>
      <c r="K52">
        <v>64</v>
      </c>
      <c r="L52" t="s">
        <v>89</v>
      </c>
      <c r="M52" s="4">
        <f>_xlfn.XLOOKUP(F52, 'Sheet12.10.25'!C:C, 'Sheet12.10.25'!F:F, "")*K52</f>
        <v>327.488</v>
      </c>
      <c r="N52" t="s">
        <v>90</v>
      </c>
      <c r="R52" t="s">
        <v>91</v>
      </c>
      <c r="T52" t="s">
        <v>92</v>
      </c>
      <c r="V52" t="s">
        <v>93</v>
      </c>
      <c r="X52" t="s">
        <v>94</v>
      </c>
      <c r="Z52" t="s">
        <v>95</v>
      </c>
      <c r="AB52" t="s">
        <v>96</v>
      </c>
      <c r="AD52" t="s">
        <v>97</v>
      </c>
      <c r="AF52" t="s">
        <v>98</v>
      </c>
      <c r="AI52" t="s">
        <v>320</v>
      </c>
      <c r="AJ52">
        <v>1</v>
      </c>
      <c r="AK52" t="s">
        <v>107</v>
      </c>
      <c r="AN52">
        <v>0.02</v>
      </c>
      <c r="AO52">
        <v>0.03</v>
      </c>
      <c r="AP52">
        <v>0.2</v>
      </c>
      <c r="AQ52">
        <v>0.3</v>
      </c>
      <c r="AR52">
        <v>0.1</v>
      </c>
      <c r="AS52">
        <v>0.1</v>
      </c>
      <c r="AT52">
        <v>0.15</v>
      </c>
      <c r="AU52">
        <v>0.1</v>
      </c>
      <c r="AV52">
        <v>401</v>
      </c>
      <c r="AW52" t="s">
        <v>101</v>
      </c>
      <c r="AX52" t="s">
        <v>101</v>
      </c>
      <c r="AY52" t="s">
        <v>101</v>
      </c>
    </row>
    <row r="53" spans="1:51" x14ac:dyDescent="0.25">
      <c r="A53">
        <v>52</v>
      </c>
      <c r="B53" t="s">
        <v>221</v>
      </c>
      <c r="C53" s="1">
        <v>0</v>
      </c>
      <c r="D53" t="s">
        <v>85</v>
      </c>
      <c r="E53" s="16" t="s">
        <v>391</v>
      </c>
      <c r="F53" s="2" t="s">
        <v>55</v>
      </c>
      <c r="G53" t="s">
        <v>86</v>
      </c>
      <c r="H53" t="s">
        <v>372</v>
      </c>
      <c r="I53" t="s">
        <v>222</v>
      </c>
      <c r="J53" t="s">
        <v>88</v>
      </c>
      <c r="K53">
        <v>38</v>
      </c>
      <c r="L53" t="s">
        <v>89</v>
      </c>
      <c r="M53" s="4">
        <f>_xlfn.XLOOKUP(F53, 'Sheet12.10.25'!C:C, 'Sheet12.10.25'!F:F, "")*K53</f>
        <v>194.446</v>
      </c>
      <c r="N53" t="s">
        <v>90</v>
      </c>
      <c r="R53" t="s">
        <v>91</v>
      </c>
      <c r="T53" t="s">
        <v>92</v>
      </c>
      <c r="V53" t="s">
        <v>93</v>
      </c>
      <c r="X53" t="s">
        <v>94</v>
      </c>
      <c r="Z53" t="s">
        <v>95</v>
      </c>
      <c r="AB53" t="s">
        <v>96</v>
      </c>
      <c r="AD53" t="s">
        <v>97</v>
      </c>
      <c r="AF53" t="s">
        <v>98</v>
      </c>
      <c r="AI53" t="s">
        <v>187</v>
      </c>
      <c r="AJ53">
        <v>1</v>
      </c>
      <c r="AK53" t="s">
        <v>110</v>
      </c>
      <c r="AN53">
        <v>0.02</v>
      </c>
      <c r="AO53">
        <v>0.03</v>
      </c>
      <c r="AP53">
        <v>0.2</v>
      </c>
      <c r="AQ53">
        <v>0.3</v>
      </c>
      <c r="AR53">
        <v>0.1</v>
      </c>
      <c r="AS53">
        <v>0.1</v>
      </c>
      <c r="AT53">
        <v>0.15</v>
      </c>
      <c r="AU53">
        <v>0.1</v>
      </c>
      <c r="AV53">
        <v>120</v>
      </c>
      <c r="AW53" t="s">
        <v>101</v>
      </c>
      <c r="AX53" t="s">
        <v>101</v>
      </c>
      <c r="AY53" t="s">
        <v>101</v>
      </c>
    </row>
    <row r="54" spans="1:51" x14ac:dyDescent="0.25">
      <c r="A54">
        <v>53</v>
      </c>
      <c r="B54" t="s">
        <v>223</v>
      </c>
      <c r="C54" s="1">
        <v>0</v>
      </c>
      <c r="D54" t="s">
        <v>85</v>
      </c>
      <c r="E54" s="16" t="s">
        <v>399</v>
      </c>
      <c r="F54" s="2" t="s">
        <v>55</v>
      </c>
      <c r="G54" t="s">
        <v>86</v>
      </c>
      <c r="H54" t="s">
        <v>372</v>
      </c>
      <c r="I54" t="s">
        <v>224</v>
      </c>
      <c r="J54" t="s">
        <v>88</v>
      </c>
      <c r="K54">
        <v>44</v>
      </c>
      <c r="L54" t="s">
        <v>89</v>
      </c>
      <c r="M54" s="4">
        <f>_xlfn.XLOOKUP(F54, 'Sheet12.10.25'!C:C, 'Sheet12.10.25'!F:F, "")*K54</f>
        <v>225.148</v>
      </c>
      <c r="N54" t="s">
        <v>90</v>
      </c>
      <c r="R54" t="s">
        <v>91</v>
      </c>
      <c r="T54" t="s">
        <v>92</v>
      </c>
      <c r="V54" t="s">
        <v>93</v>
      </c>
      <c r="X54" t="s">
        <v>94</v>
      </c>
      <c r="Z54" t="s">
        <v>95</v>
      </c>
      <c r="AB54" t="s">
        <v>96</v>
      </c>
      <c r="AD54" t="s">
        <v>97</v>
      </c>
      <c r="AF54" t="s">
        <v>98</v>
      </c>
      <c r="AI54" t="s">
        <v>331</v>
      </c>
      <c r="AJ54">
        <v>1</v>
      </c>
      <c r="AK54" t="s">
        <v>116</v>
      </c>
      <c r="AN54">
        <v>0.02</v>
      </c>
      <c r="AO54">
        <v>0.03</v>
      </c>
      <c r="AP54">
        <v>0.2</v>
      </c>
      <c r="AQ54">
        <v>0.3</v>
      </c>
      <c r="AR54">
        <v>0.1</v>
      </c>
      <c r="AS54">
        <v>0.1</v>
      </c>
      <c r="AT54">
        <v>0.15</v>
      </c>
      <c r="AU54">
        <v>0.1</v>
      </c>
      <c r="AV54">
        <v>403</v>
      </c>
      <c r="AW54" t="s">
        <v>101</v>
      </c>
      <c r="AX54" t="s">
        <v>101</v>
      </c>
      <c r="AY54" t="s">
        <v>101</v>
      </c>
    </row>
    <row r="55" spans="1:51" x14ac:dyDescent="0.25">
      <c r="A55">
        <v>54</v>
      </c>
      <c r="B55" t="s">
        <v>225</v>
      </c>
      <c r="C55" s="1">
        <v>0</v>
      </c>
      <c r="D55" t="s">
        <v>226</v>
      </c>
      <c r="E55" s="16" t="s">
        <v>381</v>
      </c>
      <c r="F55" s="2" t="s">
        <v>56</v>
      </c>
      <c r="G55" t="s">
        <v>227</v>
      </c>
      <c r="H55" t="s">
        <v>372</v>
      </c>
      <c r="I55" t="s">
        <v>228</v>
      </c>
      <c r="J55" t="s">
        <v>118</v>
      </c>
      <c r="K55">
        <v>90</v>
      </c>
      <c r="L55" t="s">
        <v>89</v>
      </c>
      <c r="M55" s="4">
        <f>_xlfn.XLOOKUP(F55, 'Sheet12.10.25'!C:C, 'Sheet12.10.25'!F:F, "")*K55</f>
        <v>439.10999999999996</v>
      </c>
      <c r="N55" t="s">
        <v>90</v>
      </c>
      <c r="R55" t="s">
        <v>91</v>
      </c>
      <c r="T55" t="s">
        <v>92</v>
      </c>
      <c r="V55" t="s">
        <v>93</v>
      </c>
      <c r="X55" t="s">
        <v>94</v>
      </c>
      <c r="Z55" t="s">
        <v>95</v>
      </c>
      <c r="AB55" t="s">
        <v>96</v>
      </c>
      <c r="AD55" t="s">
        <v>97</v>
      </c>
      <c r="AF55" t="s">
        <v>98</v>
      </c>
      <c r="AI55" t="s">
        <v>321</v>
      </c>
      <c r="AJ55">
        <v>1</v>
      </c>
      <c r="AK55" t="s">
        <v>100</v>
      </c>
      <c r="AN55">
        <v>0.02</v>
      </c>
      <c r="AO55">
        <v>0.03</v>
      </c>
      <c r="AP55">
        <v>0.2</v>
      </c>
      <c r="AQ55">
        <v>0.3</v>
      </c>
      <c r="AR55">
        <v>0.1</v>
      </c>
      <c r="AS55">
        <v>0.1</v>
      </c>
      <c r="AT55">
        <v>0.15</v>
      </c>
      <c r="AU55">
        <v>0.1</v>
      </c>
      <c r="AV55">
        <v>401</v>
      </c>
      <c r="AW55" t="s">
        <v>101</v>
      </c>
      <c r="AX55" t="s">
        <v>101</v>
      </c>
      <c r="AY55" t="s">
        <v>101</v>
      </c>
    </row>
    <row r="56" spans="1:51" x14ac:dyDescent="0.25">
      <c r="A56">
        <v>55</v>
      </c>
      <c r="B56" t="s">
        <v>229</v>
      </c>
      <c r="C56" s="1">
        <v>0</v>
      </c>
      <c r="D56" t="s">
        <v>230</v>
      </c>
      <c r="E56" s="16" t="s">
        <v>388</v>
      </c>
      <c r="F56" s="2" t="s">
        <v>58</v>
      </c>
      <c r="G56" t="s">
        <v>231</v>
      </c>
      <c r="H56" t="s">
        <v>372</v>
      </c>
      <c r="I56" t="s">
        <v>232</v>
      </c>
      <c r="J56" t="s">
        <v>233</v>
      </c>
      <c r="K56">
        <v>65</v>
      </c>
      <c r="L56" t="s">
        <v>89</v>
      </c>
      <c r="M56" s="4">
        <f>_xlfn.XLOOKUP(F56, 'Sheet12.10.25'!C:C, 'Sheet12.10.25'!F:F, "")*K56</f>
        <v>293.92999999999995</v>
      </c>
      <c r="N56" t="s">
        <v>234</v>
      </c>
      <c r="R56" t="s">
        <v>91</v>
      </c>
      <c r="T56" t="s">
        <v>92</v>
      </c>
      <c r="V56" t="s">
        <v>93</v>
      </c>
      <c r="X56" t="s">
        <v>94</v>
      </c>
      <c r="Z56" t="s">
        <v>152</v>
      </c>
      <c r="AB56" t="s">
        <v>153</v>
      </c>
      <c r="AD56" t="s">
        <v>97</v>
      </c>
      <c r="AF56" t="s">
        <v>98</v>
      </c>
      <c r="AI56" t="s">
        <v>330</v>
      </c>
      <c r="AJ56">
        <v>1</v>
      </c>
      <c r="AK56" t="s">
        <v>104</v>
      </c>
      <c r="AN56">
        <v>0.02</v>
      </c>
      <c r="AO56">
        <v>0.03</v>
      </c>
      <c r="AP56">
        <v>0.2</v>
      </c>
      <c r="AQ56">
        <v>0.3</v>
      </c>
      <c r="AR56">
        <v>0.1</v>
      </c>
      <c r="AS56">
        <v>0.1</v>
      </c>
      <c r="AT56">
        <v>0.15</v>
      </c>
      <c r="AU56">
        <v>0.1</v>
      </c>
      <c r="AV56">
        <v>401</v>
      </c>
      <c r="AW56" t="s">
        <v>188</v>
      </c>
      <c r="AX56" t="s">
        <v>101</v>
      </c>
      <c r="AY56" t="s">
        <v>101</v>
      </c>
    </row>
    <row r="57" spans="1:51" x14ac:dyDescent="0.25">
      <c r="A57">
        <v>56</v>
      </c>
      <c r="B57" t="s">
        <v>236</v>
      </c>
      <c r="C57" s="1">
        <v>0</v>
      </c>
      <c r="D57" t="s">
        <v>230</v>
      </c>
      <c r="E57" s="16" t="s">
        <v>387</v>
      </c>
      <c r="F57" s="2" t="s">
        <v>58</v>
      </c>
      <c r="G57" t="s">
        <v>231</v>
      </c>
      <c r="H57" t="s">
        <v>372</v>
      </c>
      <c r="I57" t="s">
        <v>329</v>
      </c>
      <c r="J57" t="s">
        <v>118</v>
      </c>
      <c r="K57">
        <v>85</v>
      </c>
      <c r="L57" t="s">
        <v>89</v>
      </c>
      <c r="M57" s="4">
        <f>_xlfn.XLOOKUP(F57, 'Sheet12.10.25'!C:C, 'Sheet12.10.25'!F:F, "")*K57</f>
        <v>384.36999999999995</v>
      </c>
      <c r="N57" t="s">
        <v>234</v>
      </c>
      <c r="R57" t="s">
        <v>91</v>
      </c>
      <c r="T57" t="s">
        <v>92</v>
      </c>
      <c r="V57" t="s">
        <v>93</v>
      </c>
      <c r="X57" t="s">
        <v>94</v>
      </c>
      <c r="Z57" t="s">
        <v>152</v>
      </c>
      <c r="AB57" t="s">
        <v>153</v>
      </c>
      <c r="AD57" t="s">
        <v>97</v>
      </c>
      <c r="AF57" t="s">
        <v>98</v>
      </c>
      <c r="AI57" t="s">
        <v>328</v>
      </c>
      <c r="AJ57">
        <v>1</v>
      </c>
      <c r="AK57" t="s">
        <v>107</v>
      </c>
      <c r="AN57">
        <v>0.02</v>
      </c>
      <c r="AO57">
        <v>0.03</v>
      </c>
      <c r="AP57">
        <v>0.2</v>
      </c>
      <c r="AQ57">
        <v>0.3</v>
      </c>
      <c r="AR57">
        <v>0.1</v>
      </c>
      <c r="AS57">
        <v>0.1</v>
      </c>
      <c r="AT57">
        <v>0.15</v>
      </c>
      <c r="AU57">
        <v>0.1</v>
      </c>
      <c r="AV57">
        <v>401</v>
      </c>
      <c r="AW57" t="s">
        <v>101</v>
      </c>
      <c r="AX57" t="s">
        <v>101</v>
      </c>
      <c r="AY57" t="s">
        <v>101</v>
      </c>
    </row>
    <row r="58" spans="1:51" x14ac:dyDescent="0.25">
      <c r="A58">
        <v>57</v>
      </c>
      <c r="B58" t="s">
        <v>237</v>
      </c>
      <c r="C58" s="1">
        <v>0</v>
      </c>
      <c r="D58" t="s">
        <v>230</v>
      </c>
      <c r="E58" s="16" t="s">
        <v>387</v>
      </c>
      <c r="F58" s="2" t="s">
        <v>58</v>
      </c>
      <c r="G58" t="s">
        <v>231</v>
      </c>
      <c r="H58" t="s">
        <v>372</v>
      </c>
      <c r="I58" t="s">
        <v>238</v>
      </c>
      <c r="J58" s="3" t="s">
        <v>118</v>
      </c>
      <c r="K58">
        <v>96</v>
      </c>
      <c r="L58" t="s">
        <v>89</v>
      </c>
      <c r="M58" s="4">
        <f>_xlfn.XLOOKUP(F58, 'Sheet12.10.25'!C:C, 'Sheet12.10.25'!F:F, "")*K58</f>
        <v>434.11199999999997</v>
      </c>
      <c r="N58" t="s">
        <v>234</v>
      </c>
      <c r="R58" t="s">
        <v>91</v>
      </c>
      <c r="T58" t="s">
        <v>92</v>
      </c>
      <c r="V58" t="s">
        <v>93</v>
      </c>
      <c r="X58" t="s">
        <v>94</v>
      </c>
      <c r="Z58" t="s">
        <v>152</v>
      </c>
      <c r="AB58" t="s">
        <v>153</v>
      </c>
      <c r="AD58" t="s">
        <v>97</v>
      </c>
      <c r="AF58" t="s">
        <v>98</v>
      </c>
      <c r="AI58" t="s">
        <v>328</v>
      </c>
      <c r="AJ58">
        <v>1</v>
      </c>
      <c r="AS58">
        <v>0.1</v>
      </c>
      <c r="AT58">
        <v>0.15</v>
      </c>
      <c r="AU58">
        <v>0.1</v>
      </c>
      <c r="AV58">
        <v>401</v>
      </c>
      <c r="AW58" t="s">
        <v>188</v>
      </c>
      <c r="AX58" t="s">
        <v>101</v>
      </c>
      <c r="AY58" t="s">
        <v>101</v>
      </c>
    </row>
    <row r="59" spans="1:51" x14ac:dyDescent="0.25">
      <c r="A59">
        <v>58</v>
      </c>
      <c r="B59" t="s">
        <v>239</v>
      </c>
      <c r="C59" s="1">
        <v>0</v>
      </c>
      <c r="D59" t="s">
        <v>230</v>
      </c>
      <c r="E59" s="16"/>
      <c r="F59" s="2" t="s">
        <v>58</v>
      </c>
      <c r="G59" t="s">
        <v>231</v>
      </c>
      <c r="H59" t="s">
        <v>372</v>
      </c>
      <c r="I59" t="s">
        <v>240</v>
      </c>
      <c r="J59" t="s">
        <v>118</v>
      </c>
      <c r="K59">
        <v>103</v>
      </c>
      <c r="L59" t="s">
        <v>89</v>
      </c>
      <c r="M59" s="4">
        <f>_xlfn.XLOOKUP(F59, 'Sheet12.10.25'!C:C, 'Sheet12.10.25'!F:F, "")*K59</f>
        <v>465.76599999999991</v>
      </c>
      <c r="N59" t="s">
        <v>234</v>
      </c>
      <c r="R59" t="s">
        <v>91</v>
      </c>
      <c r="T59" t="s">
        <v>92</v>
      </c>
      <c r="V59" t="s">
        <v>93</v>
      </c>
      <c r="X59" t="s">
        <v>94</v>
      </c>
      <c r="Z59" t="s">
        <v>152</v>
      </c>
      <c r="AB59" t="s">
        <v>153</v>
      </c>
      <c r="AD59" t="s">
        <v>97</v>
      </c>
      <c r="AF59" t="s">
        <v>98</v>
      </c>
      <c r="AI59" t="s">
        <v>166</v>
      </c>
      <c r="AJ59">
        <v>1</v>
      </c>
      <c r="AK59" t="s">
        <v>110</v>
      </c>
      <c r="AN59">
        <v>0.02</v>
      </c>
      <c r="AO59">
        <v>0.03</v>
      </c>
      <c r="AP59">
        <v>0.2</v>
      </c>
      <c r="AQ59">
        <v>0.3</v>
      </c>
      <c r="AR59">
        <v>0.1</v>
      </c>
      <c r="AS59">
        <v>0.1</v>
      </c>
      <c r="AT59">
        <v>0.15</v>
      </c>
      <c r="AU59">
        <v>0.1</v>
      </c>
      <c r="AV59">
        <v>120</v>
      </c>
      <c r="AW59" t="s">
        <v>101</v>
      </c>
      <c r="AX59" t="s">
        <v>101</v>
      </c>
      <c r="AY59" t="s">
        <v>101</v>
      </c>
    </row>
    <row r="60" spans="1:51" x14ac:dyDescent="0.25">
      <c r="A60">
        <v>59</v>
      </c>
      <c r="B60" t="s">
        <v>241</v>
      </c>
      <c r="C60" s="1">
        <v>0</v>
      </c>
      <c r="D60" t="s">
        <v>230</v>
      </c>
      <c r="E60" s="16" t="s">
        <v>391</v>
      </c>
      <c r="F60" s="2" t="s">
        <v>58</v>
      </c>
      <c r="G60" t="s">
        <v>231</v>
      </c>
      <c r="H60" t="s">
        <v>372</v>
      </c>
      <c r="I60" t="s">
        <v>242</v>
      </c>
      <c r="J60" t="s">
        <v>118</v>
      </c>
      <c r="K60">
        <v>114</v>
      </c>
      <c r="L60" t="s">
        <v>89</v>
      </c>
      <c r="M60" s="4">
        <f>_xlfn.XLOOKUP(F60, 'Sheet12.10.25'!C:C, 'Sheet12.10.25'!F:F, "")*K60</f>
        <v>515.50799999999992</v>
      </c>
      <c r="N60" t="s">
        <v>234</v>
      </c>
      <c r="R60" t="s">
        <v>91</v>
      </c>
      <c r="T60" t="s">
        <v>92</v>
      </c>
      <c r="V60" t="s">
        <v>93</v>
      </c>
      <c r="X60" t="s">
        <v>94</v>
      </c>
      <c r="Z60" t="s">
        <v>152</v>
      </c>
      <c r="AB60" t="s">
        <v>153</v>
      </c>
      <c r="AD60" t="s">
        <v>97</v>
      </c>
      <c r="AF60" t="s">
        <v>98</v>
      </c>
      <c r="AI60" t="s">
        <v>314</v>
      </c>
      <c r="AJ60">
        <v>1</v>
      </c>
      <c r="AK60" t="s">
        <v>110</v>
      </c>
      <c r="AN60">
        <v>0.02</v>
      </c>
      <c r="AO60">
        <v>0.03</v>
      </c>
      <c r="AP60">
        <v>0.2</v>
      </c>
      <c r="AQ60">
        <v>0.3</v>
      </c>
      <c r="AR60">
        <v>0.1</v>
      </c>
      <c r="AS60">
        <v>0.1</v>
      </c>
      <c r="AT60">
        <v>0.15</v>
      </c>
      <c r="AU60">
        <v>0.1</v>
      </c>
      <c r="AV60">
        <v>120</v>
      </c>
      <c r="AW60" t="s">
        <v>188</v>
      </c>
      <c r="AX60" t="s">
        <v>101</v>
      </c>
      <c r="AY60" t="s">
        <v>101</v>
      </c>
    </row>
    <row r="61" spans="1:51" x14ac:dyDescent="0.25">
      <c r="A61">
        <v>60</v>
      </c>
      <c r="B61" t="s">
        <v>243</v>
      </c>
      <c r="C61" s="1">
        <v>0</v>
      </c>
      <c r="D61" t="s">
        <v>230</v>
      </c>
      <c r="E61" s="16"/>
      <c r="F61" s="2" t="s">
        <v>58</v>
      </c>
      <c r="G61" t="s">
        <v>231</v>
      </c>
      <c r="H61" t="s">
        <v>372</v>
      </c>
      <c r="I61" t="s">
        <v>244</v>
      </c>
      <c r="J61" t="s">
        <v>118</v>
      </c>
      <c r="K61">
        <v>78</v>
      </c>
      <c r="L61" t="s">
        <v>89</v>
      </c>
      <c r="M61" s="4">
        <f>_xlfn.XLOOKUP(F61, 'Sheet12.10.25'!C:C, 'Sheet12.10.25'!F:F, "")*K61</f>
        <v>352.71599999999995</v>
      </c>
      <c r="N61" t="s">
        <v>234</v>
      </c>
      <c r="R61" t="s">
        <v>91</v>
      </c>
      <c r="T61" t="s">
        <v>92</v>
      </c>
      <c r="V61" t="s">
        <v>93</v>
      </c>
      <c r="X61" t="s">
        <v>94</v>
      </c>
      <c r="Z61" t="s">
        <v>152</v>
      </c>
      <c r="AB61" t="s">
        <v>153</v>
      </c>
      <c r="AD61" t="s">
        <v>97</v>
      </c>
      <c r="AF61" t="s">
        <v>98</v>
      </c>
      <c r="AI61" t="s">
        <v>166</v>
      </c>
      <c r="AJ61">
        <v>1</v>
      </c>
      <c r="AK61" t="s">
        <v>116</v>
      </c>
      <c r="AN61">
        <v>0.02</v>
      </c>
      <c r="AO61">
        <v>0.03</v>
      </c>
      <c r="AP61">
        <v>0.2</v>
      </c>
      <c r="AQ61">
        <v>0.3</v>
      </c>
      <c r="AR61">
        <v>0.1</v>
      </c>
      <c r="AS61">
        <v>0.1</v>
      </c>
      <c r="AT61">
        <v>0.15</v>
      </c>
      <c r="AU61">
        <v>0.1</v>
      </c>
      <c r="AV61">
        <v>120</v>
      </c>
      <c r="AW61" t="s">
        <v>101</v>
      </c>
      <c r="AX61" t="s">
        <v>101</v>
      </c>
      <c r="AY61" t="s">
        <v>101</v>
      </c>
    </row>
    <row r="62" spans="1:51" x14ac:dyDescent="0.25">
      <c r="A62">
        <v>61</v>
      </c>
      <c r="B62" t="s">
        <v>245</v>
      </c>
      <c r="C62" s="1"/>
      <c r="E62" s="16" t="s">
        <v>403</v>
      </c>
      <c r="F62" s="2" t="s">
        <v>58</v>
      </c>
      <c r="G62" t="s">
        <v>231</v>
      </c>
      <c r="H62" t="s">
        <v>372</v>
      </c>
      <c r="I62" t="s">
        <v>246</v>
      </c>
      <c r="J62" t="s">
        <v>118</v>
      </c>
      <c r="K62">
        <v>89</v>
      </c>
      <c r="L62" t="s">
        <v>89</v>
      </c>
      <c r="M62" s="4">
        <f>_xlfn.XLOOKUP(F62, 'Sheet12.10.25'!C:C, 'Sheet12.10.25'!F:F, "")*K62</f>
        <v>402.45799999999997</v>
      </c>
      <c r="N62" t="s">
        <v>234</v>
      </c>
      <c r="R62" t="s">
        <v>91</v>
      </c>
      <c r="T62" t="s">
        <v>92</v>
      </c>
      <c r="V62" t="s">
        <v>93</v>
      </c>
      <c r="X62" t="s">
        <v>94</v>
      </c>
      <c r="Z62" t="s">
        <v>152</v>
      </c>
      <c r="AB62" t="s">
        <v>153</v>
      </c>
      <c r="AD62" t="s">
        <v>97</v>
      </c>
      <c r="AF62" t="s">
        <v>98</v>
      </c>
      <c r="AI62" t="s">
        <v>359</v>
      </c>
      <c r="AJ62">
        <v>1</v>
      </c>
      <c r="AN62">
        <v>0.02</v>
      </c>
      <c r="AO62">
        <v>0.03</v>
      </c>
      <c r="AP62">
        <v>0.2</v>
      </c>
      <c r="AQ62">
        <v>0.3</v>
      </c>
      <c r="AR62">
        <v>0.1</v>
      </c>
      <c r="AS62">
        <v>0.1</v>
      </c>
      <c r="AT62">
        <v>0.15</v>
      </c>
      <c r="AU62">
        <v>0.1</v>
      </c>
      <c r="AV62">
        <v>403</v>
      </c>
      <c r="AW62" t="s">
        <v>188</v>
      </c>
      <c r="AX62" t="s">
        <v>101</v>
      </c>
      <c r="AY62" t="s">
        <v>101</v>
      </c>
    </row>
    <row r="63" spans="1:51" x14ac:dyDescent="0.25">
      <c r="A63">
        <v>62</v>
      </c>
      <c r="B63" t="s">
        <v>247</v>
      </c>
      <c r="C63" s="1">
        <v>0</v>
      </c>
      <c r="D63" t="s">
        <v>230</v>
      </c>
      <c r="E63" s="16" t="s">
        <v>388</v>
      </c>
      <c r="F63" s="2" t="s">
        <v>58</v>
      </c>
      <c r="G63" t="s">
        <v>231</v>
      </c>
      <c r="H63" t="s">
        <v>372</v>
      </c>
      <c r="I63" t="s">
        <v>248</v>
      </c>
      <c r="J63" t="s">
        <v>233</v>
      </c>
      <c r="K63">
        <v>1503</v>
      </c>
      <c r="L63" t="s">
        <v>89</v>
      </c>
      <c r="M63" s="4">
        <f>_xlfn.XLOOKUP(F63, 'Sheet12.10.25'!C:C, 'Sheet12.10.25'!F:F, "")*K63</f>
        <v>6796.5659999999989</v>
      </c>
      <c r="N63" t="s">
        <v>249</v>
      </c>
      <c r="R63" t="s">
        <v>91</v>
      </c>
      <c r="T63" t="s">
        <v>92</v>
      </c>
      <c r="V63" t="s">
        <v>93</v>
      </c>
      <c r="X63" t="s">
        <v>94</v>
      </c>
      <c r="Z63" t="s">
        <v>152</v>
      </c>
      <c r="AB63" t="s">
        <v>153</v>
      </c>
      <c r="AD63" t="s">
        <v>97</v>
      </c>
      <c r="AF63" t="s">
        <v>98</v>
      </c>
      <c r="AI63" t="s">
        <v>330</v>
      </c>
      <c r="AJ63">
        <v>1</v>
      </c>
      <c r="AK63" t="s">
        <v>100</v>
      </c>
      <c r="AN63">
        <v>0.02</v>
      </c>
      <c r="AO63">
        <v>0.03</v>
      </c>
      <c r="AP63">
        <v>0.2</v>
      </c>
      <c r="AQ63">
        <v>0.3</v>
      </c>
      <c r="AR63">
        <v>0.1</v>
      </c>
      <c r="AS63">
        <v>0.1</v>
      </c>
      <c r="AT63">
        <v>0.15</v>
      </c>
      <c r="AU63">
        <v>0.1</v>
      </c>
      <c r="AV63">
        <v>120</v>
      </c>
      <c r="AW63" t="s">
        <v>101</v>
      </c>
      <c r="AX63" t="s">
        <v>101</v>
      </c>
      <c r="AY63" t="s">
        <v>101</v>
      </c>
    </row>
    <row r="64" spans="1:51" x14ac:dyDescent="0.25">
      <c r="A64">
        <v>63</v>
      </c>
      <c r="B64" t="s">
        <v>250</v>
      </c>
      <c r="C64" s="1">
        <v>0</v>
      </c>
      <c r="D64" t="s">
        <v>179</v>
      </c>
      <c r="E64" s="16" t="s">
        <v>383</v>
      </c>
      <c r="F64" s="2" t="s">
        <v>56</v>
      </c>
      <c r="G64" t="s">
        <v>180</v>
      </c>
      <c r="H64" t="s">
        <v>372</v>
      </c>
      <c r="I64" t="s">
        <v>251</v>
      </c>
      <c r="J64" s="3" t="s">
        <v>118</v>
      </c>
      <c r="K64">
        <v>5</v>
      </c>
      <c r="L64" t="s">
        <v>89</v>
      </c>
      <c r="M64" s="4">
        <f>_xlfn.XLOOKUP(F64, 'Sheet12.10.25'!C:C, 'Sheet12.10.25'!F:F, "")*K64</f>
        <v>24.394999999999996</v>
      </c>
      <c r="N64" t="s">
        <v>90</v>
      </c>
      <c r="R64" t="s">
        <v>91</v>
      </c>
      <c r="T64" t="s">
        <v>92</v>
      </c>
      <c r="V64" t="s">
        <v>93</v>
      </c>
      <c r="X64" t="s">
        <v>94</v>
      </c>
      <c r="Z64" t="s">
        <v>95</v>
      </c>
      <c r="AB64" t="s">
        <v>96</v>
      </c>
      <c r="AD64" t="s">
        <v>97</v>
      </c>
      <c r="AF64" t="s">
        <v>98</v>
      </c>
      <c r="AI64" t="s">
        <v>323</v>
      </c>
      <c r="AJ64">
        <v>1</v>
      </c>
      <c r="AK64" t="s">
        <v>104</v>
      </c>
      <c r="AN64">
        <v>0.02</v>
      </c>
      <c r="AO64">
        <v>0.03</v>
      </c>
      <c r="AP64">
        <v>0.2</v>
      </c>
      <c r="AQ64">
        <v>0.3</v>
      </c>
      <c r="AR64">
        <v>0.1</v>
      </c>
      <c r="AS64">
        <v>0.1</v>
      </c>
      <c r="AT64">
        <v>0.15</v>
      </c>
      <c r="AU64">
        <v>0.1</v>
      </c>
      <c r="AV64">
        <v>401</v>
      </c>
      <c r="AW64" t="s">
        <v>101</v>
      </c>
      <c r="AX64" t="s">
        <v>101</v>
      </c>
      <c r="AY64" t="s">
        <v>101</v>
      </c>
    </row>
    <row r="65" spans="1:51" x14ac:dyDescent="0.25">
      <c r="A65">
        <v>64</v>
      </c>
      <c r="B65" t="s">
        <v>250</v>
      </c>
      <c r="C65" s="1">
        <v>0</v>
      </c>
      <c r="D65" t="s">
        <v>179</v>
      </c>
      <c r="E65" s="16" t="s">
        <v>383</v>
      </c>
      <c r="F65" s="2" t="s">
        <v>56</v>
      </c>
      <c r="G65" t="s">
        <v>180</v>
      </c>
      <c r="H65" t="s">
        <v>372</v>
      </c>
      <c r="I65" t="s">
        <v>252</v>
      </c>
      <c r="J65" t="s">
        <v>182</v>
      </c>
      <c r="K65">
        <v>46</v>
      </c>
      <c r="L65" t="s">
        <v>89</v>
      </c>
      <c r="M65" s="4">
        <f>_xlfn.XLOOKUP(F65, 'Sheet12.10.25'!C:C, 'Sheet12.10.25'!F:F, "")*K65</f>
        <v>224.43399999999997</v>
      </c>
      <c r="N65" t="s">
        <v>90</v>
      </c>
      <c r="R65" t="s">
        <v>91</v>
      </c>
      <c r="T65" t="s">
        <v>92</v>
      </c>
      <c r="V65" t="s">
        <v>93</v>
      </c>
      <c r="X65" t="s">
        <v>94</v>
      </c>
      <c r="Z65" t="s">
        <v>95</v>
      </c>
      <c r="AB65" t="s">
        <v>96</v>
      </c>
      <c r="AD65" t="s">
        <v>97</v>
      </c>
      <c r="AF65" t="s">
        <v>98</v>
      </c>
      <c r="AI65" t="s">
        <v>323</v>
      </c>
      <c r="AJ65">
        <v>1</v>
      </c>
      <c r="AK65" t="s">
        <v>104</v>
      </c>
      <c r="AN65">
        <v>0.02</v>
      </c>
      <c r="AO65">
        <v>0.03</v>
      </c>
      <c r="AP65">
        <v>0.2</v>
      </c>
      <c r="AQ65">
        <v>0.3</v>
      </c>
      <c r="AR65">
        <v>0.1</v>
      </c>
      <c r="AS65">
        <v>0.1</v>
      </c>
      <c r="AT65">
        <v>0.15</v>
      </c>
      <c r="AU65">
        <v>0.1</v>
      </c>
      <c r="AV65">
        <v>401</v>
      </c>
      <c r="AW65" t="s">
        <v>101</v>
      </c>
      <c r="AX65" t="s">
        <v>101</v>
      </c>
      <c r="AY65" t="s">
        <v>101</v>
      </c>
    </row>
    <row r="66" spans="1:51" x14ac:dyDescent="0.25">
      <c r="A66">
        <v>65</v>
      </c>
      <c r="B66" t="s">
        <v>253</v>
      </c>
      <c r="C66" s="1">
        <v>0</v>
      </c>
      <c r="D66" t="s">
        <v>179</v>
      </c>
      <c r="E66" s="16" t="s">
        <v>382</v>
      </c>
      <c r="F66" s="2" t="s">
        <v>56</v>
      </c>
      <c r="G66" t="s">
        <v>180</v>
      </c>
      <c r="H66" t="s">
        <v>372</v>
      </c>
      <c r="I66" t="s">
        <v>254</v>
      </c>
      <c r="J66" s="3" t="s">
        <v>118</v>
      </c>
      <c r="K66">
        <v>5</v>
      </c>
      <c r="L66" t="s">
        <v>89</v>
      </c>
      <c r="M66" s="4">
        <f>_xlfn.XLOOKUP(F66, 'Sheet12.10.25'!C:C, 'Sheet12.10.25'!F:F, "")*K66</f>
        <v>24.394999999999996</v>
      </c>
      <c r="N66" t="s">
        <v>90</v>
      </c>
      <c r="R66" t="s">
        <v>91</v>
      </c>
      <c r="T66" t="s">
        <v>92</v>
      </c>
      <c r="V66" t="s">
        <v>93</v>
      </c>
      <c r="X66" t="s">
        <v>94</v>
      </c>
      <c r="Z66" t="s">
        <v>95</v>
      </c>
      <c r="AB66" t="s">
        <v>96</v>
      </c>
      <c r="AD66" t="s">
        <v>97</v>
      </c>
      <c r="AF66" t="s">
        <v>98</v>
      </c>
      <c r="AI66" t="s">
        <v>324</v>
      </c>
      <c r="AJ66">
        <v>1</v>
      </c>
      <c r="AK66" t="s">
        <v>107</v>
      </c>
      <c r="AN66">
        <v>0.02</v>
      </c>
      <c r="AO66">
        <v>0.03</v>
      </c>
      <c r="AP66">
        <v>0.2</v>
      </c>
      <c r="AQ66">
        <v>0.3</v>
      </c>
      <c r="AR66">
        <v>0.1</v>
      </c>
      <c r="AS66">
        <v>0.1</v>
      </c>
      <c r="AT66">
        <v>0.15</v>
      </c>
      <c r="AU66">
        <v>0.1</v>
      </c>
      <c r="AV66">
        <v>401</v>
      </c>
      <c r="AW66" t="s">
        <v>101</v>
      </c>
      <c r="AX66" t="s">
        <v>101</v>
      </c>
      <c r="AY66" t="s">
        <v>101</v>
      </c>
    </row>
    <row r="67" spans="1:51" x14ac:dyDescent="0.25">
      <c r="A67">
        <v>66</v>
      </c>
      <c r="B67" t="s">
        <v>253</v>
      </c>
      <c r="C67" s="1">
        <v>0</v>
      </c>
      <c r="D67" t="s">
        <v>179</v>
      </c>
      <c r="E67" s="16" t="s">
        <v>382</v>
      </c>
      <c r="F67" s="2" t="s">
        <v>56</v>
      </c>
      <c r="G67" t="s">
        <v>180</v>
      </c>
      <c r="H67" t="s">
        <v>372</v>
      </c>
      <c r="I67" t="s">
        <v>255</v>
      </c>
      <c r="J67" t="s">
        <v>182</v>
      </c>
      <c r="K67">
        <v>139</v>
      </c>
      <c r="L67" t="s">
        <v>89</v>
      </c>
      <c r="M67" s="4">
        <f>_xlfn.XLOOKUP(F67, 'Sheet12.10.25'!C:C, 'Sheet12.10.25'!F:F, "")*K67</f>
        <v>678.18099999999993</v>
      </c>
      <c r="N67" t="s">
        <v>90</v>
      </c>
      <c r="R67" t="s">
        <v>91</v>
      </c>
      <c r="T67" t="s">
        <v>92</v>
      </c>
      <c r="V67" t="s">
        <v>93</v>
      </c>
      <c r="X67" t="s">
        <v>94</v>
      </c>
      <c r="Z67" t="s">
        <v>95</v>
      </c>
      <c r="AB67" t="s">
        <v>96</v>
      </c>
      <c r="AD67" t="s">
        <v>97</v>
      </c>
      <c r="AF67" t="s">
        <v>98</v>
      </c>
      <c r="AI67" t="s">
        <v>324</v>
      </c>
      <c r="AJ67">
        <v>1</v>
      </c>
      <c r="AK67" t="s">
        <v>107</v>
      </c>
      <c r="AN67">
        <v>0.02</v>
      </c>
      <c r="AO67">
        <v>0.03</v>
      </c>
      <c r="AP67">
        <v>0.2</v>
      </c>
      <c r="AQ67">
        <v>0.3</v>
      </c>
      <c r="AR67">
        <v>0.1</v>
      </c>
      <c r="AS67">
        <v>0.1</v>
      </c>
      <c r="AT67">
        <v>0.15</v>
      </c>
      <c r="AU67">
        <v>0.1</v>
      </c>
      <c r="AV67">
        <v>401</v>
      </c>
      <c r="AW67" t="s">
        <v>101</v>
      </c>
      <c r="AX67" t="s">
        <v>101</v>
      </c>
      <c r="AY67" t="s">
        <v>101</v>
      </c>
    </row>
    <row r="68" spans="1:51" x14ac:dyDescent="0.25">
      <c r="A68">
        <v>67</v>
      </c>
      <c r="B68" t="s">
        <v>256</v>
      </c>
      <c r="C68" s="1">
        <v>0</v>
      </c>
      <c r="D68" t="s">
        <v>179</v>
      </c>
      <c r="E68" s="16" t="s">
        <v>392</v>
      </c>
      <c r="F68" s="2" t="s">
        <v>56</v>
      </c>
      <c r="G68" t="s">
        <v>180</v>
      </c>
      <c r="H68" t="s">
        <v>372</v>
      </c>
      <c r="I68" t="s">
        <v>257</v>
      </c>
      <c r="J68" t="s">
        <v>182</v>
      </c>
      <c r="K68">
        <v>167</v>
      </c>
      <c r="L68" t="s">
        <v>89</v>
      </c>
      <c r="M68" s="4">
        <f>_xlfn.XLOOKUP(F68, 'Sheet12.10.25'!C:C, 'Sheet12.10.25'!F:F, "")*K68</f>
        <v>814.79299999999989</v>
      </c>
      <c r="N68" t="s">
        <v>90</v>
      </c>
      <c r="R68" t="s">
        <v>91</v>
      </c>
      <c r="T68" t="s">
        <v>92</v>
      </c>
      <c r="V68" t="s">
        <v>93</v>
      </c>
      <c r="X68" t="s">
        <v>94</v>
      </c>
      <c r="Z68" t="s">
        <v>95</v>
      </c>
      <c r="AB68" t="s">
        <v>96</v>
      </c>
      <c r="AD68" t="s">
        <v>97</v>
      </c>
      <c r="AF68" t="s">
        <v>98</v>
      </c>
      <c r="AI68" t="s">
        <v>309</v>
      </c>
      <c r="AJ68">
        <v>1</v>
      </c>
      <c r="AK68" t="s">
        <v>110</v>
      </c>
      <c r="AN68">
        <v>0.02</v>
      </c>
      <c r="AO68">
        <v>0.03</v>
      </c>
      <c r="AP68">
        <v>0.2</v>
      </c>
      <c r="AQ68">
        <v>0.3</v>
      </c>
      <c r="AR68">
        <v>0.1</v>
      </c>
      <c r="AS68">
        <v>0.1</v>
      </c>
      <c r="AT68">
        <v>0.15</v>
      </c>
      <c r="AU68">
        <v>0.1</v>
      </c>
      <c r="AV68">
        <v>120</v>
      </c>
      <c r="AW68" t="s">
        <v>101</v>
      </c>
      <c r="AX68" t="s">
        <v>101</v>
      </c>
      <c r="AY68" t="s">
        <v>101</v>
      </c>
    </row>
    <row r="69" spans="1:51" x14ac:dyDescent="0.25">
      <c r="A69">
        <v>68</v>
      </c>
      <c r="B69" t="s">
        <v>258</v>
      </c>
      <c r="C69" s="1">
        <v>0</v>
      </c>
      <c r="D69" t="s">
        <v>179</v>
      </c>
      <c r="E69" s="16" t="s">
        <v>392</v>
      </c>
      <c r="F69" s="2" t="s">
        <v>56</v>
      </c>
      <c r="G69" t="s">
        <v>180</v>
      </c>
      <c r="H69" t="s">
        <v>372</v>
      </c>
      <c r="I69" t="s">
        <v>259</v>
      </c>
      <c r="J69" s="3" t="s">
        <v>118</v>
      </c>
      <c r="K69">
        <v>5</v>
      </c>
      <c r="L69" t="s">
        <v>89</v>
      </c>
      <c r="M69" s="4">
        <f>_xlfn.XLOOKUP(F69, 'Sheet12.10.25'!C:C, 'Sheet12.10.25'!F:F, "")*K69</f>
        <v>24.394999999999996</v>
      </c>
      <c r="N69" t="s">
        <v>90</v>
      </c>
      <c r="R69" t="s">
        <v>91</v>
      </c>
      <c r="T69" t="s">
        <v>92</v>
      </c>
      <c r="V69" t="s">
        <v>93</v>
      </c>
      <c r="X69" t="s">
        <v>94</v>
      </c>
      <c r="Z69" t="s">
        <v>95</v>
      </c>
      <c r="AB69" t="s">
        <v>96</v>
      </c>
      <c r="AD69" t="s">
        <v>97</v>
      </c>
      <c r="AF69" t="s">
        <v>98</v>
      </c>
      <c r="AI69" t="s">
        <v>310</v>
      </c>
      <c r="AJ69">
        <v>1</v>
      </c>
      <c r="AK69" t="s">
        <v>116</v>
      </c>
      <c r="AN69">
        <v>0.02</v>
      </c>
      <c r="AO69">
        <v>0.03</v>
      </c>
      <c r="AP69">
        <v>0.2</v>
      </c>
      <c r="AQ69">
        <v>0.3</v>
      </c>
      <c r="AR69">
        <v>0.1</v>
      </c>
      <c r="AS69">
        <v>0.1</v>
      </c>
      <c r="AT69">
        <v>0.15</v>
      </c>
      <c r="AU69">
        <v>0.1</v>
      </c>
      <c r="AV69">
        <v>120</v>
      </c>
      <c r="AW69" t="s">
        <v>101</v>
      </c>
      <c r="AX69" t="s">
        <v>101</v>
      </c>
      <c r="AY69" t="s">
        <v>101</v>
      </c>
    </row>
    <row r="70" spans="1:51" x14ac:dyDescent="0.25">
      <c r="A70">
        <v>69</v>
      </c>
      <c r="B70" t="s">
        <v>258</v>
      </c>
      <c r="C70" s="1">
        <v>0</v>
      </c>
      <c r="D70" t="s">
        <v>179</v>
      </c>
      <c r="E70" s="16" t="s">
        <v>392</v>
      </c>
      <c r="F70" s="2" t="s">
        <v>56</v>
      </c>
      <c r="G70" t="s">
        <v>180</v>
      </c>
      <c r="H70" t="s">
        <v>372</v>
      </c>
      <c r="I70" t="s">
        <v>260</v>
      </c>
      <c r="J70" s="3" t="s">
        <v>182</v>
      </c>
      <c r="K70">
        <v>163</v>
      </c>
      <c r="L70" t="s">
        <v>89</v>
      </c>
      <c r="M70" s="4">
        <f>_xlfn.XLOOKUP(F70, 'Sheet12.10.25'!C:C, 'Sheet12.10.25'!F:F, "")*K70</f>
        <v>795.27699999999993</v>
      </c>
      <c r="N70" t="s">
        <v>90</v>
      </c>
      <c r="R70" t="s">
        <v>91</v>
      </c>
      <c r="T70" t="s">
        <v>92</v>
      </c>
      <c r="V70" t="s">
        <v>93</v>
      </c>
      <c r="X70" t="s">
        <v>94</v>
      </c>
      <c r="Z70" t="s">
        <v>95</v>
      </c>
      <c r="AB70" t="s">
        <v>96</v>
      </c>
      <c r="AD70" t="s">
        <v>97</v>
      </c>
      <c r="AF70" t="s">
        <v>98</v>
      </c>
      <c r="AI70" t="s">
        <v>310</v>
      </c>
      <c r="AJ70">
        <v>1</v>
      </c>
      <c r="AK70" t="s">
        <v>116</v>
      </c>
      <c r="AN70">
        <v>0.02</v>
      </c>
      <c r="AO70">
        <v>0.03</v>
      </c>
      <c r="AP70">
        <v>0.2</v>
      </c>
      <c r="AQ70">
        <v>0.3</v>
      </c>
      <c r="AR70">
        <v>0.1</v>
      </c>
      <c r="AS70">
        <v>0.1</v>
      </c>
      <c r="AT70">
        <v>0.15</v>
      </c>
      <c r="AU70">
        <v>0.1</v>
      </c>
      <c r="AV70">
        <v>120</v>
      </c>
      <c r="AW70" t="s">
        <v>101</v>
      </c>
      <c r="AX70" t="s">
        <v>101</v>
      </c>
      <c r="AY70" t="s">
        <v>101</v>
      </c>
    </row>
    <row r="71" spans="1:51" x14ac:dyDescent="0.25">
      <c r="A71">
        <v>70</v>
      </c>
      <c r="B71" t="s">
        <v>261</v>
      </c>
      <c r="C71" s="1">
        <v>0</v>
      </c>
      <c r="D71" t="s">
        <v>179</v>
      </c>
      <c r="E71" s="16" t="s">
        <v>395</v>
      </c>
      <c r="F71" s="2" t="s">
        <v>56</v>
      </c>
      <c r="G71" t="s">
        <v>180</v>
      </c>
      <c r="H71" t="s">
        <v>372</v>
      </c>
      <c r="I71" t="s">
        <v>262</v>
      </c>
      <c r="J71" s="3" t="s">
        <v>118</v>
      </c>
      <c r="K71">
        <v>5</v>
      </c>
      <c r="L71" t="s">
        <v>89</v>
      </c>
      <c r="M71" s="4">
        <f>_xlfn.XLOOKUP(F71, 'Sheet12.10.25'!C:C, 'Sheet12.10.25'!F:F, "")*K71</f>
        <v>24.394999999999996</v>
      </c>
      <c r="N71" t="s">
        <v>90</v>
      </c>
      <c r="R71" t="s">
        <v>91</v>
      </c>
      <c r="T71" t="s">
        <v>92</v>
      </c>
      <c r="V71" t="s">
        <v>93</v>
      </c>
      <c r="X71" t="s">
        <v>94</v>
      </c>
      <c r="Z71" t="s">
        <v>95</v>
      </c>
      <c r="AB71" t="s">
        <v>96</v>
      </c>
      <c r="AD71" t="s">
        <v>97</v>
      </c>
      <c r="AF71" t="s">
        <v>98</v>
      </c>
      <c r="AI71" t="s">
        <v>311</v>
      </c>
      <c r="AJ71">
        <v>1</v>
      </c>
      <c r="AK71" t="s">
        <v>100</v>
      </c>
      <c r="AN71">
        <v>0.02</v>
      </c>
      <c r="AO71">
        <v>0.03</v>
      </c>
      <c r="AP71">
        <v>0.2</v>
      </c>
      <c r="AQ71">
        <v>0.3</v>
      </c>
      <c r="AR71">
        <v>0.1</v>
      </c>
      <c r="AS71">
        <v>0.1</v>
      </c>
      <c r="AT71">
        <v>0.15</v>
      </c>
      <c r="AU71">
        <v>0.1</v>
      </c>
      <c r="AV71">
        <v>120</v>
      </c>
      <c r="AW71" t="s">
        <v>101</v>
      </c>
      <c r="AX71" t="s">
        <v>101</v>
      </c>
      <c r="AY71" t="s">
        <v>101</v>
      </c>
    </row>
    <row r="72" spans="1:51" x14ac:dyDescent="0.25">
      <c r="A72">
        <v>71</v>
      </c>
      <c r="B72" t="s">
        <v>261</v>
      </c>
      <c r="C72" s="1">
        <v>0</v>
      </c>
      <c r="D72" t="s">
        <v>179</v>
      </c>
      <c r="E72" s="16" t="s">
        <v>395</v>
      </c>
      <c r="F72" s="2" t="s">
        <v>56</v>
      </c>
      <c r="G72" t="s">
        <v>180</v>
      </c>
      <c r="H72" t="s">
        <v>372</v>
      </c>
      <c r="I72" t="s">
        <v>264</v>
      </c>
      <c r="J72" t="s">
        <v>182</v>
      </c>
      <c r="K72">
        <v>133</v>
      </c>
      <c r="L72" t="s">
        <v>89</v>
      </c>
      <c r="M72" s="4">
        <f>_xlfn.XLOOKUP(F72, 'Sheet12.10.25'!C:C, 'Sheet12.10.25'!F:F, "")*K72</f>
        <v>648.90699999999993</v>
      </c>
      <c r="N72" t="s">
        <v>90</v>
      </c>
      <c r="R72" t="s">
        <v>91</v>
      </c>
      <c r="T72" t="s">
        <v>92</v>
      </c>
      <c r="V72" t="s">
        <v>93</v>
      </c>
      <c r="X72" t="s">
        <v>94</v>
      </c>
      <c r="Z72" t="s">
        <v>95</v>
      </c>
      <c r="AB72" t="s">
        <v>96</v>
      </c>
      <c r="AD72" t="s">
        <v>97</v>
      </c>
      <c r="AF72" t="s">
        <v>98</v>
      </c>
      <c r="AI72" t="s">
        <v>311</v>
      </c>
      <c r="AJ72">
        <v>1</v>
      </c>
      <c r="AK72" t="s">
        <v>100</v>
      </c>
      <c r="AN72">
        <v>0.02</v>
      </c>
      <c r="AO72">
        <v>0.03</v>
      </c>
      <c r="AP72">
        <v>0.2</v>
      </c>
      <c r="AQ72">
        <v>0.3</v>
      </c>
      <c r="AR72">
        <v>0.1</v>
      </c>
      <c r="AS72">
        <v>0.1</v>
      </c>
      <c r="AT72">
        <v>0.15</v>
      </c>
      <c r="AU72">
        <v>0.1</v>
      </c>
      <c r="AV72">
        <v>120</v>
      </c>
      <c r="AW72" t="s">
        <v>101</v>
      </c>
      <c r="AX72" t="s">
        <v>101</v>
      </c>
      <c r="AY72" t="s">
        <v>101</v>
      </c>
    </row>
    <row r="73" spans="1:51" x14ac:dyDescent="0.25">
      <c r="A73">
        <v>72</v>
      </c>
      <c r="B73" t="s">
        <v>265</v>
      </c>
      <c r="C73" s="1">
        <v>0</v>
      </c>
      <c r="D73" t="s">
        <v>179</v>
      </c>
      <c r="E73" s="16" t="s">
        <v>400</v>
      </c>
      <c r="F73" s="2" t="s">
        <v>56</v>
      </c>
      <c r="G73" t="s">
        <v>180</v>
      </c>
      <c r="H73" t="s">
        <v>372</v>
      </c>
      <c r="I73" t="s">
        <v>266</v>
      </c>
      <c r="J73" t="s">
        <v>182</v>
      </c>
      <c r="K73">
        <v>195</v>
      </c>
      <c r="L73" t="s">
        <v>89</v>
      </c>
      <c r="M73" s="4">
        <f>_xlfn.XLOOKUP(F73, 'Sheet12.10.25'!C:C, 'Sheet12.10.25'!F:F, "")*K73</f>
        <v>951.40499999999986</v>
      </c>
      <c r="N73" t="s">
        <v>90</v>
      </c>
      <c r="R73" t="s">
        <v>91</v>
      </c>
      <c r="T73" t="s">
        <v>92</v>
      </c>
      <c r="V73" t="s">
        <v>93</v>
      </c>
      <c r="X73" t="s">
        <v>94</v>
      </c>
      <c r="Z73" t="s">
        <v>95</v>
      </c>
      <c r="AB73" t="s">
        <v>96</v>
      </c>
      <c r="AD73" t="s">
        <v>97</v>
      </c>
      <c r="AF73" t="s">
        <v>98</v>
      </c>
      <c r="AI73" t="s">
        <v>354</v>
      </c>
      <c r="AJ73">
        <v>1</v>
      </c>
      <c r="AK73" t="s">
        <v>104</v>
      </c>
      <c r="AN73">
        <v>0.02</v>
      </c>
      <c r="AO73">
        <v>0.03</v>
      </c>
      <c r="AP73">
        <v>0.2</v>
      </c>
      <c r="AQ73">
        <v>0.3</v>
      </c>
      <c r="AR73">
        <v>0.1</v>
      </c>
      <c r="AS73">
        <v>0.1</v>
      </c>
      <c r="AT73">
        <v>0.15</v>
      </c>
      <c r="AU73">
        <v>0.1</v>
      </c>
      <c r="AV73">
        <v>403</v>
      </c>
      <c r="AW73" t="s">
        <v>101</v>
      </c>
      <c r="AX73" t="s">
        <v>101</v>
      </c>
      <c r="AY73" t="s">
        <v>101</v>
      </c>
    </row>
    <row r="74" spans="1:51" x14ac:dyDescent="0.25">
      <c r="A74">
        <v>73</v>
      </c>
      <c r="B74" t="s">
        <v>267</v>
      </c>
      <c r="C74" s="1">
        <v>0</v>
      </c>
      <c r="D74" t="s">
        <v>179</v>
      </c>
      <c r="E74" s="16" t="s">
        <v>400</v>
      </c>
      <c r="F74" s="2" t="s">
        <v>56</v>
      </c>
      <c r="G74" t="s">
        <v>180</v>
      </c>
      <c r="H74" t="s">
        <v>372</v>
      </c>
      <c r="I74" t="s">
        <v>268</v>
      </c>
      <c r="J74" s="3" t="s">
        <v>118</v>
      </c>
      <c r="K74">
        <v>5</v>
      </c>
      <c r="L74" t="s">
        <v>89</v>
      </c>
      <c r="M74" s="4">
        <f>_xlfn.XLOOKUP(F74, 'Sheet12.10.25'!C:C, 'Sheet12.10.25'!F:F, "")*K74</f>
        <v>24.394999999999996</v>
      </c>
      <c r="N74" t="s">
        <v>90</v>
      </c>
      <c r="R74" t="s">
        <v>91</v>
      </c>
      <c r="T74" t="s">
        <v>92</v>
      </c>
      <c r="V74" t="s">
        <v>93</v>
      </c>
      <c r="X74" t="s">
        <v>94</v>
      </c>
      <c r="Z74" t="s">
        <v>95</v>
      </c>
      <c r="AB74" t="s">
        <v>96</v>
      </c>
      <c r="AD74" t="s">
        <v>97</v>
      </c>
      <c r="AF74" t="s">
        <v>98</v>
      </c>
      <c r="AI74" t="s">
        <v>355</v>
      </c>
      <c r="AJ74">
        <v>1</v>
      </c>
      <c r="AK74" t="s">
        <v>107</v>
      </c>
      <c r="AN74">
        <v>0.02</v>
      </c>
      <c r="AO74">
        <v>0.03</v>
      </c>
      <c r="AP74">
        <v>0.2</v>
      </c>
      <c r="AQ74">
        <v>0.3</v>
      </c>
      <c r="AR74">
        <v>0.1</v>
      </c>
      <c r="AS74">
        <v>0.1</v>
      </c>
      <c r="AT74">
        <v>0.15</v>
      </c>
      <c r="AU74">
        <v>0.1</v>
      </c>
      <c r="AV74">
        <v>403</v>
      </c>
      <c r="AW74" t="s">
        <v>101</v>
      </c>
      <c r="AX74" t="s">
        <v>101</v>
      </c>
      <c r="AY74" t="s">
        <v>101</v>
      </c>
    </row>
    <row r="75" spans="1:51" x14ac:dyDescent="0.25">
      <c r="A75">
        <v>74</v>
      </c>
      <c r="B75" t="s">
        <v>267</v>
      </c>
      <c r="C75" s="1"/>
      <c r="E75" s="16" t="s">
        <v>400</v>
      </c>
      <c r="F75" s="2" t="s">
        <v>56</v>
      </c>
      <c r="G75" t="s">
        <v>180</v>
      </c>
      <c r="H75" t="s">
        <v>372</v>
      </c>
      <c r="I75" t="s">
        <v>269</v>
      </c>
      <c r="J75" t="s">
        <v>182</v>
      </c>
      <c r="K75">
        <v>46</v>
      </c>
      <c r="L75" t="s">
        <v>89</v>
      </c>
      <c r="M75" s="4">
        <f>_xlfn.XLOOKUP(F75, 'Sheet12.10.25'!C:C, 'Sheet12.10.25'!F:F, "")*K75</f>
        <v>224.43399999999997</v>
      </c>
      <c r="N75" t="s">
        <v>90</v>
      </c>
      <c r="R75" t="s">
        <v>91</v>
      </c>
      <c r="T75" t="s">
        <v>92</v>
      </c>
      <c r="V75" t="s">
        <v>93</v>
      </c>
      <c r="X75" t="s">
        <v>94</v>
      </c>
      <c r="Z75" t="s">
        <v>95</v>
      </c>
      <c r="AB75" t="s">
        <v>96</v>
      </c>
      <c r="AD75" t="s">
        <v>97</v>
      </c>
      <c r="AF75" t="s">
        <v>98</v>
      </c>
      <c r="AI75" t="s">
        <v>355</v>
      </c>
      <c r="AJ75">
        <v>1</v>
      </c>
      <c r="AK75" t="s">
        <v>107</v>
      </c>
      <c r="AN75">
        <v>0.02</v>
      </c>
      <c r="AO75">
        <v>0.03</v>
      </c>
      <c r="AP75">
        <v>0.2</v>
      </c>
      <c r="AQ75">
        <v>0.3</v>
      </c>
      <c r="AR75">
        <v>0.1</v>
      </c>
      <c r="AS75">
        <v>0.1</v>
      </c>
      <c r="AT75">
        <v>0.15</v>
      </c>
      <c r="AU75">
        <v>0.1</v>
      </c>
      <c r="AV75">
        <v>403</v>
      </c>
      <c r="AW75" t="s">
        <v>101</v>
      </c>
      <c r="AX75" t="s">
        <v>101</v>
      </c>
      <c r="AY75" t="s">
        <v>101</v>
      </c>
    </row>
    <row r="76" spans="1:51" x14ac:dyDescent="0.25">
      <c r="A76">
        <v>75</v>
      </c>
      <c r="B76" t="s">
        <v>270</v>
      </c>
      <c r="C76" s="1">
        <v>0</v>
      </c>
      <c r="D76" t="s">
        <v>179</v>
      </c>
      <c r="E76" s="16" t="s">
        <v>400</v>
      </c>
      <c r="F76" s="2" t="s">
        <v>56</v>
      </c>
      <c r="G76" t="s">
        <v>180</v>
      </c>
      <c r="H76" t="s">
        <v>372</v>
      </c>
      <c r="I76" t="s">
        <v>271</v>
      </c>
      <c r="J76" s="3" t="s">
        <v>118</v>
      </c>
      <c r="K76">
        <v>5</v>
      </c>
      <c r="L76" t="s">
        <v>89</v>
      </c>
      <c r="M76" s="4">
        <f>_xlfn.XLOOKUP(F76, 'Sheet12.10.25'!C:C, 'Sheet12.10.25'!F:F, "")*K76</f>
        <v>24.394999999999996</v>
      </c>
      <c r="N76" t="s">
        <v>90</v>
      </c>
      <c r="R76" t="s">
        <v>91</v>
      </c>
      <c r="T76" t="s">
        <v>92</v>
      </c>
      <c r="V76" t="s">
        <v>93</v>
      </c>
      <c r="X76" t="s">
        <v>94</v>
      </c>
      <c r="Z76" t="s">
        <v>95</v>
      </c>
      <c r="AB76" t="s">
        <v>96</v>
      </c>
      <c r="AD76" t="s">
        <v>97</v>
      </c>
      <c r="AF76" t="s">
        <v>98</v>
      </c>
      <c r="AI76" t="s">
        <v>356</v>
      </c>
      <c r="AJ76">
        <v>1</v>
      </c>
      <c r="AK76" t="s">
        <v>110</v>
      </c>
      <c r="AN76">
        <v>0.02</v>
      </c>
      <c r="AO76">
        <v>0.03</v>
      </c>
      <c r="AP76">
        <v>0.2</v>
      </c>
      <c r="AQ76">
        <v>0.3</v>
      </c>
      <c r="AR76">
        <v>0.1</v>
      </c>
      <c r="AS76">
        <v>0.1</v>
      </c>
      <c r="AT76">
        <v>0.15</v>
      </c>
      <c r="AU76">
        <v>0.1</v>
      </c>
      <c r="AV76">
        <v>403</v>
      </c>
      <c r="AW76" t="s">
        <v>101</v>
      </c>
      <c r="AX76" t="s">
        <v>101</v>
      </c>
      <c r="AY76" t="s">
        <v>101</v>
      </c>
    </row>
    <row r="77" spans="1:51" x14ac:dyDescent="0.25">
      <c r="A77">
        <v>76</v>
      </c>
      <c r="B77" t="s">
        <v>270</v>
      </c>
      <c r="C77" s="1"/>
      <c r="E77" s="16" t="s">
        <v>400</v>
      </c>
      <c r="F77" s="2" t="s">
        <v>56</v>
      </c>
      <c r="G77" t="s">
        <v>180</v>
      </c>
      <c r="H77" t="s">
        <v>372</v>
      </c>
      <c r="I77" t="s">
        <v>272</v>
      </c>
      <c r="J77" s="3" t="s">
        <v>182</v>
      </c>
      <c r="K77">
        <v>150</v>
      </c>
      <c r="L77" t="s">
        <v>89</v>
      </c>
      <c r="M77" s="4">
        <f>_xlfn.XLOOKUP(F77, 'Sheet12.10.25'!C:C, 'Sheet12.10.25'!F:F, "")*K77</f>
        <v>731.84999999999991</v>
      </c>
      <c r="N77" t="s">
        <v>90</v>
      </c>
      <c r="R77" t="s">
        <v>91</v>
      </c>
      <c r="T77" t="s">
        <v>92</v>
      </c>
      <c r="V77" t="s">
        <v>93</v>
      </c>
      <c r="X77" t="s">
        <v>94</v>
      </c>
      <c r="Z77" t="s">
        <v>95</v>
      </c>
      <c r="AB77" t="s">
        <v>96</v>
      </c>
      <c r="AD77" t="s">
        <v>97</v>
      </c>
      <c r="AF77" t="s">
        <v>98</v>
      </c>
      <c r="AI77" t="s">
        <v>356</v>
      </c>
      <c r="AJ77">
        <v>1</v>
      </c>
      <c r="AN77">
        <v>0.02</v>
      </c>
      <c r="AO77">
        <v>0.03</v>
      </c>
      <c r="AP77">
        <v>0.2</v>
      </c>
      <c r="AQ77">
        <v>0.3</v>
      </c>
      <c r="AR77">
        <v>0.1</v>
      </c>
      <c r="AS77">
        <v>0.1</v>
      </c>
      <c r="AT77">
        <v>0.15</v>
      </c>
      <c r="AU77">
        <v>0.1</v>
      </c>
      <c r="AV77">
        <v>403</v>
      </c>
      <c r="AW77" t="s">
        <v>101</v>
      </c>
      <c r="AX77" t="s">
        <v>101</v>
      </c>
      <c r="AY77" t="s">
        <v>101</v>
      </c>
    </row>
    <row r="78" spans="1:51" x14ac:dyDescent="0.25">
      <c r="A78">
        <v>77</v>
      </c>
      <c r="B78" t="s">
        <v>273</v>
      </c>
      <c r="C78" s="1">
        <v>0</v>
      </c>
      <c r="D78" t="s">
        <v>148</v>
      </c>
      <c r="E78" s="16" t="s">
        <v>386</v>
      </c>
      <c r="F78" s="2" t="s">
        <v>57</v>
      </c>
      <c r="G78" t="s">
        <v>149</v>
      </c>
      <c r="H78" t="s">
        <v>372</v>
      </c>
      <c r="I78" t="s">
        <v>274</v>
      </c>
      <c r="J78" t="s">
        <v>88</v>
      </c>
      <c r="K78">
        <v>28</v>
      </c>
      <c r="L78" t="s">
        <v>89</v>
      </c>
      <c r="M78" s="4">
        <f>_xlfn.XLOOKUP(F78, 'Sheet12.10.25'!C:C, 'Sheet12.10.25'!F:F, "")*K78</f>
        <v>69.972000000000008</v>
      </c>
      <c r="N78" t="s">
        <v>151</v>
      </c>
      <c r="R78" t="s">
        <v>91</v>
      </c>
      <c r="T78" t="s">
        <v>92</v>
      </c>
      <c r="V78" t="s">
        <v>93</v>
      </c>
      <c r="X78" t="s">
        <v>94</v>
      </c>
      <c r="Z78" t="s">
        <v>152</v>
      </c>
      <c r="AB78" t="s">
        <v>153</v>
      </c>
      <c r="AD78" t="s">
        <v>97</v>
      </c>
      <c r="AF78" t="s">
        <v>98</v>
      </c>
      <c r="AI78" t="s">
        <v>327</v>
      </c>
      <c r="AJ78">
        <v>1</v>
      </c>
      <c r="AK78" t="s">
        <v>116</v>
      </c>
      <c r="AN78">
        <v>0.02</v>
      </c>
      <c r="AO78">
        <v>0.03</v>
      </c>
      <c r="AP78">
        <v>0.2</v>
      </c>
      <c r="AQ78">
        <v>0.3</v>
      </c>
      <c r="AR78">
        <v>0.1</v>
      </c>
      <c r="AS78">
        <v>0.1</v>
      </c>
      <c r="AT78">
        <v>0.15</v>
      </c>
      <c r="AU78">
        <v>0.1</v>
      </c>
      <c r="AV78">
        <v>401</v>
      </c>
      <c r="AW78" t="s">
        <v>155</v>
      </c>
      <c r="AX78" t="s">
        <v>101</v>
      </c>
      <c r="AY78" t="s">
        <v>101</v>
      </c>
    </row>
    <row r="79" spans="1:51" x14ac:dyDescent="0.25">
      <c r="A79">
        <v>78</v>
      </c>
      <c r="B79" t="s">
        <v>275</v>
      </c>
      <c r="C79" s="1">
        <v>0</v>
      </c>
      <c r="D79" t="s">
        <v>148</v>
      </c>
      <c r="E79" s="16" t="s">
        <v>397</v>
      </c>
      <c r="F79" s="2" t="s">
        <v>57</v>
      </c>
      <c r="G79" t="s">
        <v>149</v>
      </c>
      <c r="H79" t="s">
        <v>372</v>
      </c>
      <c r="I79" t="s">
        <v>276</v>
      </c>
      <c r="J79" t="s">
        <v>88</v>
      </c>
      <c r="K79">
        <v>16</v>
      </c>
      <c r="L79" t="s">
        <v>89</v>
      </c>
      <c r="M79" s="4">
        <f>_xlfn.XLOOKUP(F79, 'Sheet12.10.25'!C:C, 'Sheet12.10.25'!F:F, "")*K79</f>
        <v>39.984000000000002</v>
      </c>
      <c r="N79" t="s">
        <v>151</v>
      </c>
      <c r="R79" t="s">
        <v>91</v>
      </c>
      <c r="T79" t="s">
        <v>92</v>
      </c>
      <c r="V79" t="s">
        <v>93</v>
      </c>
      <c r="X79" t="s">
        <v>94</v>
      </c>
      <c r="Z79" t="s">
        <v>152</v>
      </c>
      <c r="AB79" t="s">
        <v>153</v>
      </c>
      <c r="AD79" t="s">
        <v>97</v>
      </c>
      <c r="AF79" t="s">
        <v>98</v>
      </c>
      <c r="AI79" t="s">
        <v>313</v>
      </c>
      <c r="AJ79">
        <v>1</v>
      </c>
      <c r="AK79" t="s">
        <v>100</v>
      </c>
      <c r="AN79">
        <v>0.02</v>
      </c>
      <c r="AO79">
        <v>0.03</v>
      </c>
      <c r="AP79">
        <v>0.2</v>
      </c>
      <c r="AQ79">
        <v>0.3</v>
      </c>
      <c r="AR79">
        <v>0.1</v>
      </c>
      <c r="AS79">
        <v>0.1</v>
      </c>
      <c r="AT79">
        <v>0.15</v>
      </c>
      <c r="AU79">
        <v>0.1</v>
      </c>
      <c r="AV79">
        <v>120</v>
      </c>
      <c r="AW79" t="s">
        <v>155</v>
      </c>
      <c r="AX79" t="s">
        <v>101</v>
      </c>
      <c r="AY79" t="s">
        <v>101</v>
      </c>
    </row>
    <row r="80" spans="1:51" x14ac:dyDescent="0.25">
      <c r="A80">
        <v>79</v>
      </c>
      <c r="B80" t="s">
        <v>277</v>
      </c>
      <c r="C80" s="1">
        <v>0</v>
      </c>
      <c r="D80" t="s">
        <v>148</v>
      </c>
      <c r="E80" s="16" t="s">
        <v>402</v>
      </c>
      <c r="F80" s="2" t="s">
        <v>57</v>
      </c>
      <c r="G80" t="s">
        <v>149</v>
      </c>
      <c r="H80" t="s">
        <v>372</v>
      </c>
      <c r="I80" t="s">
        <v>278</v>
      </c>
      <c r="J80" t="s">
        <v>88</v>
      </c>
      <c r="K80">
        <v>15</v>
      </c>
      <c r="L80" t="s">
        <v>89</v>
      </c>
      <c r="M80" s="4">
        <f>_xlfn.XLOOKUP(F80, 'Sheet12.10.25'!C:C, 'Sheet12.10.25'!F:F, "")*K80</f>
        <v>37.484999999999999</v>
      </c>
      <c r="N80" t="s">
        <v>151</v>
      </c>
      <c r="R80" t="s">
        <v>91</v>
      </c>
      <c r="T80" t="s">
        <v>92</v>
      </c>
      <c r="V80" t="s">
        <v>93</v>
      </c>
      <c r="X80" t="s">
        <v>94</v>
      </c>
      <c r="Z80" t="s">
        <v>152</v>
      </c>
      <c r="AB80" t="s">
        <v>153</v>
      </c>
      <c r="AD80" t="s">
        <v>97</v>
      </c>
      <c r="AF80" t="s">
        <v>98</v>
      </c>
      <c r="AI80" t="s">
        <v>358</v>
      </c>
      <c r="AJ80">
        <v>1</v>
      </c>
      <c r="AK80" t="s">
        <v>104</v>
      </c>
      <c r="AN80">
        <v>0.02</v>
      </c>
      <c r="AO80">
        <v>0.03</v>
      </c>
      <c r="AP80">
        <v>0.2</v>
      </c>
      <c r="AQ80">
        <v>0.3</v>
      </c>
      <c r="AR80">
        <v>0.1</v>
      </c>
      <c r="AS80">
        <v>0.1</v>
      </c>
      <c r="AT80">
        <v>0.15</v>
      </c>
      <c r="AU80">
        <v>0.1</v>
      </c>
      <c r="AV80">
        <v>403</v>
      </c>
      <c r="AW80" t="s">
        <v>155</v>
      </c>
      <c r="AX80" t="s">
        <v>101</v>
      </c>
      <c r="AY80" t="s">
        <v>101</v>
      </c>
    </row>
    <row r="81" spans="1:51" x14ac:dyDescent="0.25">
      <c r="A81">
        <v>80</v>
      </c>
      <c r="B81" t="s">
        <v>279</v>
      </c>
      <c r="C81" s="1">
        <v>0</v>
      </c>
      <c r="D81" t="s">
        <v>148</v>
      </c>
      <c r="E81" s="16" t="s">
        <v>385</v>
      </c>
      <c r="F81" s="2" t="s">
        <v>57</v>
      </c>
      <c r="G81" t="s">
        <v>149</v>
      </c>
      <c r="H81" t="s">
        <v>372</v>
      </c>
      <c r="I81" t="s">
        <v>280</v>
      </c>
      <c r="J81" t="s">
        <v>281</v>
      </c>
      <c r="K81">
        <v>344</v>
      </c>
      <c r="L81" t="s">
        <v>89</v>
      </c>
      <c r="M81" s="4">
        <f>_xlfn.XLOOKUP(F81, 'Sheet12.10.25'!C:C, 'Sheet12.10.25'!F:F, "")*K81</f>
        <v>859.65600000000006</v>
      </c>
      <c r="N81" t="s">
        <v>151</v>
      </c>
      <c r="R81" t="s">
        <v>91</v>
      </c>
      <c r="T81" t="s">
        <v>92</v>
      </c>
      <c r="V81" t="s">
        <v>93</v>
      </c>
      <c r="X81" t="s">
        <v>94</v>
      </c>
      <c r="Z81" t="s">
        <v>152</v>
      </c>
      <c r="AB81" t="s">
        <v>153</v>
      </c>
      <c r="AD81" t="s">
        <v>97</v>
      </c>
      <c r="AF81" t="s">
        <v>98</v>
      </c>
      <c r="AI81" t="s">
        <v>326</v>
      </c>
      <c r="AJ81">
        <v>1</v>
      </c>
      <c r="AK81" t="s">
        <v>107</v>
      </c>
      <c r="AN81">
        <v>0.02</v>
      </c>
      <c r="AO81">
        <v>0.03</v>
      </c>
      <c r="AP81">
        <v>0.2</v>
      </c>
      <c r="AQ81">
        <v>0.3</v>
      </c>
      <c r="AR81">
        <v>0.1</v>
      </c>
      <c r="AS81">
        <v>0.1</v>
      </c>
      <c r="AT81">
        <v>0.15</v>
      </c>
      <c r="AU81">
        <v>0.1</v>
      </c>
      <c r="AV81">
        <v>401</v>
      </c>
      <c r="AW81" t="s">
        <v>155</v>
      </c>
      <c r="AX81" t="s">
        <v>101</v>
      </c>
      <c r="AY81" t="s">
        <v>101</v>
      </c>
    </row>
    <row r="82" spans="1:51" x14ac:dyDescent="0.25">
      <c r="A82">
        <v>81</v>
      </c>
      <c r="B82" t="s">
        <v>282</v>
      </c>
      <c r="C82" s="1">
        <v>0</v>
      </c>
      <c r="D82" t="s">
        <v>148</v>
      </c>
      <c r="E82" s="16" t="s">
        <v>396</v>
      </c>
      <c r="F82" s="2" t="s">
        <v>57</v>
      </c>
      <c r="G82" t="s">
        <v>149</v>
      </c>
      <c r="H82" t="s">
        <v>372</v>
      </c>
      <c r="I82" t="s">
        <v>283</v>
      </c>
      <c r="J82" t="s">
        <v>281</v>
      </c>
      <c r="K82">
        <v>373</v>
      </c>
      <c r="L82" t="s">
        <v>89</v>
      </c>
      <c r="M82" s="4">
        <f>_xlfn.XLOOKUP(F82, 'Sheet12.10.25'!C:C, 'Sheet12.10.25'!F:F, "")*K82</f>
        <v>932.12700000000007</v>
      </c>
      <c r="N82" t="s">
        <v>151</v>
      </c>
      <c r="R82" t="s">
        <v>91</v>
      </c>
      <c r="T82" t="s">
        <v>92</v>
      </c>
      <c r="V82" t="s">
        <v>93</v>
      </c>
      <c r="X82" t="s">
        <v>94</v>
      </c>
      <c r="Z82" t="s">
        <v>152</v>
      </c>
      <c r="AB82" t="s">
        <v>153</v>
      </c>
      <c r="AD82" t="s">
        <v>97</v>
      </c>
      <c r="AF82" t="s">
        <v>98</v>
      </c>
      <c r="AI82" t="s">
        <v>312</v>
      </c>
      <c r="AJ82">
        <v>1</v>
      </c>
      <c r="AK82" t="s">
        <v>110</v>
      </c>
      <c r="AN82">
        <v>0.02</v>
      </c>
      <c r="AO82">
        <v>0.03</v>
      </c>
      <c r="AP82">
        <v>0.2</v>
      </c>
      <c r="AQ82">
        <v>0.3</v>
      </c>
      <c r="AR82">
        <v>0.1</v>
      </c>
      <c r="AS82">
        <v>0.1</v>
      </c>
      <c r="AT82">
        <v>0.15</v>
      </c>
      <c r="AU82">
        <v>0.1</v>
      </c>
      <c r="AV82">
        <v>120</v>
      </c>
      <c r="AW82" t="s">
        <v>167</v>
      </c>
      <c r="AX82" t="s">
        <v>101</v>
      </c>
      <c r="AY82" t="s">
        <v>101</v>
      </c>
    </row>
    <row r="83" spans="1:51" x14ac:dyDescent="0.25">
      <c r="A83">
        <v>82</v>
      </c>
      <c r="B83" t="s">
        <v>284</v>
      </c>
      <c r="C83" s="1">
        <v>0</v>
      </c>
      <c r="D83" t="s">
        <v>148</v>
      </c>
      <c r="E83" s="16" t="s">
        <v>401</v>
      </c>
      <c r="F83" s="2" t="s">
        <v>57</v>
      </c>
      <c r="G83" t="s">
        <v>149</v>
      </c>
      <c r="H83" t="s">
        <v>372</v>
      </c>
      <c r="I83" t="s">
        <v>285</v>
      </c>
      <c r="J83" t="s">
        <v>281</v>
      </c>
      <c r="K83">
        <v>359</v>
      </c>
      <c r="L83" t="s">
        <v>89</v>
      </c>
      <c r="M83" s="4">
        <f>_xlfn.XLOOKUP(F83, 'Sheet12.10.25'!C:C, 'Sheet12.10.25'!F:F, "")*K83</f>
        <v>897.14100000000008</v>
      </c>
      <c r="N83" t="s">
        <v>151</v>
      </c>
      <c r="R83" t="s">
        <v>91</v>
      </c>
      <c r="T83" t="s">
        <v>92</v>
      </c>
      <c r="V83" t="s">
        <v>93</v>
      </c>
      <c r="X83" t="s">
        <v>94</v>
      </c>
      <c r="Z83" t="s">
        <v>152</v>
      </c>
      <c r="AB83" t="s">
        <v>153</v>
      </c>
      <c r="AD83" t="s">
        <v>97</v>
      </c>
      <c r="AF83" t="s">
        <v>98</v>
      </c>
      <c r="AI83" t="s">
        <v>357</v>
      </c>
      <c r="AJ83">
        <v>1</v>
      </c>
      <c r="AK83" t="s">
        <v>116</v>
      </c>
      <c r="AN83">
        <v>0.02</v>
      </c>
      <c r="AO83">
        <v>0.03</v>
      </c>
      <c r="AP83">
        <v>0.2</v>
      </c>
      <c r="AQ83">
        <v>0.3</v>
      </c>
      <c r="AR83">
        <v>0.1</v>
      </c>
      <c r="AS83">
        <v>0.1</v>
      </c>
      <c r="AT83">
        <v>0.15</v>
      </c>
      <c r="AU83">
        <v>0.1</v>
      </c>
      <c r="AV83">
        <v>403</v>
      </c>
      <c r="AW83" t="s">
        <v>155</v>
      </c>
      <c r="AX83" t="s">
        <v>101</v>
      </c>
      <c r="AY83" t="s">
        <v>101</v>
      </c>
    </row>
    <row r="84" spans="1:51" x14ac:dyDescent="0.25">
      <c r="A84">
        <v>83</v>
      </c>
      <c r="B84" t="s">
        <v>286</v>
      </c>
      <c r="C84" s="1">
        <v>0</v>
      </c>
      <c r="D84" t="s">
        <v>200</v>
      </c>
      <c r="E84" s="16" t="s">
        <v>375</v>
      </c>
      <c r="F84" s="2" t="s">
        <v>56</v>
      </c>
      <c r="G84" t="s">
        <v>201</v>
      </c>
      <c r="H84" t="s">
        <v>372</v>
      </c>
      <c r="I84" t="s">
        <v>287</v>
      </c>
      <c r="J84" t="s">
        <v>203</v>
      </c>
      <c r="K84">
        <v>71</v>
      </c>
      <c r="L84" t="s">
        <v>89</v>
      </c>
      <c r="M84" s="4">
        <f>_xlfn.XLOOKUP(F84, 'Sheet12.10.25'!C:C, 'Sheet12.10.25'!F:F, "")*K84</f>
        <v>346.40899999999999</v>
      </c>
      <c r="N84" t="s">
        <v>90</v>
      </c>
      <c r="R84" t="s">
        <v>91</v>
      </c>
      <c r="T84" t="s">
        <v>92</v>
      </c>
      <c r="V84" t="s">
        <v>93</v>
      </c>
      <c r="X84" t="s">
        <v>94</v>
      </c>
      <c r="Z84" t="s">
        <v>95</v>
      </c>
      <c r="AB84" t="s">
        <v>96</v>
      </c>
      <c r="AD84" t="s">
        <v>97</v>
      </c>
      <c r="AF84" t="s">
        <v>98</v>
      </c>
      <c r="AI84" t="s">
        <v>154</v>
      </c>
      <c r="AJ84">
        <v>1</v>
      </c>
      <c r="AK84" t="s">
        <v>100</v>
      </c>
      <c r="AN84">
        <v>0.02</v>
      </c>
      <c r="AO84">
        <v>0.03</v>
      </c>
      <c r="AP84">
        <v>0.2</v>
      </c>
      <c r="AQ84">
        <v>0.3</v>
      </c>
      <c r="AR84">
        <v>0.1</v>
      </c>
      <c r="AS84">
        <v>0.1</v>
      </c>
      <c r="AT84">
        <v>0.15</v>
      </c>
      <c r="AU84">
        <v>0.1</v>
      </c>
      <c r="AV84">
        <v>401</v>
      </c>
      <c r="AW84" t="s">
        <v>101</v>
      </c>
      <c r="AX84" t="s">
        <v>101</v>
      </c>
      <c r="AY84" t="s">
        <v>101</v>
      </c>
    </row>
    <row r="85" spans="1:51" x14ac:dyDescent="0.25">
      <c r="A85">
        <v>84</v>
      </c>
      <c r="B85" t="s">
        <v>288</v>
      </c>
      <c r="C85" s="1">
        <v>0</v>
      </c>
      <c r="D85" t="s">
        <v>200</v>
      </c>
      <c r="E85" s="16" t="s">
        <v>375</v>
      </c>
      <c r="F85" s="2" t="s">
        <v>56</v>
      </c>
      <c r="G85" t="s">
        <v>201</v>
      </c>
      <c r="H85" t="s">
        <v>372</v>
      </c>
      <c r="I85" t="s">
        <v>289</v>
      </c>
      <c r="J85" t="s">
        <v>203</v>
      </c>
      <c r="K85">
        <v>70</v>
      </c>
      <c r="L85" t="s">
        <v>89</v>
      </c>
      <c r="M85" s="4">
        <f>_xlfn.XLOOKUP(F85, 'Sheet12.10.25'!C:C, 'Sheet12.10.25'!F:F, "")*K85</f>
        <v>341.53</v>
      </c>
      <c r="N85" t="s">
        <v>90</v>
      </c>
      <c r="R85" t="s">
        <v>91</v>
      </c>
      <c r="T85" t="s">
        <v>92</v>
      </c>
      <c r="V85" t="s">
        <v>93</v>
      </c>
      <c r="X85" t="s">
        <v>94</v>
      </c>
      <c r="Z85" t="s">
        <v>95</v>
      </c>
      <c r="AB85" t="s">
        <v>96</v>
      </c>
      <c r="AD85" t="s">
        <v>97</v>
      </c>
      <c r="AF85" t="s">
        <v>98</v>
      </c>
      <c r="AI85" t="s">
        <v>154</v>
      </c>
      <c r="AJ85">
        <v>1</v>
      </c>
      <c r="AK85" t="s">
        <v>104</v>
      </c>
      <c r="AN85">
        <v>0.02</v>
      </c>
      <c r="AO85">
        <v>0.03</v>
      </c>
      <c r="AP85">
        <v>0.2</v>
      </c>
      <c r="AQ85">
        <v>0.3</v>
      </c>
      <c r="AR85">
        <v>0.1</v>
      </c>
      <c r="AS85">
        <v>0.1</v>
      </c>
      <c r="AT85">
        <v>0.15</v>
      </c>
      <c r="AU85">
        <v>0.1</v>
      </c>
      <c r="AV85">
        <v>120</v>
      </c>
      <c r="AW85" t="s">
        <v>101</v>
      </c>
      <c r="AX85" t="s">
        <v>101</v>
      </c>
      <c r="AY85" t="s">
        <v>101</v>
      </c>
    </row>
    <row r="86" spans="1:51" x14ac:dyDescent="0.25">
      <c r="A86">
        <v>85</v>
      </c>
      <c r="B86" t="s">
        <v>290</v>
      </c>
      <c r="C86" s="1">
        <v>0</v>
      </c>
      <c r="D86" t="s">
        <v>200</v>
      </c>
      <c r="E86" s="16" t="s">
        <v>374</v>
      </c>
      <c r="F86" s="2" t="s">
        <v>55</v>
      </c>
      <c r="G86" t="s">
        <v>210</v>
      </c>
      <c r="H86" t="s">
        <v>372</v>
      </c>
      <c r="I86" t="s">
        <v>291</v>
      </c>
      <c r="J86" t="s">
        <v>212</v>
      </c>
      <c r="K86">
        <v>56</v>
      </c>
      <c r="L86" t="s">
        <v>89</v>
      </c>
      <c r="M86" s="4">
        <f>_xlfn.XLOOKUP(F86, 'Sheet12.10.25'!C:C, 'Sheet12.10.25'!F:F, "")*K86</f>
        <v>286.55200000000002</v>
      </c>
      <c r="N86" t="s">
        <v>90</v>
      </c>
      <c r="R86" t="s">
        <v>91</v>
      </c>
      <c r="T86" t="s">
        <v>92</v>
      </c>
      <c r="V86" t="s">
        <v>93</v>
      </c>
      <c r="X86" t="s">
        <v>94</v>
      </c>
      <c r="Z86" t="s">
        <v>95</v>
      </c>
      <c r="AB86" t="s">
        <v>96</v>
      </c>
      <c r="AD86" t="s">
        <v>97</v>
      </c>
      <c r="AF86" t="s">
        <v>98</v>
      </c>
      <c r="AI86" t="s">
        <v>115</v>
      </c>
      <c r="AJ86">
        <v>1</v>
      </c>
      <c r="AK86" t="s">
        <v>107</v>
      </c>
      <c r="AN86">
        <v>0.02</v>
      </c>
      <c r="AO86">
        <v>0.03</v>
      </c>
      <c r="AP86">
        <v>0.2</v>
      </c>
      <c r="AQ86">
        <v>0.3</v>
      </c>
      <c r="AR86">
        <v>0.1</v>
      </c>
      <c r="AS86">
        <v>0.1</v>
      </c>
      <c r="AT86">
        <v>0.15</v>
      </c>
      <c r="AU86">
        <v>0.1</v>
      </c>
      <c r="AV86">
        <v>401</v>
      </c>
      <c r="AW86" t="s">
        <v>101</v>
      </c>
      <c r="AX86" t="s">
        <v>101</v>
      </c>
      <c r="AY86" t="s">
        <v>101</v>
      </c>
    </row>
    <row r="87" spans="1:51" x14ac:dyDescent="0.25">
      <c r="A87">
        <v>86</v>
      </c>
      <c r="B87" t="s">
        <v>292</v>
      </c>
      <c r="C87" s="1">
        <v>0</v>
      </c>
      <c r="D87" t="s">
        <v>200</v>
      </c>
      <c r="E87" s="16" t="s">
        <v>389</v>
      </c>
      <c r="F87" s="2" t="s">
        <v>55</v>
      </c>
      <c r="G87" t="s">
        <v>210</v>
      </c>
      <c r="H87" t="s">
        <v>372</v>
      </c>
      <c r="I87" t="s">
        <v>293</v>
      </c>
      <c r="J87" t="s">
        <v>212</v>
      </c>
      <c r="K87">
        <v>58</v>
      </c>
      <c r="L87" t="s">
        <v>89</v>
      </c>
      <c r="M87" s="4">
        <f>_xlfn.XLOOKUP(F87, 'Sheet12.10.25'!C:C, 'Sheet12.10.25'!F:F, "")*K87</f>
        <v>296.786</v>
      </c>
      <c r="N87" t="s">
        <v>90</v>
      </c>
      <c r="R87" t="s">
        <v>91</v>
      </c>
      <c r="T87" t="s">
        <v>92</v>
      </c>
      <c r="V87" t="s">
        <v>93</v>
      </c>
      <c r="X87" t="s">
        <v>94</v>
      </c>
      <c r="Z87" t="s">
        <v>95</v>
      </c>
      <c r="AB87" t="s">
        <v>96</v>
      </c>
      <c r="AD87" t="s">
        <v>97</v>
      </c>
      <c r="AF87" t="s">
        <v>98</v>
      </c>
      <c r="AI87" t="s">
        <v>99</v>
      </c>
      <c r="AJ87">
        <v>1</v>
      </c>
      <c r="AK87" t="s">
        <v>110</v>
      </c>
      <c r="AN87">
        <v>0.02</v>
      </c>
      <c r="AO87">
        <v>0.03</v>
      </c>
      <c r="AP87">
        <v>0.2</v>
      </c>
      <c r="AQ87">
        <v>0.3</v>
      </c>
      <c r="AR87">
        <v>0.1</v>
      </c>
      <c r="AS87">
        <v>0.1</v>
      </c>
      <c r="AT87">
        <v>0.15</v>
      </c>
      <c r="AU87">
        <v>0.1</v>
      </c>
      <c r="AV87">
        <v>120</v>
      </c>
      <c r="AW87" t="s">
        <v>101</v>
      </c>
      <c r="AX87" t="s">
        <v>101</v>
      </c>
      <c r="AY87" t="s">
        <v>101</v>
      </c>
    </row>
    <row r="88" spans="1:51" x14ac:dyDescent="0.25">
      <c r="A88">
        <v>87</v>
      </c>
      <c r="B88" t="s">
        <v>294</v>
      </c>
      <c r="C88" s="1">
        <v>0</v>
      </c>
      <c r="D88" t="s">
        <v>200</v>
      </c>
      <c r="E88" s="16" t="s">
        <v>398</v>
      </c>
      <c r="F88" s="2" t="s">
        <v>55</v>
      </c>
      <c r="G88" t="s">
        <v>210</v>
      </c>
      <c r="H88" t="s">
        <v>372</v>
      </c>
      <c r="I88" t="s">
        <v>295</v>
      </c>
      <c r="J88" t="s">
        <v>212</v>
      </c>
      <c r="K88">
        <v>53</v>
      </c>
      <c r="L88" t="s">
        <v>89</v>
      </c>
      <c r="M88" s="4">
        <f>_xlfn.XLOOKUP(F88, 'Sheet12.10.25'!C:C, 'Sheet12.10.25'!F:F, "")*K88</f>
        <v>271.20100000000002</v>
      </c>
      <c r="N88" t="s">
        <v>90</v>
      </c>
      <c r="R88" t="s">
        <v>91</v>
      </c>
      <c r="T88" t="s">
        <v>92</v>
      </c>
      <c r="V88" t="s">
        <v>93</v>
      </c>
      <c r="X88" t="s">
        <v>94</v>
      </c>
      <c r="Z88" t="s">
        <v>95</v>
      </c>
      <c r="AB88" t="s">
        <v>96</v>
      </c>
      <c r="AD88" t="s">
        <v>97</v>
      </c>
      <c r="AF88" t="s">
        <v>98</v>
      </c>
      <c r="AI88" t="s">
        <v>360</v>
      </c>
      <c r="AJ88">
        <v>1</v>
      </c>
      <c r="AK88" t="s">
        <v>116</v>
      </c>
      <c r="AN88">
        <v>0.02</v>
      </c>
      <c r="AO88">
        <v>0.03</v>
      </c>
      <c r="AP88">
        <v>0.2</v>
      </c>
      <c r="AQ88">
        <v>0.3</v>
      </c>
      <c r="AR88">
        <v>0.1</v>
      </c>
      <c r="AS88">
        <v>0.1</v>
      </c>
      <c r="AT88">
        <v>0.15</v>
      </c>
      <c r="AU88">
        <v>0.1</v>
      </c>
      <c r="AV88">
        <v>120</v>
      </c>
      <c r="AW88" t="s">
        <v>101</v>
      </c>
      <c r="AX88" t="s">
        <v>101</v>
      </c>
      <c r="AY88" t="s">
        <v>101</v>
      </c>
    </row>
    <row r="89" spans="1:51" x14ac:dyDescent="0.25">
      <c r="A89">
        <v>88</v>
      </c>
      <c r="B89" t="s">
        <v>296</v>
      </c>
      <c r="C89" s="1">
        <v>0</v>
      </c>
      <c r="D89" t="s">
        <v>200</v>
      </c>
      <c r="E89" s="16" t="s">
        <v>374</v>
      </c>
      <c r="F89" s="2" t="s">
        <v>55</v>
      </c>
      <c r="G89" t="s">
        <v>210</v>
      </c>
      <c r="H89" t="s">
        <v>372</v>
      </c>
      <c r="I89" t="s">
        <v>297</v>
      </c>
      <c r="J89" t="s">
        <v>212</v>
      </c>
      <c r="K89">
        <v>56</v>
      </c>
      <c r="L89" t="s">
        <v>89</v>
      </c>
      <c r="M89" s="4">
        <f>_xlfn.XLOOKUP(F89, 'Sheet12.10.25'!C:C, 'Sheet12.10.25'!F:F, "")*K89</f>
        <v>286.55200000000002</v>
      </c>
      <c r="N89" t="s">
        <v>90</v>
      </c>
      <c r="R89" t="s">
        <v>91</v>
      </c>
      <c r="T89" t="s">
        <v>92</v>
      </c>
      <c r="V89" t="s">
        <v>93</v>
      </c>
      <c r="X89" t="s">
        <v>94</v>
      </c>
      <c r="Z89" t="s">
        <v>95</v>
      </c>
      <c r="AB89" t="s">
        <v>96</v>
      </c>
      <c r="AD89" t="s">
        <v>97</v>
      </c>
      <c r="AF89" t="s">
        <v>98</v>
      </c>
      <c r="AI89" t="s">
        <v>115</v>
      </c>
      <c r="AJ89">
        <v>1</v>
      </c>
      <c r="AK89" t="s">
        <v>100</v>
      </c>
      <c r="AN89">
        <v>0.02</v>
      </c>
      <c r="AO89">
        <v>0.03</v>
      </c>
      <c r="AP89">
        <v>0.2</v>
      </c>
      <c r="AQ89">
        <v>0.3</v>
      </c>
      <c r="AR89">
        <v>0.1</v>
      </c>
      <c r="AS89">
        <v>0.1</v>
      </c>
      <c r="AT89">
        <v>0.15</v>
      </c>
      <c r="AU89">
        <v>0.1</v>
      </c>
      <c r="AV89">
        <v>401</v>
      </c>
      <c r="AW89" t="s">
        <v>101</v>
      </c>
      <c r="AX89" t="s">
        <v>101</v>
      </c>
      <c r="AY89" t="s">
        <v>101</v>
      </c>
    </row>
    <row r="90" spans="1:51" x14ac:dyDescent="0.25">
      <c r="A90">
        <v>89</v>
      </c>
      <c r="B90" t="s">
        <v>298</v>
      </c>
      <c r="C90" s="1">
        <v>0</v>
      </c>
      <c r="D90" t="s">
        <v>299</v>
      </c>
      <c r="E90" s="16" t="s">
        <v>384</v>
      </c>
      <c r="F90" s="2" t="s">
        <v>56</v>
      </c>
      <c r="G90" t="s">
        <v>300</v>
      </c>
      <c r="H90" t="s">
        <v>372</v>
      </c>
      <c r="I90" t="s">
        <v>301</v>
      </c>
      <c r="J90" t="s">
        <v>182</v>
      </c>
      <c r="K90">
        <v>625</v>
      </c>
      <c r="L90" t="s">
        <v>89</v>
      </c>
      <c r="M90" s="4">
        <f>_xlfn.XLOOKUP(F90, 'Sheet12.10.25'!C:C, 'Sheet12.10.25'!F:F, "")*K90</f>
        <v>3049.3749999999995</v>
      </c>
      <c r="N90" t="s">
        <v>90</v>
      </c>
      <c r="R90" t="s">
        <v>91</v>
      </c>
      <c r="T90" t="s">
        <v>92</v>
      </c>
      <c r="V90" t="s">
        <v>93</v>
      </c>
      <c r="X90" t="s">
        <v>94</v>
      </c>
      <c r="Z90" t="s">
        <v>95</v>
      </c>
      <c r="AB90" t="s">
        <v>96</v>
      </c>
      <c r="AD90" t="s">
        <v>97</v>
      </c>
      <c r="AF90" t="s">
        <v>98</v>
      </c>
      <c r="AI90" t="s">
        <v>325</v>
      </c>
      <c r="AJ90">
        <v>1</v>
      </c>
      <c r="AK90" t="s">
        <v>104</v>
      </c>
      <c r="AN90">
        <v>0.02</v>
      </c>
      <c r="AO90">
        <v>0.03</v>
      </c>
      <c r="AP90">
        <v>0.2</v>
      </c>
      <c r="AQ90">
        <v>0.3</v>
      </c>
      <c r="AR90">
        <v>0.1</v>
      </c>
      <c r="AS90">
        <v>0.1</v>
      </c>
      <c r="AT90">
        <v>0.15</v>
      </c>
      <c r="AU90">
        <v>0.1</v>
      </c>
      <c r="AV90">
        <v>401</v>
      </c>
      <c r="AW90" t="s">
        <v>101</v>
      </c>
      <c r="AX90" t="s">
        <v>101</v>
      </c>
      <c r="AY90" t="s">
        <v>101</v>
      </c>
    </row>
    <row r="91" spans="1:51" x14ac:dyDescent="0.25">
      <c r="A91">
        <v>94</v>
      </c>
      <c r="B91" t="s">
        <v>303</v>
      </c>
      <c r="C91" s="1">
        <v>0</v>
      </c>
      <c r="D91" t="s">
        <v>148</v>
      </c>
      <c r="E91" s="16" t="s">
        <v>386</v>
      </c>
      <c r="F91" s="2" t="s">
        <v>57</v>
      </c>
      <c r="G91" t="s">
        <v>149</v>
      </c>
      <c r="H91" t="s">
        <v>372</v>
      </c>
      <c r="I91" t="s">
        <v>304</v>
      </c>
      <c r="J91" t="s">
        <v>88</v>
      </c>
      <c r="K91">
        <v>35</v>
      </c>
      <c r="L91" t="s">
        <v>89</v>
      </c>
      <c r="M91" s="4">
        <f>_xlfn.XLOOKUP(F91, 'Sheet12.10.25'!C:C, 'Sheet12.10.25'!F:F, "")*K91</f>
        <v>87.465000000000003</v>
      </c>
      <c r="N91" t="s">
        <v>151</v>
      </c>
      <c r="R91" t="s">
        <v>91</v>
      </c>
      <c r="T91" t="s">
        <v>92</v>
      </c>
      <c r="V91" t="s">
        <v>93</v>
      </c>
      <c r="X91" t="s">
        <v>94</v>
      </c>
      <c r="Z91" t="s">
        <v>152</v>
      </c>
      <c r="AB91" t="s">
        <v>153</v>
      </c>
      <c r="AD91" t="s">
        <v>97</v>
      </c>
      <c r="AF91" t="s">
        <v>98</v>
      </c>
      <c r="AI91" t="s">
        <v>327</v>
      </c>
      <c r="AJ91">
        <v>1</v>
      </c>
      <c r="AK91" t="s">
        <v>104</v>
      </c>
      <c r="AN91">
        <v>0.02</v>
      </c>
      <c r="AO91">
        <v>0.03</v>
      </c>
      <c r="AP91">
        <v>0.2</v>
      </c>
      <c r="AQ91">
        <v>0.3</v>
      </c>
      <c r="AR91">
        <v>0.1</v>
      </c>
      <c r="AS91">
        <v>0.1</v>
      </c>
      <c r="AT91">
        <v>0.15</v>
      </c>
      <c r="AU91">
        <v>0.1</v>
      </c>
      <c r="AV91">
        <v>401</v>
      </c>
      <c r="AW91" t="s">
        <v>155</v>
      </c>
      <c r="AX91" t="s">
        <v>101</v>
      </c>
      <c r="AY91" t="s">
        <v>101</v>
      </c>
    </row>
    <row r="92" spans="1:51" x14ac:dyDescent="0.25">
      <c r="A92">
        <v>95</v>
      </c>
      <c r="B92" t="s">
        <v>305</v>
      </c>
      <c r="C92" s="1">
        <v>0</v>
      </c>
      <c r="D92" t="s">
        <v>148</v>
      </c>
      <c r="E92" s="16" t="s">
        <v>386</v>
      </c>
      <c r="F92" s="2" t="s">
        <v>57</v>
      </c>
      <c r="G92" t="s">
        <v>149</v>
      </c>
      <c r="H92" t="s">
        <v>372</v>
      </c>
      <c r="I92" t="s">
        <v>306</v>
      </c>
      <c r="J92" t="s">
        <v>88</v>
      </c>
      <c r="K92">
        <v>26</v>
      </c>
      <c r="L92" t="s">
        <v>89</v>
      </c>
      <c r="M92" s="4">
        <f>_xlfn.XLOOKUP(F92, 'Sheet12.10.25'!C:C, 'Sheet12.10.25'!F:F, "")*K92</f>
        <v>64.974000000000004</v>
      </c>
      <c r="N92" t="s">
        <v>151</v>
      </c>
      <c r="R92" t="s">
        <v>91</v>
      </c>
      <c r="T92" t="s">
        <v>92</v>
      </c>
      <c r="V92" t="s">
        <v>93</v>
      </c>
      <c r="X92" t="s">
        <v>94</v>
      </c>
      <c r="Z92" t="s">
        <v>152</v>
      </c>
      <c r="AB92" t="s">
        <v>153</v>
      </c>
      <c r="AD92" t="s">
        <v>97</v>
      </c>
      <c r="AF92" t="s">
        <v>98</v>
      </c>
      <c r="AI92" t="s">
        <v>327</v>
      </c>
      <c r="AJ92">
        <v>1</v>
      </c>
      <c r="AK92" t="s">
        <v>107</v>
      </c>
      <c r="AN92">
        <v>0.02</v>
      </c>
      <c r="AO92">
        <v>0.03</v>
      </c>
      <c r="AP92">
        <v>0.2</v>
      </c>
      <c r="AQ92">
        <v>0.3</v>
      </c>
      <c r="AR92">
        <v>0.1</v>
      </c>
      <c r="AS92">
        <v>0.1</v>
      </c>
      <c r="AT92">
        <v>0.15</v>
      </c>
      <c r="AU92">
        <v>0.1</v>
      </c>
      <c r="AV92">
        <v>401</v>
      </c>
      <c r="AW92" t="s">
        <v>155</v>
      </c>
      <c r="AX92" t="s">
        <v>101</v>
      </c>
      <c r="AY92" t="s">
        <v>101</v>
      </c>
    </row>
    <row r="93" spans="1:51" x14ac:dyDescent="0.25">
      <c r="A93">
        <v>97</v>
      </c>
      <c r="B93" t="s">
        <v>307</v>
      </c>
      <c r="C93" s="1">
        <v>0</v>
      </c>
      <c r="D93" t="s">
        <v>200</v>
      </c>
      <c r="E93" s="16" t="s">
        <v>376</v>
      </c>
      <c r="F93" s="2" t="s">
        <v>56</v>
      </c>
      <c r="G93" t="s">
        <v>201</v>
      </c>
      <c r="H93" t="s">
        <v>372</v>
      </c>
      <c r="I93" t="s">
        <v>308</v>
      </c>
      <c r="J93" s="3" t="s">
        <v>203</v>
      </c>
      <c r="K93">
        <v>102</v>
      </c>
      <c r="L93" t="s">
        <v>89</v>
      </c>
      <c r="M93" s="4">
        <f>_xlfn.XLOOKUP(F93, 'Sheet12.10.25'!C:C, 'Sheet12.10.25'!F:F, "")*K93</f>
        <v>497.65799999999996</v>
      </c>
      <c r="N93" t="s">
        <v>90</v>
      </c>
      <c r="R93" t="s">
        <v>91</v>
      </c>
      <c r="T93" t="s">
        <v>92</v>
      </c>
      <c r="V93" t="s">
        <v>93</v>
      </c>
      <c r="X93" t="s">
        <v>94</v>
      </c>
      <c r="Z93" t="s">
        <v>95</v>
      </c>
      <c r="AB93" t="s">
        <v>96</v>
      </c>
      <c r="AD93" t="s">
        <v>97</v>
      </c>
      <c r="AF93" t="s">
        <v>98</v>
      </c>
      <c r="AI93" t="s">
        <v>235</v>
      </c>
      <c r="AJ93">
        <v>1</v>
      </c>
      <c r="AK93" t="s">
        <v>110</v>
      </c>
      <c r="AN93">
        <v>0.02</v>
      </c>
      <c r="AO93">
        <v>0.03</v>
      </c>
      <c r="AP93">
        <v>0.2</v>
      </c>
      <c r="AQ93">
        <v>0.3</v>
      </c>
      <c r="AR93">
        <v>0.1</v>
      </c>
      <c r="AS93">
        <v>0.1</v>
      </c>
      <c r="AT93">
        <v>0.15</v>
      </c>
      <c r="AU93">
        <v>0.1</v>
      </c>
      <c r="AV93">
        <v>401</v>
      </c>
      <c r="AW93" t="s">
        <v>101</v>
      </c>
      <c r="AX93" t="s">
        <v>101</v>
      </c>
      <c r="AY93" t="s">
        <v>101</v>
      </c>
    </row>
    <row r="94" spans="1:51" x14ac:dyDescent="0.25">
      <c r="A94">
        <v>98</v>
      </c>
      <c r="B94" t="s">
        <v>361</v>
      </c>
      <c r="E94" s="16" t="s">
        <v>404</v>
      </c>
      <c r="F94" s="2" t="s">
        <v>56</v>
      </c>
      <c r="G94" t="s">
        <v>302</v>
      </c>
      <c r="H94" t="s">
        <v>302</v>
      </c>
      <c r="I94" t="s">
        <v>362</v>
      </c>
      <c r="J94" s="3" t="s">
        <v>118</v>
      </c>
      <c r="K94">
        <v>8</v>
      </c>
      <c r="L94" t="s">
        <v>89</v>
      </c>
      <c r="M94" s="4">
        <f>_xlfn.XLOOKUP(F94, 'Sheet12.10.25'!C:C, 'Sheet12.10.25'!F:F, "")*K94</f>
        <v>39.031999999999996</v>
      </c>
      <c r="N94" t="s">
        <v>90</v>
      </c>
      <c r="R94" t="s">
        <v>91</v>
      </c>
      <c r="T94" t="s">
        <v>92</v>
      </c>
      <c r="V94" t="s">
        <v>93</v>
      </c>
      <c r="X94" t="s">
        <v>94</v>
      </c>
      <c r="Z94" t="s">
        <v>95</v>
      </c>
      <c r="AB94" t="s">
        <v>96</v>
      </c>
      <c r="AD94" t="s">
        <v>97</v>
      </c>
      <c r="AF94" t="s">
        <v>98</v>
      </c>
      <c r="AI94" t="s">
        <v>365</v>
      </c>
      <c r="AJ94">
        <v>1</v>
      </c>
      <c r="AN94">
        <v>0.02</v>
      </c>
      <c r="AO94">
        <v>0.03</v>
      </c>
      <c r="AP94">
        <v>0.2</v>
      </c>
      <c r="AQ94">
        <v>0.3</v>
      </c>
      <c r="AR94">
        <v>0.1</v>
      </c>
      <c r="AS94">
        <v>0.1</v>
      </c>
      <c r="AT94">
        <v>0.15</v>
      </c>
      <c r="AU94">
        <v>0.1</v>
      </c>
      <c r="AV94">
        <v>0</v>
      </c>
      <c r="AW94" t="s">
        <v>101</v>
      </c>
      <c r="AX94" t="s">
        <v>101</v>
      </c>
      <c r="AY94" t="s">
        <v>101</v>
      </c>
    </row>
    <row r="95" spans="1:51" x14ac:dyDescent="0.25">
      <c r="A95">
        <v>99</v>
      </c>
      <c r="B95" t="s">
        <v>361</v>
      </c>
      <c r="E95" s="16" t="s">
        <v>404</v>
      </c>
      <c r="F95" s="2" t="s">
        <v>56</v>
      </c>
      <c r="G95" t="s">
        <v>302</v>
      </c>
      <c r="H95" t="s">
        <v>302</v>
      </c>
      <c r="I95" t="s">
        <v>361</v>
      </c>
      <c r="J95" s="3" t="s">
        <v>233</v>
      </c>
      <c r="K95">
        <v>305</v>
      </c>
      <c r="L95" t="s">
        <v>89</v>
      </c>
      <c r="M95" s="4">
        <f>_xlfn.XLOOKUP(F95, 'Sheet12.10.25'!C:C, 'Sheet12.10.25'!F:F, "")*K95</f>
        <v>1488.0949999999998</v>
      </c>
      <c r="N95" t="s">
        <v>90</v>
      </c>
      <c r="R95" t="s">
        <v>91</v>
      </c>
      <c r="T95" t="s">
        <v>92</v>
      </c>
      <c r="V95" t="s">
        <v>93</v>
      </c>
      <c r="X95" t="s">
        <v>94</v>
      </c>
      <c r="Z95" t="s">
        <v>95</v>
      </c>
      <c r="AB95" t="s">
        <v>96</v>
      </c>
      <c r="AD95" t="s">
        <v>97</v>
      </c>
      <c r="AF95" t="s">
        <v>98</v>
      </c>
      <c r="AI95" t="s">
        <v>365</v>
      </c>
      <c r="AJ95">
        <v>1</v>
      </c>
      <c r="AN95">
        <v>0.02</v>
      </c>
      <c r="AO95">
        <v>0.03</v>
      </c>
      <c r="AP95">
        <v>0.2</v>
      </c>
      <c r="AQ95">
        <v>0.3</v>
      </c>
      <c r="AR95">
        <v>0.1</v>
      </c>
      <c r="AS95">
        <v>0.1</v>
      </c>
      <c r="AT95">
        <v>0.15</v>
      </c>
      <c r="AU95">
        <v>0.1</v>
      </c>
      <c r="AV95">
        <v>0</v>
      </c>
      <c r="AW95" t="s">
        <v>101</v>
      </c>
      <c r="AX95" t="s">
        <v>101</v>
      </c>
      <c r="AY95" t="s">
        <v>101</v>
      </c>
    </row>
    <row r="96" spans="1:51" x14ac:dyDescent="0.25">
      <c r="A96">
        <v>100</v>
      </c>
      <c r="B96" t="s">
        <v>363</v>
      </c>
      <c r="E96" s="16" t="s">
        <v>405</v>
      </c>
      <c r="F96" s="2" t="s">
        <v>56</v>
      </c>
      <c r="G96" t="s">
        <v>302</v>
      </c>
      <c r="H96" t="s">
        <v>302</v>
      </c>
      <c r="I96" t="s">
        <v>363</v>
      </c>
      <c r="J96" s="3" t="s">
        <v>118</v>
      </c>
      <c r="K96">
        <v>28</v>
      </c>
      <c r="L96" t="s">
        <v>89</v>
      </c>
      <c r="M96" s="4">
        <f>_xlfn.XLOOKUP(F96, 'Sheet12.10.25'!C:C, 'Sheet12.10.25'!F:F, "")*K96</f>
        <v>136.61199999999999</v>
      </c>
      <c r="N96" t="s">
        <v>90</v>
      </c>
      <c r="R96" t="s">
        <v>91</v>
      </c>
      <c r="T96" t="s">
        <v>92</v>
      </c>
      <c r="V96" t="s">
        <v>93</v>
      </c>
      <c r="X96" t="s">
        <v>94</v>
      </c>
      <c r="Z96" t="s">
        <v>95</v>
      </c>
      <c r="AB96" t="s">
        <v>96</v>
      </c>
      <c r="AD96" t="s">
        <v>97</v>
      </c>
      <c r="AF96" t="s">
        <v>98</v>
      </c>
      <c r="AI96" t="s">
        <v>364</v>
      </c>
      <c r="AJ96">
        <v>1</v>
      </c>
      <c r="AN96">
        <v>0.02</v>
      </c>
      <c r="AO96">
        <v>0.03</v>
      </c>
      <c r="AP96">
        <v>0.2</v>
      </c>
      <c r="AQ96">
        <v>0.3</v>
      </c>
      <c r="AR96">
        <v>0.1</v>
      </c>
      <c r="AS96">
        <v>0.1</v>
      </c>
      <c r="AT96">
        <v>0.15</v>
      </c>
      <c r="AU96">
        <v>0.1</v>
      </c>
      <c r="AV96">
        <v>0</v>
      </c>
      <c r="AW96" t="s">
        <v>101</v>
      </c>
      <c r="AX96" t="s">
        <v>101</v>
      </c>
      <c r="AY96" t="s">
        <v>101</v>
      </c>
    </row>
    <row r="97" spans="1:51" x14ac:dyDescent="0.25">
      <c r="A97">
        <v>101</v>
      </c>
      <c r="B97" t="s">
        <v>363</v>
      </c>
      <c r="E97" s="16" t="s">
        <v>405</v>
      </c>
      <c r="F97" s="2" t="s">
        <v>56</v>
      </c>
      <c r="G97" t="s">
        <v>302</v>
      </c>
      <c r="H97" t="s">
        <v>302</v>
      </c>
      <c r="I97" t="s">
        <v>363</v>
      </c>
      <c r="J97" s="3" t="s">
        <v>233</v>
      </c>
      <c r="K97">
        <v>727</v>
      </c>
      <c r="L97" t="s">
        <v>89</v>
      </c>
      <c r="M97" s="4">
        <f>_xlfn.XLOOKUP(F97, 'Sheet12.10.25'!C:C, 'Sheet12.10.25'!F:F, "")*K97</f>
        <v>3547.0329999999999</v>
      </c>
      <c r="N97" t="s">
        <v>90</v>
      </c>
      <c r="R97" t="s">
        <v>91</v>
      </c>
      <c r="T97" t="s">
        <v>92</v>
      </c>
      <c r="V97" t="s">
        <v>93</v>
      </c>
      <c r="X97" t="s">
        <v>94</v>
      </c>
      <c r="Z97" t="s">
        <v>95</v>
      </c>
      <c r="AB97" t="s">
        <v>96</v>
      </c>
      <c r="AD97" t="s">
        <v>97</v>
      </c>
      <c r="AF97" t="s">
        <v>98</v>
      </c>
      <c r="AI97" t="s">
        <v>364</v>
      </c>
      <c r="AJ97">
        <v>1</v>
      </c>
      <c r="AN97">
        <v>0.02</v>
      </c>
      <c r="AO97">
        <v>0.03</v>
      </c>
      <c r="AP97">
        <v>0.2</v>
      </c>
      <c r="AQ97">
        <v>0.3</v>
      </c>
      <c r="AR97">
        <v>0.1</v>
      </c>
      <c r="AS97">
        <v>0.1</v>
      </c>
      <c r="AT97">
        <v>0.15</v>
      </c>
      <c r="AU97">
        <v>0.1</v>
      </c>
      <c r="AV97">
        <v>0</v>
      </c>
      <c r="AW97" t="s">
        <v>101</v>
      </c>
      <c r="AX97" t="s">
        <v>101</v>
      </c>
      <c r="AY97" t="s">
        <v>101</v>
      </c>
    </row>
    <row r="98" spans="1:51" x14ac:dyDescent="0.25">
      <c r="A98">
        <v>102</v>
      </c>
      <c r="B98" t="s">
        <v>368</v>
      </c>
      <c r="E98" s="16" t="s">
        <v>367</v>
      </c>
      <c r="F98" s="2" t="s">
        <v>56</v>
      </c>
      <c r="G98" t="s">
        <v>302</v>
      </c>
      <c r="H98" t="s">
        <v>372</v>
      </c>
      <c r="I98" t="s">
        <v>369</v>
      </c>
      <c r="J98" s="3" t="s">
        <v>118</v>
      </c>
      <c r="K98">
        <v>28</v>
      </c>
      <c r="L98" t="s">
        <v>89</v>
      </c>
      <c r="M98" s="4">
        <f>_xlfn.XLOOKUP(F98, 'Sheet12.10.25'!C:C, 'Sheet12.10.25'!F:F, "")*K98</f>
        <v>136.61199999999999</v>
      </c>
      <c r="N98" t="s">
        <v>90</v>
      </c>
      <c r="R98" t="s">
        <v>91</v>
      </c>
      <c r="T98" t="s">
        <v>92</v>
      </c>
      <c r="V98" t="s">
        <v>93</v>
      </c>
      <c r="X98" t="s">
        <v>94</v>
      </c>
      <c r="Z98" t="s">
        <v>95</v>
      </c>
      <c r="AB98" t="s">
        <v>96</v>
      </c>
      <c r="AD98" t="s">
        <v>97</v>
      </c>
      <c r="AF98" t="s">
        <v>98</v>
      </c>
      <c r="AI98" t="s">
        <v>366</v>
      </c>
      <c r="AJ98">
        <v>1</v>
      </c>
      <c r="AN98">
        <v>0.02</v>
      </c>
      <c r="AO98">
        <v>0.03</v>
      </c>
      <c r="AP98">
        <v>0.2</v>
      </c>
      <c r="AQ98">
        <v>0.3</v>
      </c>
      <c r="AR98">
        <v>0.1</v>
      </c>
      <c r="AS98">
        <v>0.1</v>
      </c>
      <c r="AT98">
        <v>0.15</v>
      </c>
      <c r="AU98">
        <v>0.1</v>
      </c>
      <c r="AV98">
        <v>0</v>
      </c>
      <c r="AW98" t="s">
        <v>101</v>
      </c>
      <c r="AX98" t="s">
        <v>101</v>
      </c>
      <c r="AY98" t="s">
        <v>101</v>
      </c>
    </row>
    <row r="99" spans="1:51" x14ac:dyDescent="0.25">
      <c r="A99">
        <v>103</v>
      </c>
      <c r="B99" t="s">
        <v>368</v>
      </c>
      <c r="E99" s="16" t="s">
        <v>367</v>
      </c>
      <c r="F99" s="2" t="s">
        <v>56</v>
      </c>
      <c r="G99" t="s">
        <v>302</v>
      </c>
      <c r="H99" t="s">
        <v>372</v>
      </c>
      <c r="I99" t="s">
        <v>370</v>
      </c>
      <c r="J99" s="3" t="s">
        <v>233</v>
      </c>
      <c r="K99">
        <v>605</v>
      </c>
      <c r="L99" t="s">
        <v>89</v>
      </c>
      <c r="M99" s="4">
        <f>_xlfn.XLOOKUP(F99, 'Sheet12.10.25'!C:C, 'Sheet12.10.25'!F:F, "")*K99</f>
        <v>2951.7949999999996</v>
      </c>
      <c r="N99" t="s">
        <v>90</v>
      </c>
      <c r="R99" t="s">
        <v>91</v>
      </c>
      <c r="T99" t="s">
        <v>92</v>
      </c>
      <c r="V99" t="s">
        <v>93</v>
      </c>
      <c r="X99" t="s">
        <v>94</v>
      </c>
      <c r="Z99" t="s">
        <v>95</v>
      </c>
      <c r="AB99" t="s">
        <v>96</v>
      </c>
      <c r="AD99" t="s">
        <v>97</v>
      </c>
      <c r="AF99" t="s">
        <v>98</v>
      </c>
      <c r="AI99" t="s">
        <v>366</v>
      </c>
      <c r="AJ99">
        <v>1</v>
      </c>
      <c r="AN99">
        <v>0.02</v>
      </c>
      <c r="AO99">
        <v>0.03</v>
      </c>
      <c r="AP99">
        <v>0.2</v>
      </c>
      <c r="AQ99">
        <v>0.3</v>
      </c>
      <c r="AR99">
        <v>0.1</v>
      </c>
      <c r="AS99">
        <v>0.1</v>
      </c>
      <c r="AT99">
        <v>0.15</v>
      </c>
      <c r="AU99">
        <v>0.1</v>
      </c>
      <c r="AV99">
        <v>0</v>
      </c>
      <c r="AW99" t="s">
        <v>101</v>
      </c>
      <c r="AX99" t="s">
        <v>101</v>
      </c>
      <c r="AY99" t="s">
        <v>101</v>
      </c>
    </row>
  </sheetData>
  <autoFilter ref="A1:BC99" xr:uid="{5D210D1F-74A7-4BB9-9D99-60609747E359}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B412-64A9-45A5-90B2-E1CE7634E046}">
  <dimension ref="A1:L10"/>
  <sheetViews>
    <sheetView workbookViewId="0">
      <selection activeCell="C8" sqref="C8"/>
    </sheetView>
  </sheetViews>
  <sheetFormatPr defaultRowHeight="15" x14ac:dyDescent="0.25"/>
  <cols>
    <col min="2" max="2" width="46.42578125" customWidth="1"/>
    <col min="3" max="3" width="13.5703125" customWidth="1"/>
    <col min="4" max="4" width="11.42578125" customWidth="1"/>
    <col min="9" max="9" width="51.42578125" customWidth="1"/>
    <col min="12" max="12" width="13.140625" customWidth="1"/>
  </cols>
  <sheetData>
    <row r="1" spans="1:12" x14ac:dyDescent="0.25">
      <c r="A1" t="s">
        <v>59</v>
      </c>
      <c r="B1" t="s">
        <v>60</v>
      </c>
      <c r="C1" t="s">
        <v>67</v>
      </c>
      <c r="D1" t="s">
        <v>70</v>
      </c>
      <c r="E1" t="s">
        <v>69</v>
      </c>
      <c r="F1" t="s">
        <v>59</v>
      </c>
      <c r="H1" t="s">
        <v>76</v>
      </c>
      <c r="K1" t="s">
        <v>76</v>
      </c>
    </row>
    <row r="2" spans="1:12" x14ac:dyDescent="0.25">
      <c r="A2">
        <v>2.4990000000000001</v>
      </c>
      <c r="B2" t="s">
        <v>61</v>
      </c>
      <c r="C2" s="3" t="s">
        <v>57</v>
      </c>
      <c r="D2">
        <v>2.1</v>
      </c>
      <c r="E2">
        <v>1.19</v>
      </c>
      <c r="F2" s="5">
        <f t="shared" ref="F2:F7" si="0">D2*E2</f>
        <v>2.4990000000000001</v>
      </c>
      <c r="H2" s="6">
        <v>2.87</v>
      </c>
    </row>
    <row r="3" spans="1:12" x14ac:dyDescent="0.25">
      <c r="A3">
        <v>4.5219999999999994</v>
      </c>
      <c r="B3" t="s">
        <v>62</v>
      </c>
      <c r="C3" s="3" t="s">
        <v>58</v>
      </c>
      <c r="D3">
        <v>3.8</v>
      </c>
      <c r="E3">
        <v>1.19</v>
      </c>
      <c r="F3" s="5">
        <f t="shared" si="0"/>
        <v>4.5219999999999994</v>
      </c>
      <c r="H3">
        <v>2.5100000000000002</v>
      </c>
    </row>
    <row r="4" spans="1:12" x14ac:dyDescent="0.25">
      <c r="A4">
        <v>9.52</v>
      </c>
      <c r="B4" t="s">
        <v>63</v>
      </c>
      <c r="C4" s="3" t="s">
        <v>68</v>
      </c>
      <c r="D4">
        <v>8</v>
      </c>
      <c r="E4">
        <v>1.19</v>
      </c>
      <c r="F4" s="5">
        <f t="shared" si="0"/>
        <v>9.52</v>
      </c>
      <c r="H4">
        <v>4.045789473684211</v>
      </c>
    </row>
    <row r="5" spans="1:12" x14ac:dyDescent="0.25">
      <c r="A5">
        <v>3.9269999999999996</v>
      </c>
      <c r="B5" t="s">
        <v>64</v>
      </c>
      <c r="C5" s="3" t="s">
        <v>71</v>
      </c>
      <c r="D5">
        <v>3.3</v>
      </c>
      <c r="E5">
        <v>1.19</v>
      </c>
      <c r="F5" s="5">
        <f t="shared" si="0"/>
        <v>3.9269999999999996</v>
      </c>
      <c r="H5">
        <v>3.41</v>
      </c>
    </row>
    <row r="6" spans="1:12" x14ac:dyDescent="0.25">
      <c r="A6">
        <v>6.9019999999999992</v>
      </c>
      <c r="B6" t="s">
        <v>65</v>
      </c>
      <c r="C6" s="3" t="s">
        <v>72</v>
      </c>
      <c r="D6">
        <v>5.8</v>
      </c>
      <c r="E6">
        <v>1.19</v>
      </c>
      <c r="F6" s="5">
        <f t="shared" si="0"/>
        <v>6.9019999999999992</v>
      </c>
      <c r="H6" s="6">
        <v>3.12</v>
      </c>
    </row>
    <row r="7" spans="1:12" x14ac:dyDescent="0.25">
      <c r="A7">
        <v>12.852</v>
      </c>
      <c r="B7" t="s">
        <v>66</v>
      </c>
      <c r="C7" s="3" t="s">
        <v>73</v>
      </c>
      <c r="D7">
        <v>10.8</v>
      </c>
      <c r="E7">
        <v>1.19</v>
      </c>
      <c r="F7" s="5">
        <f t="shared" si="0"/>
        <v>12.852</v>
      </c>
      <c r="H7">
        <v>12.08</v>
      </c>
    </row>
    <row r="8" spans="1:12" x14ac:dyDescent="0.25">
      <c r="B8" t="s">
        <v>74</v>
      </c>
      <c r="C8" s="3" t="s">
        <v>55</v>
      </c>
      <c r="D8">
        <v>4.3</v>
      </c>
      <c r="E8">
        <v>1.19</v>
      </c>
      <c r="F8" s="5">
        <f t="shared" ref="F8:F10" si="1">D8*E8</f>
        <v>5.117</v>
      </c>
      <c r="H8">
        <v>4.3</v>
      </c>
      <c r="I8" t="s">
        <v>78</v>
      </c>
      <c r="J8" t="s">
        <v>79</v>
      </c>
    </row>
    <row r="9" spans="1:12" x14ac:dyDescent="0.25">
      <c r="B9" t="s">
        <v>75</v>
      </c>
      <c r="C9" s="3" t="s">
        <v>56</v>
      </c>
      <c r="D9">
        <v>4.0999999999999996</v>
      </c>
      <c r="E9">
        <v>1.19</v>
      </c>
      <c r="F9" s="5">
        <f t="shared" si="1"/>
        <v>4.8789999999999996</v>
      </c>
      <c r="H9">
        <v>4.0999999999999996</v>
      </c>
      <c r="I9" t="s">
        <v>80</v>
      </c>
      <c r="K9">
        <v>4.08</v>
      </c>
      <c r="L9" t="s">
        <v>81</v>
      </c>
    </row>
    <row r="10" spans="1:12" x14ac:dyDescent="0.25">
      <c r="B10" t="s">
        <v>83</v>
      </c>
      <c r="C10" s="3" t="s">
        <v>82</v>
      </c>
      <c r="D10">
        <v>3.41</v>
      </c>
      <c r="E10">
        <v>1.19</v>
      </c>
      <c r="F10" s="5">
        <f t="shared" si="1"/>
        <v>4.0579000000000001</v>
      </c>
      <c r="H10">
        <v>3.4170000000000003</v>
      </c>
      <c r="I10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B0AD-DCE9-43FF-9E9A-A5249B6C0D59}">
  <dimension ref="B2:F40"/>
  <sheetViews>
    <sheetView zoomScale="85" zoomScaleNormal="85" workbookViewId="0">
      <selection activeCell="J7" sqref="J7"/>
    </sheetView>
  </sheetViews>
  <sheetFormatPr defaultRowHeight="15" x14ac:dyDescent="0.25"/>
  <cols>
    <col min="1" max="1" width="4.85546875" customWidth="1"/>
    <col min="2" max="2" width="14.140625" customWidth="1"/>
    <col min="3" max="3" width="33.85546875" style="14" customWidth="1"/>
    <col min="4" max="4" width="10.28515625" style="14" customWidth="1"/>
    <col min="5" max="5" width="12.140625" customWidth="1"/>
    <col min="6" max="6" width="10.7109375" customWidth="1"/>
  </cols>
  <sheetData>
    <row r="2" spans="2:6" ht="15.75" x14ac:dyDescent="0.25">
      <c r="B2" s="11" t="s">
        <v>315</v>
      </c>
      <c r="C2" s="11" t="s">
        <v>4</v>
      </c>
      <c r="D2" s="11" t="s">
        <v>371</v>
      </c>
      <c r="E2" s="11" t="s">
        <v>316</v>
      </c>
      <c r="F2" s="11" t="s">
        <v>317</v>
      </c>
    </row>
    <row r="3" spans="2:6" ht="15.75" x14ac:dyDescent="0.25">
      <c r="B3" s="11"/>
      <c r="C3" s="15"/>
      <c r="D3" s="11"/>
      <c r="E3" s="11"/>
      <c r="F3" s="11"/>
    </row>
    <row r="4" spans="2:6" x14ac:dyDescent="0.25">
      <c r="B4" s="9" t="s">
        <v>365</v>
      </c>
      <c r="C4" s="9" t="s">
        <v>404</v>
      </c>
      <c r="D4" s="9" t="s">
        <v>372</v>
      </c>
      <c r="E4" s="10">
        <v>1527</v>
      </c>
      <c r="F4" s="9">
        <v>385</v>
      </c>
    </row>
    <row r="5" spans="2:6" x14ac:dyDescent="0.25">
      <c r="B5" s="9" t="s">
        <v>364</v>
      </c>
      <c r="C5" s="9" t="s">
        <v>405</v>
      </c>
      <c r="D5" s="9" t="s">
        <v>372</v>
      </c>
      <c r="E5" s="10">
        <v>3684</v>
      </c>
      <c r="F5" s="9">
        <v>755</v>
      </c>
    </row>
    <row r="6" spans="2:6" x14ac:dyDescent="0.25">
      <c r="B6" s="9" t="s">
        <v>366</v>
      </c>
      <c r="C6" s="9" t="s">
        <v>367</v>
      </c>
      <c r="D6" s="9" t="s">
        <v>372</v>
      </c>
      <c r="E6" s="10">
        <v>3088</v>
      </c>
      <c r="F6" s="9">
        <v>633</v>
      </c>
    </row>
    <row r="7" spans="2:6" x14ac:dyDescent="0.25">
      <c r="B7" s="9" t="s">
        <v>204</v>
      </c>
      <c r="C7" s="9" t="s">
        <v>373</v>
      </c>
      <c r="D7" s="9" t="s">
        <v>372</v>
      </c>
      <c r="E7" s="10">
        <v>3459</v>
      </c>
      <c r="F7" s="9">
        <v>676</v>
      </c>
    </row>
    <row r="8" spans="2:6" x14ac:dyDescent="0.25">
      <c r="B8" s="9" t="s">
        <v>115</v>
      </c>
      <c r="C8" s="9" t="s">
        <v>374</v>
      </c>
      <c r="D8" s="9" t="s">
        <v>372</v>
      </c>
      <c r="E8" s="9">
        <v>573</v>
      </c>
      <c r="F8" s="9">
        <v>112</v>
      </c>
    </row>
    <row r="9" spans="2:6" x14ac:dyDescent="0.25">
      <c r="B9" s="9" t="s">
        <v>154</v>
      </c>
      <c r="C9" s="9" t="s">
        <v>377</v>
      </c>
      <c r="D9" s="9" t="s">
        <v>372</v>
      </c>
      <c r="E9" s="10">
        <v>3488</v>
      </c>
      <c r="F9" s="9">
        <v>715</v>
      </c>
    </row>
    <row r="10" spans="2:6" x14ac:dyDescent="0.25">
      <c r="B10" s="9" t="s">
        <v>235</v>
      </c>
      <c r="C10" s="14" t="s">
        <v>376</v>
      </c>
      <c r="D10" s="9" t="s">
        <v>372</v>
      </c>
      <c r="E10" s="10">
        <v>498</v>
      </c>
      <c r="F10" s="9">
        <v>102</v>
      </c>
    </row>
    <row r="11" spans="2:6" x14ac:dyDescent="0.25">
      <c r="B11" s="9" t="s">
        <v>318</v>
      </c>
      <c r="C11" s="9" t="s">
        <v>378</v>
      </c>
      <c r="D11" s="9" t="s">
        <v>372</v>
      </c>
      <c r="E11" s="10">
        <v>1837</v>
      </c>
      <c r="F11" s="9">
        <v>359</v>
      </c>
    </row>
    <row r="12" spans="2:6" x14ac:dyDescent="0.25">
      <c r="B12" s="9" t="s">
        <v>319</v>
      </c>
      <c r="C12" s="9" t="s">
        <v>379</v>
      </c>
      <c r="D12" s="9" t="s">
        <v>372</v>
      </c>
      <c r="E12" s="9">
        <v>461</v>
      </c>
      <c r="F12" s="9">
        <v>90</v>
      </c>
    </row>
    <row r="13" spans="2:6" x14ac:dyDescent="0.25">
      <c r="B13" s="9" t="s">
        <v>320</v>
      </c>
      <c r="C13" s="9" t="s">
        <v>380</v>
      </c>
      <c r="D13" s="9" t="s">
        <v>372</v>
      </c>
      <c r="E13" s="10">
        <v>1361</v>
      </c>
      <c r="F13" s="9">
        <v>275</v>
      </c>
    </row>
    <row r="14" spans="2:6" x14ac:dyDescent="0.25">
      <c r="B14" s="9" t="s">
        <v>321</v>
      </c>
      <c r="C14" s="9" t="s">
        <v>381</v>
      </c>
      <c r="D14" s="9" t="s">
        <v>372</v>
      </c>
      <c r="E14" s="9">
        <v>439</v>
      </c>
      <c r="F14" s="9">
        <v>90</v>
      </c>
    </row>
    <row r="15" spans="2:6" x14ac:dyDescent="0.25">
      <c r="B15" s="9" t="s">
        <v>322</v>
      </c>
      <c r="C15" s="9" t="s">
        <v>382</v>
      </c>
      <c r="D15" s="9" t="s">
        <v>372</v>
      </c>
      <c r="E15" s="9">
        <v>873</v>
      </c>
      <c r="F15" s="9">
        <v>179</v>
      </c>
    </row>
    <row r="16" spans="2:6" x14ac:dyDescent="0.25">
      <c r="B16" s="9" t="s">
        <v>323</v>
      </c>
      <c r="C16" s="9" t="s">
        <v>383</v>
      </c>
      <c r="D16" s="9" t="s">
        <v>372</v>
      </c>
      <c r="E16" s="9">
        <v>249</v>
      </c>
      <c r="F16" s="9">
        <v>51</v>
      </c>
    </row>
    <row r="17" spans="2:6" x14ac:dyDescent="0.25">
      <c r="B17" s="9" t="s">
        <v>324</v>
      </c>
      <c r="C17" s="9" t="s">
        <v>382</v>
      </c>
      <c r="D17" s="9" t="s">
        <v>372</v>
      </c>
      <c r="E17" s="9">
        <v>703</v>
      </c>
      <c r="F17" s="9">
        <v>144</v>
      </c>
    </row>
    <row r="18" spans="2:6" x14ac:dyDescent="0.25">
      <c r="B18" s="9" t="s">
        <v>325</v>
      </c>
      <c r="C18" s="9" t="s">
        <v>384</v>
      </c>
      <c r="D18" s="9" t="s">
        <v>372</v>
      </c>
      <c r="E18" s="10">
        <v>3049</v>
      </c>
      <c r="F18" s="9">
        <v>625</v>
      </c>
    </row>
    <row r="19" spans="2:6" x14ac:dyDescent="0.25">
      <c r="B19" s="9" t="s">
        <v>326</v>
      </c>
      <c r="C19" s="9" t="s">
        <v>385</v>
      </c>
      <c r="D19" s="9" t="s">
        <v>372</v>
      </c>
      <c r="E19" s="9">
        <v>860</v>
      </c>
      <c r="F19" s="9">
        <v>344</v>
      </c>
    </row>
    <row r="20" spans="2:6" x14ac:dyDescent="0.25">
      <c r="B20" s="9" t="s">
        <v>327</v>
      </c>
      <c r="C20" s="9" t="s">
        <v>386</v>
      </c>
      <c r="D20" s="9" t="s">
        <v>372</v>
      </c>
      <c r="E20" s="10">
        <v>1110</v>
      </c>
      <c r="F20" s="9">
        <v>444</v>
      </c>
    </row>
    <row r="21" spans="2:6" x14ac:dyDescent="0.25">
      <c r="B21" s="9" t="s">
        <v>328</v>
      </c>
      <c r="C21" s="9" t="s">
        <v>387</v>
      </c>
      <c r="D21" s="9" t="s">
        <v>372</v>
      </c>
      <c r="E21" s="9">
        <v>818</v>
      </c>
      <c r="F21" s="9">
        <v>181</v>
      </c>
    </row>
    <row r="22" spans="2:6" x14ac:dyDescent="0.25">
      <c r="B22" s="9" t="s">
        <v>330</v>
      </c>
      <c r="C22" s="9" t="s">
        <v>388</v>
      </c>
      <c r="D22" s="9" t="s">
        <v>372</v>
      </c>
      <c r="E22" s="10">
        <v>7090</v>
      </c>
      <c r="F22" s="10">
        <v>1568</v>
      </c>
    </row>
    <row r="23" spans="2:6" x14ac:dyDescent="0.25">
      <c r="B23" s="9" t="s">
        <v>99</v>
      </c>
      <c r="C23" s="9" t="s">
        <v>389</v>
      </c>
      <c r="D23" s="9" t="s">
        <v>372</v>
      </c>
      <c r="E23" s="9">
        <v>297</v>
      </c>
      <c r="F23" s="9">
        <v>58</v>
      </c>
    </row>
    <row r="24" spans="2:6" x14ac:dyDescent="0.25">
      <c r="B24" s="9" t="s">
        <v>263</v>
      </c>
      <c r="C24" s="9" t="s">
        <v>390</v>
      </c>
      <c r="D24" s="9" t="s">
        <v>372</v>
      </c>
      <c r="E24" s="10">
        <v>1906</v>
      </c>
      <c r="F24" s="9">
        <v>353</v>
      </c>
    </row>
    <row r="25" spans="2:6" x14ac:dyDescent="0.25">
      <c r="B25" s="9" t="s">
        <v>187</v>
      </c>
      <c r="C25" s="9" t="s">
        <v>391</v>
      </c>
      <c r="D25" s="9" t="s">
        <v>372</v>
      </c>
      <c r="E25" s="10">
        <v>1149</v>
      </c>
      <c r="F25" s="9">
        <v>233</v>
      </c>
    </row>
    <row r="26" spans="2:6" x14ac:dyDescent="0.25">
      <c r="B26" s="9" t="s">
        <v>309</v>
      </c>
      <c r="C26" s="9" t="s">
        <v>392</v>
      </c>
      <c r="D26" s="9" t="s">
        <v>372</v>
      </c>
      <c r="E26" s="9">
        <v>815</v>
      </c>
      <c r="F26" s="9">
        <v>167</v>
      </c>
    </row>
    <row r="27" spans="2:6" x14ac:dyDescent="0.25">
      <c r="B27" s="9" t="s">
        <v>310</v>
      </c>
      <c r="C27" s="9" t="s">
        <v>393</v>
      </c>
      <c r="D27" s="9" t="s">
        <v>372</v>
      </c>
      <c r="E27" s="9">
        <v>820</v>
      </c>
      <c r="F27" s="9">
        <v>168</v>
      </c>
    </row>
    <row r="28" spans="2:6" x14ac:dyDescent="0.25">
      <c r="B28" s="9" t="s">
        <v>311</v>
      </c>
      <c r="C28" s="9" t="s">
        <v>394</v>
      </c>
      <c r="D28" s="9" t="s">
        <v>372</v>
      </c>
      <c r="E28" s="9">
        <v>673</v>
      </c>
      <c r="F28" s="9">
        <v>138</v>
      </c>
    </row>
    <row r="29" spans="2:6" x14ac:dyDescent="0.25">
      <c r="B29" s="9" t="s">
        <v>312</v>
      </c>
      <c r="C29" s="9" t="s">
        <v>396</v>
      </c>
      <c r="D29" s="9" t="s">
        <v>372</v>
      </c>
      <c r="E29" s="9">
        <v>932</v>
      </c>
      <c r="F29" s="9">
        <v>373</v>
      </c>
    </row>
    <row r="30" spans="2:6" x14ac:dyDescent="0.25">
      <c r="B30" s="9" t="s">
        <v>313</v>
      </c>
      <c r="C30" s="9" t="s">
        <v>397</v>
      </c>
      <c r="D30" s="9" t="s">
        <v>372</v>
      </c>
      <c r="E30" s="9">
        <v>700</v>
      </c>
      <c r="F30" s="9">
        <v>280</v>
      </c>
    </row>
    <row r="31" spans="2:6" x14ac:dyDescent="0.25">
      <c r="B31" s="9" t="s">
        <v>314</v>
      </c>
      <c r="C31" s="9" t="s">
        <v>391</v>
      </c>
      <c r="D31" s="9" t="s">
        <v>372</v>
      </c>
      <c r="E31" s="9">
        <v>516</v>
      </c>
      <c r="F31" s="9">
        <v>114</v>
      </c>
    </row>
    <row r="32" spans="2:6" x14ac:dyDescent="0.25">
      <c r="B32" s="9" t="s">
        <v>360</v>
      </c>
      <c r="C32" s="9" t="s">
        <v>398</v>
      </c>
      <c r="D32" s="9" t="s">
        <v>372</v>
      </c>
      <c r="E32" s="9">
        <v>271</v>
      </c>
      <c r="F32" s="9">
        <v>53</v>
      </c>
    </row>
    <row r="33" spans="2:6" x14ac:dyDescent="0.25">
      <c r="B33" s="9" t="s">
        <v>332</v>
      </c>
      <c r="C33" s="9" t="s">
        <v>399</v>
      </c>
      <c r="D33" s="9" t="s">
        <v>372</v>
      </c>
      <c r="E33" s="10">
        <v>1863</v>
      </c>
      <c r="F33" s="9">
        <v>364</v>
      </c>
    </row>
    <row r="34" spans="2:6" x14ac:dyDescent="0.25">
      <c r="B34" s="9" t="s">
        <v>331</v>
      </c>
      <c r="C34" s="9" t="s">
        <v>399</v>
      </c>
      <c r="D34" s="9" t="s">
        <v>372</v>
      </c>
      <c r="E34" s="10">
        <v>1573</v>
      </c>
      <c r="F34" s="9">
        <v>317</v>
      </c>
    </row>
    <row r="35" spans="2:6" x14ac:dyDescent="0.25">
      <c r="B35" s="9" t="s">
        <v>354</v>
      </c>
      <c r="C35" s="9" t="s">
        <v>400</v>
      </c>
      <c r="D35" s="9" t="s">
        <v>372</v>
      </c>
      <c r="E35" s="9">
        <v>951</v>
      </c>
      <c r="F35" s="9">
        <v>195</v>
      </c>
    </row>
    <row r="36" spans="2:6" x14ac:dyDescent="0.25">
      <c r="B36" s="9" t="s">
        <v>355</v>
      </c>
      <c r="C36" s="9" t="s">
        <v>400</v>
      </c>
      <c r="D36" s="9" t="s">
        <v>372</v>
      </c>
      <c r="E36" s="9">
        <v>249</v>
      </c>
      <c r="F36" s="9">
        <v>51</v>
      </c>
    </row>
    <row r="37" spans="2:6" x14ac:dyDescent="0.25">
      <c r="B37" s="9" t="s">
        <v>356</v>
      </c>
      <c r="C37" s="9" t="s">
        <v>400</v>
      </c>
      <c r="D37" s="9" t="s">
        <v>372</v>
      </c>
      <c r="E37" s="9">
        <v>756</v>
      </c>
      <c r="F37" s="9">
        <v>155</v>
      </c>
    </row>
    <row r="38" spans="2:6" x14ac:dyDescent="0.25">
      <c r="B38" s="9" t="s">
        <v>357</v>
      </c>
      <c r="C38" s="14" t="s">
        <v>401</v>
      </c>
      <c r="D38" s="9" t="s">
        <v>372</v>
      </c>
      <c r="E38" s="9">
        <v>897</v>
      </c>
      <c r="F38" s="9">
        <v>359</v>
      </c>
    </row>
    <row r="39" spans="2:6" x14ac:dyDescent="0.25">
      <c r="B39" s="9" t="s">
        <v>358</v>
      </c>
      <c r="C39" s="9" t="s">
        <v>402</v>
      </c>
      <c r="D39" s="9" t="s">
        <v>372</v>
      </c>
      <c r="E39" s="9">
        <v>717</v>
      </c>
      <c r="F39" s="9">
        <v>287</v>
      </c>
    </row>
    <row r="40" spans="2:6" x14ac:dyDescent="0.25">
      <c r="B40" s="9" t="s">
        <v>359</v>
      </c>
      <c r="C40" s="9" t="s">
        <v>403</v>
      </c>
      <c r="D40" s="9" t="s">
        <v>372</v>
      </c>
      <c r="E40" s="9">
        <v>402</v>
      </c>
      <c r="F40" s="9">
        <v>89</v>
      </c>
    </row>
  </sheetData>
  <autoFilter ref="B3:F40" xr:uid="{F0B6B0AD-DCE9-43FF-9E9A-A5249B6C0D59}">
    <sortState xmlns:xlrd2="http://schemas.microsoft.com/office/spreadsheetml/2017/richdata2" ref="B4:F40">
      <sortCondition ref="B3:B40"/>
    </sortState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2F6A-B5C6-40C7-BE78-4DB31AFEB25C}">
  <dimension ref="B2:E21"/>
  <sheetViews>
    <sheetView workbookViewId="0">
      <selection activeCell="I9" sqref="I9"/>
    </sheetView>
  </sheetViews>
  <sheetFormatPr defaultRowHeight="15" x14ac:dyDescent="0.25"/>
  <cols>
    <col min="5" max="5" width="19.140625" customWidth="1"/>
  </cols>
  <sheetData>
    <row r="2" spans="2:5" x14ac:dyDescent="0.25">
      <c r="B2" s="8" t="s">
        <v>334</v>
      </c>
      <c r="C2" s="8" t="s">
        <v>333</v>
      </c>
      <c r="D2" s="8" t="s">
        <v>336</v>
      </c>
      <c r="E2" s="8" t="s">
        <v>338</v>
      </c>
    </row>
    <row r="3" spans="2:5" x14ac:dyDescent="0.25">
      <c r="B3" t="s">
        <v>335</v>
      </c>
      <c r="C3" s="13" t="s">
        <v>182</v>
      </c>
      <c r="D3" s="13" t="s">
        <v>339</v>
      </c>
      <c r="E3" t="s">
        <v>340</v>
      </c>
    </row>
    <row r="4" spans="2:5" x14ac:dyDescent="0.25">
      <c r="B4" t="s">
        <v>335</v>
      </c>
      <c r="C4" s="13" t="s">
        <v>182</v>
      </c>
      <c r="D4" s="13" t="s">
        <v>337</v>
      </c>
      <c r="E4" t="s">
        <v>341</v>
      </c>
    </row>
    <row r="5" spans="2:5" x14ac:dyDescent="0.25">
      <c r="B5" t="s">
        <v>335</v>
      </c>
      <c r="C5" s="13" t="s">
        <v>182</v>
      </c>
      <c r="D5" s="13" t="s">
        <v>342</v>
      </c>
      <c r="E5" t="s">
        <v>97</v>
      </c>
    </row>
    <row r="6" spans="2:5" x14ac:dyDescent="0.25">
      <c r="B6" t="s">
        <v>335</v>
      </c>
      <c r="C6" s="13" t="s">
        <v>182</v>
      </c>
      <c r="D6" s="13" t="s">
        <v>343</v>
      </c>
      <c r="E6" t="s">
        <v>344</v>
      </c>
    </row>
    <row r="7" spans="2:5" x14ac:dyDescent="0.25">
      <c r="B7" t="s">
        <v>345</v>
      </c>
      <c r="C7" s="13" t="s">
        <v>346</v>
      </c>
      <c r="D7" s="13" t="s">
        <v>347</v>
      </c>
      <c r="E7" t="s">
        <v>344</v>
      </c>
    </row>
    <row r="8" spans="2:5" x14ac:dyDescent="0.25">
      <c r="B8" t="s">
        <v>345</v>
      </c>
      <c r="C8" s="13" t="s">
        <v>346</v>
      </c>
      <c r="D8" s="13" t="s">
        <v>348</v>
      </c>
      <c r="E8" t="s">
        <v>344</v>
      </c>
    </row>
    <row r="9" spans="2:5" x14ac:dyDescent="0.25">
      <c r="B9" t="s">
        <v>345</v>
      </c>
      <c r="C9" s="13" t="s">
        <v>346</v>
      </c>
      <c r="D9" s="13" t="s">
        <v>349</v>
      </c>
      <c r="E9" t="s">
        <v>344</v>
      </c>
    </row>
    <row r="10" spans="2:5" x14ac:dyDescent="0.25">
      <c r="B10" t="s">
        <v>345</v>
      </c>
      <c r="C10" s="13" t="s">
        <v>346</v>
      </c>
      <c r="D10" s="13" t="s">
        <v>350</v>
      </c>
      <c r="E10" t="s">
        <v>344</v>
      </c>
    </row>
    <row r="11" spans="2:5" x14ac:dyDescent="0.25">
      <c r="B11" t="s">
        <v>352</v>
      </c>
      <c r="C11" s="13" t="s">
        <v>351</v>
      </c>
      <c r="D11" s="13" t="s">
        <v>353</v>
      </c>
      <c r="E11" t="s">
        <v>344</v>
      </c>
    </row>
    <row r="12" spans="2:5" x14ac:dyDescent="0.25">
      <c r="C12" s="13"/>
    </row>
    <row r="13" spans="2:5" x14ac:dyDescent="0.25">
      <c r="C13" s="13"/>
    </row>
    <row r="14" spans="2:5" x14ac:dyDescent="0.25">
      <c r="C14" s="13"/>
    </row>
    <row r="15" spans="2:5" x14ac:dyDescent="0.25">
      <c r="C15" s="13"/>
    </row>
    <row r="16" spans="2:5" x14ac:dyDescent="0.25">
      <c r="C16" s="13"/>
    </row>
    <row r="17" spans="3:3" x14ac:dyDescent="0.25">
      <c r="C17" s="13"/>
    </row>
    <row r="18" spans="3:3" x14ac:dyDescent="0.25">
      <c r="C18" s="13"/>
    </row>
    <row r="19" spans="3:3" x14ac:dyDescent="0.25">
      <c r="C19" s="13"/>
    </row>
    <row r="20" spans="3:3" x14ac:dyDescent="0.25">
      <c r="C20" s="13"/>
    </row>
    <row r="21" spans="3:3" x14ac:dyDescent="0.25">
      <c r="C21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526A02-F8C1-4FD4-9CFD-10BC7866F61F}">
  <ds:schemaRefs>
    <ds:schemaRef ds:uri="74e96fc0-e434-4b1c-a91d-4b84a454836a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29a8beaf-1c45-488d-a0c9-23f9e05838b8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54EB7FE-679E-4372-93AD-C14C28B3642F}"/>
</file>

<file path=customXml/itemProps3.xml><?xml version="1.0" encoding="utf-8"?>
<ds:datastoreItem xmlns:ds="http://schemas.openxmlformats.org/officeDocument/2006/customXml" ds:itemID="{72388849-AAE8-4430-BF87-CEDDB6B7EB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excel_output - 2025-12-05T14592</vt:lpstr>
      <vt:lpstr>Sheet12.10.25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Coke, Patty</dc:creator>
  <cp:lastModifiedBy>Jerry Molina</cp:lastModifiedBy>
  <dcterms:created xsi:type="dcterms:W3CDTF">2025-12-05T21:00:20Z</dcterms:created>
  <dcterms:modified xsi:type="dcterms:W3CDTF">2026-01-15T16:11:17Z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