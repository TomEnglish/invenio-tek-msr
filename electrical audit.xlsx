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1858" documentId="8_{55608385-C233-468F-B676-D18E7A24BF67}" xr6:coauthVersionLast="47" xr6:coauthVersionMax="47" xr10:uidLastSave="{313DEC41-279F-4BF3-AF20-64777ADEA548}"/>
  <bookViews>
    <workbookView xWindow="-110" yWindow="-110" windowWidth="29020" windowHeight="18700" xr2:uid="{BA4CA286-B14F-4469-ACD8-F5E0318C4C7A}"/>
  </bookViews>
  <sheets>
    <sheet name="Elec Audit" sheetId="1" r:id="rId1"/>
    <sheet name="Sheet1" sheetId="2" r:id="rId2"/>
    <sheet name="Sheet2" sheetId="3" r:id="rId3"/>
  </sheets>
  <definedNames>
    <definedName name="_xlnm._FilterDatabase" localSheetId="0" hidden="1">'Elec Audit'!$A$1:$AV$167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4" i="1" l="1"/>
  <c r="M125" i="1"/>
  <c r="M126" i="1"/>
  <c r="M119" i="1"/>
  <c r="M120" i="1"/>
  <c r="M121" i="1"/>
  <c r="M122" i="1"/>
  <c r="M123" i="1"/>
  <c r="M164" i="1"/>
  <c r="M165" i="1"/>
  <c r="M166" i="1"/>
  <c r="M167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49" i="1"/>
  <c r="M150" i="1"/>
  <c r="M151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28" i="1"/>
  <c r="M129" i="1"/>
  <c r="M130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27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45" i="1"/>
  <c r="M44" i="1"/>
  <c r="M19" i="1" l="1"/>
  <c r="M20" i="1"/>
  <c r="M21" i="1"/>
  <c r="M8" i="1"/>
  <c r="M3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" i="1" l="1"/>
  <c r="M4" i="1"/>
  <c r="M28" i="1"/>
  <c r="M16" i="1"/>
  <c r="M17" i="1"/>
  <c r="M18" i="1"/>
  <c r="M22" i="1"/>
  <c r="M23" i="1"/>
  <c r="M24" i="1"/>
  <c r="M25" i="1"/>
  <c r="M26" i="1"/>
  <c r="M27" i="1"/>
  <c r="M5" i="1" l="1"/>
  <c r="M6" i="1"/>
  <c r="M7" i="1"/>
  <c r="M9" i="1"/>
  <c r="M10" i="1"/>
  <c r="M11" i="1"/>
  <c r="M12" i="1"/>
  <c r="M13" i="1"/>
  <c r="M14" i="1"/>
  <c r="M15" i="1"/>
  <c r="I3" i="2" l="1"/>
  <c r="I4" i="2"/>
  <c r="I5" i="2"/>
  <c r="I2" i="2"/>
</calcChain>
</file>

<file path=xl/sharedStrings.xml><?xml version="1.0" encoding="utf-8"?>
<sst xmlns="http://schemas.openxmlformats.org/spreadsheetml/2006/main" count="1704" uniqueCount="255">
  <si>
    <t>REC_NO</t>
  </si>
  <si>
    <t>DWG</t>
  </si>
  <si>
    <t>REV_NO</t>
  </si>
  <si>
    <t>SCHED_ID</t>
  </si>
  <si>
    <t>CAREA</t>
  </si>
  <si>
    <t>CODE</t>
  </si>
  <si>
    <t>CIRCUIT</t>
  </si>
  <si>
    <t>SZE</t>
  </si>
  <si>
    <t>FLD_QTY</t>
  </si>
  <si>
    <t>UOM</t>
  </si>
  <si>
    <t>ERN_QTY</t>
  </si>
  <si>
    <t>MI_Q_1</t>
  </si>
  <si>
    <t>M1_DESC</t>
  </si>
  <si>
    <t>M1</t>
  </si>
  <si>
    <t>MI_Q_2</t>
  </si>
  <si>
    <t>M2_DESC</t>
  </si>
  <si>
    <t>M2</t>
  </si>
  <si>
    <t>MI_Q_3</t>
  </si>
  <si>
    <t>M3_DESC</t>
  </si>
  <si>
    <t>M3</t>
  </si>
  <si>
    <t>MI_Q_4</t>
  </si>
  <si>
    <t>M4_DESC</t>
  </si>
  <si>
    <t>M4</t>
  </si>
  <si>
    <t>MI_Q_5</t>
  </si>
  <si>
    <t>M5_DESC</t>
  </si>
  <si>
    <t>M5</t>
  </si>
  <si>
    <t>MI_Q_6</t>
  </si>
  <si>
    <t>M6_DESC</t>
  </si>
  <si>
    <t>M6</t>
  </si>
  <si>
    <t>MI_Q_7</t>
  </si>
  <si>
    <t>M7_DESC</t>
  </si>
  <si>
    <t>M7</t>
  </si>
  <si>
    <t>MI_Q_8</t>
  </si>
  <si>
    <t>M8_DESC</t>
  </si>
  <si>
    <t>M8</t>
  </si>
  <si>
    <t>VAR1</t>
  </si>
  <si>
    <t>FLD_WHRS</t>
  </si>
  <si>
    <t>*C</t>
  </si>
  <si>
    <t>LF.</t>
  </si>
  <si>
    <t>Run Conduit</t>
  </si>
  <si>
    <t>Receive Materials</t>
  </si>
  <si>
    <t>DUCT BANK</t>
  </si>
  <si>
    <t>P02.03-EL-120-PLN-00022</t>
  </si>
  <si>
    <t>EL-401-001</t>
  </si>
  <si>
    <t>PVC Conduit 1" Ground Stub-up</t>
  </si>
  <si>
    <t>PVC Conduit 2"</t>
  </si>
  <si>
    <t>PVC Conduit 4"</t>
  </si>
  <si>
    <t>PVC Conduit 6"</t>
  </si>
  <si>
    <t>#4/0 Green Insulated Grounding wire</t>
  </si>
  <si>
    <t>Type</t>
  </si>
  <si>
    <t>cost code</t>
  </si>
  <si>
    <t>09220</t>
  </si>
  <si>
    <t>Base U/R</t>
  </si>
  <si>
    <t>PF Adjust</t>
  </si>
  <si>
    <t>PF U/R</t>
  </si>
  <si>
    <t>Size</t>
  </si>
  <si>
    <t>DBC-H</t>
  </si>
  <si>
    <t>DBC-D</t>
  </si>
  <si>
    <t>EL-401-003</t>
  </si>
  <si>
    <t>DBC-E</t>
  </si>
  <si>
    <t>EL-401-004</t>
  </si>
  <si>
    <t>DBC-A</t>
  </si>
  <si>
    <t>EL-402-001</t>
  </si>
  <si>
    <t>DBC-F</t>
  </si>
  <si>
    <t>EL-402-002</t>
  </si>
  <si>
    <t>DBC-B</t>
  </si>
  <si>
    <t>EL-403-001</t>
  </si>
  <si>
    <t>DBC-G</t>
  </si>
  <si>
    <t>P02.03-EL-120-PLN-00023</t>
  </si>
  <si>
    <t>EL-403-002</t>
  </si>
  <si>
    <t>EL-403-003</t>
  </si>
  <si>
    <t>EL-404-001</t>
  </si>
  <si>
    <t>P02.03-EL-120-PLN-00025</t>
  </si>
  <si>
    <t>DBC-H-stub</t>
  </si>
  <si>
    <t>stubles 5ft</t>
  </si>
  <si>
    <t>EL-401-002</t>
  </si>
  <si>
    <t>Man Hours</t>
  </si>
  <si>
    <t>SYSTEM</t>
  </si>
  <si>
    <t xml:space="preserve">TAG_NO </t>
  </si>
  <si>
    <t>PIPE_SPEC</t>
  </si>
  <si>
    <t>EARN_WHRS</t>
  </si>
  <si>
    <t>TEST_PKG</t>
  </si>
  <si>
    <t>CWP</t>
  </si>
  <si>
    <t>IWP_PLAN_NO</t>
  </si>
  <si>
    <t>SPL_CNT</t>
  </si>
  <si>
    <t>IWP_FOREMAN</t>
  </si>
  <si>
    <t>IWP_GEN_FOREMAN</t>
  </si>
  <si>
    <t>WHRS_UNIT</t>
  </si>
  <si>
    <t>PAINT_SPEC</t>
  </si>
  <si>
    <t>INSU_SPEC</t>
  </si>
  <si>
    <t>HEAT_TRACE_SPEC</t>
  </si>
  <si>
    <t>TA_BANK</t>
  </si>
  <si>
    <t>TA_BAY</t>
  </si>
  <si>
    <t>TA_LEVEL</t>
  </si>
  <si>
    <t>PSLIP</t>
  </si>
  <si>
    <t>09100</t>
  </si>
  <si>
    <t>P02.03-EL-120-PLN-00015</t>
  </si>
  <si>
    <t>GROUNDING PLAN</t>
  </si>
  <si>
    <t>GRND</t>
  </si>
  <si>
    <t>GND-200-001</t>
  </si>
  <si>
    <t>Trenching</t>
  </si>
  <si>
    <t>Install Wire</t>
  </si>
  <si>
    <t>Backfill</t>
  </si>
  <si>
    <t>GND-200-002</t>
  </si>
  <si>
    <t>P02.03-EL-120-PLN-00012</t>
  </si>
  <si>
    <t>GND-401-001</t>
  </si>
  <si>
    <t>P02.03-EL-120-PLN-00002</t>
  </si>
  <si>
    <t>GND-401-002</t>
  </si>
  <si>
    <t>P02.03-EL-120-PLN-00005</t>
  </si>
  <si>
    <t>Grounding drawings</t>
  </si>
  <si>
    <t>GND-402-001</t>
  </si>
  <si>
    <t>GND-402-002</t>
  </si>
  <si>
    <t>GND-404-001</t>
  </si>
  <si>
    <t>P02.03-EL-120-PLN-00003</t>
  </si>
  <si>
    <t>P02.03-EL-120-PLN-00006</t>
  </si>
  <si>
    <t>P02.03-EL-120-PLN-00008</t>
  </si>
  <si>
    <t>GND-601-001</t>
  </si>
  <si>
    <t>GND-601-002</t>
  </si>
  <si>
    <t>P02.03-EL-120-PLN-00004</t>
  </si>
  <si>
    <t>P02.03-EL-120-PLN-00007</t>
  </si>
  <si>
    <t>P02.03-EL-120-PLN-00009</t>
  </si>
  <si>
    <t>GND-404-002</t>
  </si>
  <si>
    <t>GND-404-003</t>
  </si>
  <si>
    <t>P02.03-EL-120-PLN-00011</t>
  </si>
  <si>
    <t>P02.03-EL-120-PLN-00010</t>
  </si>
  <si>
    <t>GND-406-001</t>
  </si>
  <si>
    <t>P02.03-EL-120-PLN-00013</t>
  </si>
  <si>
    <t>GND-406-002</t>
  </si>
  <si>
    <t>P02.03-EL-120-PLN-00016</t>
  </si>
  <si>
    <t>GND-406-003</t>
  </si>
  <si>
    <t>DBC-AA</t>
  </si>
  <si>
    <t>P02.03-EL-120-PLN-00026</t>
  </si>
  <si>
    <t>PLN-00031 DUCT BANKS</t>
  </si>
  <si>
    <t>401 UG DUCT BANK</t>
  </si>
  <si>
    <t>PLN-00028 DUCT BANKS</t>
  </si>
  <si>
    <t>PLN-00027 DUCT BANKS</t>
  </si>
  <si>
    <t>402 UG DUCT BANK</t>
  </si>
  <si>
    <t>403 UG DUCT BANK</t>
  </si>
  <si>
    <t>404 UG DUCT BANK</t>
  </si>
  <si>
    <t>Description</t>
  </si>
  <si>
    <t>Duct Bank IWPs</t>
  </si>
  <si>
    <t>EL-401-005</t>
  </si>
  <si>
    <t>4/C#10AWG</t>
  </si>
  <si>
    <t>12/C#10AWG</t>
  </si>
  <si>
    <t>2/C#10AWG</t>
  </si>
  <si>
    <t>12/FO OM1</t>
  </si>
  <si>
    <t>3/C#10AWG</t>
  </si>
  <si>
    <t>4/C#8AWG</t>
  </si>
  <si>
    <t>TRENCH TR-4 /PD11</t>
  </si>
  <si>
    <t>TRENCH TR-4/P-AT3-DSC-DIFF</t>
  </si>
  <si>
    <t>TRENCH TR-4/EP1-7,9,11</t>
  </si>
  <si>
    <t>TRENCH TR-4/MMFO-T1-01</t>
  </si>
  <si>
    <t>TRENCH TR-4/PD10</t>
  </si>
  <si>
    <t>TRENCH TR-4/PA04</t>
  </si>
  <si>
    <t>TRENCH TR-4/C03</t>
  </si>
  <si>
    <t>TRENCH TR-4/C02</t>
  </si>
  <si>
    <t>TRENCH TR-4/ C01</t>
  </si>
  <si>
    <t>TRENCH TR-11/ SPARE</t>
  </si>
  <si>
    <t>TRENCH TR-8/ 7408</t>
  </si>
  <si>
    <t>SM 12 STRAND FIBER</t>
  </si>
  <si>
    <t>TRENCH TR-8/ P-GSU</t>
  </si>
  <si>
    <t>3/C#4AWG</t>
  </si>
  <si>
    <t>TRENCH TR-8/ EP1-1,3,5</t>
  </si>
  <si>
    <t>3/C#2AWG</t>
  </si>
  <si>
    <t>TRENCH TR-8/ PA01</t>
  </si>
  <si>
    <t>4/C#2AWG</t>
  </si>
  <si>
    <t>TRENCH TR-8/ PA02</t>
  </si>
  <si>
    <t>TRENCH TR-8/ PA04</t>
  </si>
  <si>
    <t>TRENCH TR-8/ PA05</t>
  </si>
  <si>
    <t>TRENCH TR-8/ PA06</t>
  </si>
  <si>
    <t>TRENCH TR-8/ PD10</t>
  </si>
  <si>
    <t>TRENCH TR-8/ MMFO-T1-01</t>
  </si>
  <si>
    <t>TRENCH TR-8/ MMFO-T2-01</t>
  </si>
  <si>
    <t>TRENCH TR-8/ MMFO-T3-01</t>
  </si>
  <si>
    <t>TRENCH TR-8/ PD20</t>
  </si>
  <si>
    <t>TRENCH TR-8/ PD30</t>
  </si>
  <si>
    <t>TRENCH TR-8/ PD21</t>
  </si>
  <si>
    <t>TRENCH TR-8/ PD31</t>
  </si>
  <si>
    <t>TRENCH TR-8/ PD11</t>
  </si>
  <si>
    <t>TRENCH TR-15/ P1-23HE-1</t>
  </si>
  <si>
    <t>TRENCH TR-15/ P1-23HE-2</t>
  </si>
  <si>
    <t>TRENCH TR-15/ P1-88TK-1</t>
  </si>
  <si>
    <t>TRENCH TR-15/ P1-88TK-2</t>
  </si>
  <si>
    <t>TRENCH TR-15/ P1-88BT</t>
  </si>
  <si>
    <t>TRENCH TR-15/ P1-88QA</t>
  </si>
  <si>
    <t>TRENCH TR-15/ P1-88HQ</t>
  </si>
  <si>
    <t>TRENCH TR-15/ P1-23QT</t>
  </si>
  <si>
    <t>TRENCH TR-15/ P1-88AB</t>
  </si>
  <si>
    <t>TRENCH TR-15/ P1-23FH-1</t>
  </si>
  <si>
    <t>TRENCH TR-15/ P1-88FD-1</t>
  </si>
  <si>
    <t>TRENCH TR-15/ P1-88FD-2</t>
  </si>
  <si>
    <t>3/C#12AWG</t>
  </si>
  <si>
    <t>3/C#8AWG</t>
  </si>
  <si>
    <t>3/C#6AWG</t>
  </si>
  <si>
    <t>TRENCH TR-1/ 7401</t>
  </si>
  <si>
    <t>TRENCH TR-1/ UPS-1</t>
  </si>
  <si>
    <t>TRENCH TR-1/ SPARE</t>
  </si>
  <si>
    <t>EL-402-003</t>
  </si>
  <si>
    <t>TRENCH TR- 5/ C07</t>
  </si>
  <si>
    <t>TRENCH TR- 5/ C08</t>
  </si>
  <si>
    <t>TRENCH TR- 5/ C09</t>
  </si>
  <si>
    <t>TRENCH TR- 5/ PA05</t>
  </si>
  <si>
    <t>TRENCH TR- 5/ MMFO-T2-01</t>
  </si>
  <si>
    <t>TRENCH TR- 5/ PD21</t>
  </si>
  <si>
    <t>TRENCH TR- 5/ EP1-13,15,17</t>
  </si>
  <si>
    <t>TRENCH TR- 5/ P-AT1-DSC-DIFF</t>
  </si>
  <si>
    <t>TRENCH TR- 5/ PD20</t>
  </si>
  <si>
    <t>12/C#12AWG</t>
  </si>
  <si>
    <t>TRENCH TR-9/ PA06</t>
  </si>
  <si>
    <t>TRENCH TR-9/ MMFO-T3-01</t>
  </si>
  <si>
    <t>TRENCH TR-9/ PD31</t>
  </si>
  <si>
    <t>TRENCH TR-9/ PD30</t>
  </si>
  <si>
    <t>TRENCH TR-2/ SPARE</t>
  </si>
  <si>
    <t>TRENCH TR-2/ 7402</t>
  </si>
  <si>
    <t>TRENCH TR-2/ UPS-3</t>
  </si>
  <si>
    <t>EL-403-004</t>
  </si>
  <si>
    <t>TRENCH TR-3/ 7403</t>
  </si>
  <si>
    <t>TRENCH TR-3/ UPS-5</t>
  </si>
  <si>
    <t>TRENCH TR-3/ SPARE</t>
  </si>
  <si>
    <t>TRENCH TR-6/ C13</t>
  </si>
  <si>
    <t>TRENCH TR-6/ C14</t>
  </si>
  <si>
    <t>TRENCH TR-6/ C15</t>
  </si>
  <si>
    <t>TRENCH TR-6/ PA06</t>
  </si>
  <si>
    <t>TRENCH TR-6/ MMFO-T3-01</t>
  </si>
  <si>
    <t>TRENCH TR-6/ PD31</t>
  </si>
  <si>
    <t>TRENCH TR-6/ EP1-18,21,23</t>
  </si>
  <si>
    <t>TRENCH TR-6/ P-AT2-DSC-DIFF</t>
  </si>
  <si>
    <t>TRENCH TR-6/ PD30</t>
  </si>
  <si>
    <t>TRENCH TR-7/ SPARE</t>
  </si>
  <si>
    <t>P02.03-EL-120-PLN-00024</t>
  </si>
  <si>
    <t>TRENCH TR-12/ SPARE</t>
  </si>
  <si>
    <t>TRENCH TR-16/ P2-23HE-1</t>
  </si>
  <si>
    <t>TRENCH TR-16/ P2-23HE-2</t>
  </si>
  <si>
    <t>TRENCH TR-16/ P2-88TK-1</t>
  </si>
  <si>
    <t>TRENCH TR-16/ P2-88TK-2</t>
  </si>
  <si>
    <t>TRENCH TR-16/  P2-88BT</t>
  </si>
  <si>
    <t>TRENCH TR-16/  P288QA</t>
  </si>
  <si>
    <t>TRENCH TR-16/  P288HQ</t>
  </si>
  <si>
    <t>TRENCH TR-16/ P2-23QT</t>
  </si>
  <si>
    <t>TRENCH TR-16/ P288AB</t>
  </si>
  <si>
    <t>TRENCH TR-16/ P2-23FH-1</t>
  </si>
  <si>
    <t>TRENCH TR-16/ P2-88FD-1</t>
  </si>
  <si>
    <t>TRENCH TR-16/ P2-88FD-2</t>
  </si>
  <si>
    <t>TRENCH TR-17/ P3-23HE-1</t>
  </si>
  <si>
    <t>TRENCH TR-17/ P3-23HE-2</t>
  </si>
  <si>
    <t>TRENCH TR-17/ P3-88TK-1</t>
  </si>
  <si>
    <t>TRENCH TR-17/ P3-88TK-2</t>
  </si>
  <si>
    <t>TRENCH TR-17/ P3-88BT</t>
  </si>
  <si>
    <t>TRENCH TR-17/ P3-88QA</t>
  </si>
  <si>
    <t>TRENCH TR-17/ P3-88HQ</t>
  </si>
  <si>
    <t>TRENCH TR-17/ P3-23QT</t>
  </si>
  <si>
    <t>TRENCH TR-17/ P3-88AB</t>
  </si>
  <si>
    <t>TRENCH TR-17/ P3-23FH-1</t>
  </si>
  <si>
    <t>TRENCH TR-17/ P3-88FD-1</t>
  </si>
  <si>
    <t>TRENCH TR-17/ P3-88FD-2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</si>
</sst>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9" fillId="0" borderId="0" xfId="0" applyFont="1"/>
    <xf numFmtId="0" fontId="20" fillId="0" borderId="10" xfId="0" applyFont="1" applyBorder="1" applyAlignment="1">
      <alignment horizontal="center"/>
    </xf>
    <xf numFmtId="0" fontId="21" fillId="0" borderId="10" xfId="0" applyFont="1" applyBorder="1"/>
    <xf numFmtId="3" fontId="21" fillId="0" borderId="10" xfId="0" applyNumberFormat="1" applyFont="1" applyBorder="1"/>
    <xf numFmtId="0" fontId="0" fillId="0" borderId="10" xfId="0" applyBorder="1"/>
    <xf numFmtId="0" fontId="21" fillId="0" borderId="0" xfId="0" applyFont="1"/>
    <xf numFmtId="3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0C1A-DC08-4309-9D3D-E4951765EFE0}">
  <dimension ref="A1:BC167"/>
  <sheetViews>
    <sheetView tabSelected="1" topLeftCell="A149" zoomScale="115" zoomScaleNormal="115" workbookViewId="0">
      <selection activeCell="B171" sqref="B171"/>
    </sheetView>
  </sheetViews>
  <sheetFormatPr defaultRowHeight="15" x14ac:dyDescent="0.25"/>
  <cols>
    <col min="2" max="2" width="24.7109375" customWidth="1"/>
    <col min="4" max="4" width="8.7109375" customWidth="1"/>
    <col min="5" max="5" width="22.7109375" bestFit="1" customWidth="1"/>
    <col min="7" max="7" width="16.7109375" customWidth="1"/>
    <col min="8" max="8" width="30.42578125" customWidth="1"/>
    <col min="9" max="9" width="21.7109375" customWidth="1"/>
    <col min="10" max="10" width="5.85546875" customWidth="1"/>
    <col min="12" max="12" width="4.7109375" customWidth="1"/>
    <col min="13" max="13" width="12.5703125" customWidth="1"/>
    <col min="14" max="14" width="13.7109375" bestFit="1" customWidth="1"/>
    <col min="15" max="15" width="12.28515625" bestFit="1" customWidth="1"/>
    <col min="16" max="16" width="15.5703125" bestFit="1" customWidth="1"/>
    <col min="17" max="17" width="10.7109375" hidden="1" customWidth="1"/>
    <col min="18" max="18" width="16.42578125" hidden="1" customWidth="1"/>
    <col min="19" max="19" width="10.7109375" hidden="1" customWidth="1"/>
    <col min="20" max="20" width="12.7109375" hidden="1" customWidth="1"/>
    <col min="21" max="21" width="10.7109375" hidden="1" customWidth="1"/>
    <col min="22" max="22" width="12.7109375" hidden="1" customWidth="1"/>
    <col min="23" max="23" width="10.7109375" hidden="1" customWidth="1"/>
    <col min="24" max="24" width="12.7109375" hidden="1" customWidth="1"/>
    <col min="25" max="25" width="10.7109375" hidden="1" customWidth="1"/>
    <col min="26" max="26" width="12.7109375" hidden="1" customWidth="1"/>
    <col min="27" max="27" width="10.7109375" hidden="1" customWidth="1"/>
    <col min="28" max="28" width="12.7109375" hidden="1" customWidth="1"/>
    <col min="29" max="29" width="10.7109375" hidden="1" customWidth="1"/>
    <col min="30" max="30" width="12.7109375" hidden="1" customWidth="1"/>
    <col min="31" max="31" width="10.7109375" hidden="1" customWidth="1"/>
    <col min="32" max="32" width="12.7109375" hidden="1" customWidth="1"/>
    <col min="33" max="33" width="13" hidden="1" customWidth="1"/>
    <col min="34" max="34" width="8.42578125" customWidth="1"/>
    <col min="35" max="35" width="16" bestFit="1" customWidth="1"/>
    <col min="36" max="36" width="8.7109375" customWidth="1"/>
    <col min="37" max="38" width="16" customWidth="1"/>
    <col min="39" max="39" width="11.7109375" customWidth="1"/>
    <col min="40" max="47" width="8.7109375" customWidth="1"/>
    <col min="48" max="48" width="10.140625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</v>
      </c>
      <c r="H1" t="s">
        <v>6</v>
      </c>
      <c r="I1" t="s">
        <v>78</v>
      </c>
      <c r="J1" t="s">
        <v>7</v>
      </c>
      <c r="K1" t="s">
        <v>8</v>
      </c>
      <c r="L1" t="s">
        <v>9</v>
      </c>
      <c r="M1" t="s">
        <v>36</v>
      </c>
      <c r="N1" t="s">
        <v>79</v>
      </c>
      <c r="O1" t="s">
        <v>10</v>
      </c>
      <c r="P1" t="s">
        <v>80</v>
      </c>
      <c r="Q1" t="s">
        <v>11</v>
      </c>
      <c r="R1" t="s">
        <v>12</v>
      </c>
      <c r="S1" t="s">
        <v>14</v>
      </c>
      <c r="T1" t="s">
        <v>15</v>
      </c>
      <c r="U1" t="s">
        <v>17</v>
      </c>
      <c r="V1" t="s">
        <v>18</v>
      </c>
      <c r="W1" t="s">
        <v>20</v>
      </c>
      <c r="X1" t="s">
        <v>21</v>
      </c>
      <c r="Y1" t="s">
        <v>23</v>
      </c>
      <c r="Z1" t="s">
        <v>24</v>
      </c>
      <c r="AA1" t="s">
        <v>26</v>
      </c>
      <c r="AB1" t="s">
        <v>27</v>
      </c>
      <c r="AC1" t="s">
        <v>29</v>
      </c>
      <c r="AD1" t="s">
        <v>30</v>
      </c>
      <c r="AE1" t="s">
        <v>32</v>
      </c>
      <c r="AF1" t="s">
        <v>33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13</v>
      </c>
      <c r="AO1" t="s">
        <v>16</v>
      </c>
      <c r="AP1" t="s">
        <v>19</v>
      </c>
      <c r="AQ1" t="s">
        <v>22</v>
      </c>
      <c r="AR1" t="s">
        <v>25</v>
      </c>
      <c r="AS1" t="s">
        <v>28</v>
      </c>
      <c r="AT1" t="s">
        <v>31</v>
      </c>
      <c r="AU1" t="s">
        <v>34</v>
      </c>
      <c r="AV1" t="s">
        <v>35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</row>
    <row r="2" spans="1:55" x14ac:dyDescent="0.25">
      <c r="A2">
        <v>1</v>
      </c>
      <c r="B2" t="s">
        <v>42</v>
      </c>
      <c r="C2">
        <v>0</v>
      </c>
      <c r="D2" t="s">
        <v>37</v>
      </c>
      <c r="E2" t="s">
        <v>132</v>
      </c>
      <c r="F2" s="1" t="s">
        <v>51</v>
      </c>
      <c r="G2" t="s">
        <v>133</v>
      </c>
      <c r="H2" t="s">
        <v>41</v>
      </c>
      <c r="I2" t="s">
        <v>56</v>
      </c>
      <c r="J2">
        <v>2</v>
      </c>
      <c r="K2">
        <v>6408</v>
      </c>
      <c r="L2" t="s">
        <v>38</v>
      </c>
      <c r="M2">
        <f>_xlfn.XLOOKUP(J2, Sheet1!E:E, Sheet1!I:I, "")*K2</f>
        <v>686.29679999999996</v>
      </c>
      <c r="R2" t="s">
        <v>40</v>
      </c>
      <c r="T2" t="s">
        <v>39</v>
      </c>
      <c r="AI2" t="s">
        <v>43</v>
      </c>
      <c r="AN2">
        <v>0.3</v>
      </c>
      <c r="AO2">
        <v>0.7</v>
      </c>
      <c r="AV2">
        <v>401</v>
      </c>
    </row>
    <row r="3" spans="1:55" x14ac:dyDescent="0.25">
      <c r="A3">
        <v>2</v>
      </c>
      <c r="B3" t="s">
        <v>42</v>
      </c>
      <c r="C3">
        <v>0</v>
      </c>
      <c r="D3" t="s">
        <v>37</v>
      </c>
      <c r="E3" t="s">
        <v>132</v>
      </c>
      <c r="F3" s="1" t="s">
        <v>51</v>
      </c>
      <c r="G3" t="s">
        <v>133</v>
      </c>
      <c r="H3" t="s">
        <v>41</v>
      </c>
      <c r="I3" t="s">
        <v>56</v>
      </c>
      <c r="J3">
        <v>4</v>
      </c>
      <c r="K3">
        <v>801</v>
      </c>
      <c r="L3" t="s">
        <v>38</v>
      </c>
      <c r="M3">
        <f>_xlfn.XLOOKUP(J3, Sheet1!E:E, Sheet1!I:I, "")*K3</f>
        <v>133.44659999999999</v>
      </c>
      <c r="R3" t="s">
        <v>40</v>
      </c>
      <c r="T3" t="s">
        <v>39</v>
      </c>
      <c r="AI3" t="s">
        <v>43</v>
      </c>
      <c r="AN3">
        <v>0.3</v>
      </c>
      <c r="AO3">
        <v>0.7</v>
      </c>
      <c r="AV3">
        <v>401</v>
      </c>
    </row>
    <row r="4" spans="1:55" x14ac:dyDescent="0.25">
      <c r="A4">
        <v>3</v>
      </c>
      <c r="B4" t="s">
        <v>42</v>
      </c>
      <c r="C4">
        <v>0</v>
      </c>
      <c r="D4" t="s">
        <v>37</v>
      </c>
      <c r="E4" t="s">
        <v>132</v>
      </c>
      <c r="F4" s="1" t="s">
        <v>51</v>
      </c>
      <c r="G4" t="s">
        <v>133</v>
      </c>
      <c r="H4" t="s">
        <v>41</v>
      </c>
      <c r="I4" t="s">
        <v>73</v>
      </c>
      <c r="J4">
        <v>1</v>
      </c>
      <c r="K4">
        <v>120</v>
      </c>
      <c r="L4" t="s">
        <v>38</v>
      </c>
      <c r="M4">
        <f>_xlfn.XLOOKUP(J4, Sheet1!E:E, Sheet1!I:I, "")*K4</f>
        <v>9.9960000000000004</v>
      </c>
      <c r="R4" t="s">
        <v>40</v>
      </c>
      <c r="T4" t="s">
        <v>39</v>
      </c>
      <c r="AI4" t="s">
        <v>43</v>
      </c>
      <c r="AN4">
        <v>0.3</v>
      </c>
      <c r="AO4">
        <v>0.7</v>
      </c>
      <c r="AV4">
        <v>401</v>
      </c>
    </row>
    <row r="5" spans="1:55" x14ac:dyDescent="0.25">
      <c r="A5">
        <v>4</v>
      </c>
      <c r="B5" t="s">
        <v>42</v>
      </c>
      <c r="C5">
        <v>0</v>
      </c>
      <c r="D5" t="s">
        <v>37</v>
      </c>
      <c r="E5" t="s">
        <v>134</v>
      </c>
      <c r="F5" s="1" t="s">
        <v>51</v>
      </c>
      <c r="G5" t="s">
        <v>133</v>
      </c>
      <c r="H5" t="s">
        <v>41</v>
      </c>
      <c r="I5" t="s">
        <v>57</v>
      </c>
      <c r="J5">
        <v>6</v>
      </c>
      <c r="K5">
        <v>1344</v>
      </c>
      <c r="L5" t="s">
        <v>38</v>
      </c>
      <c r="M5">
        <f>_xlfn.XLOOKUP(J5, Sheet1!E:E, Sheet1!I:I, "")*K5</f>
        <v>319.87199999999996</v>
      </c>
      <c r="R5" t="s">
        <v>40</v>
      </c>
      <c r="T5" t="s">
        <v>39</v>
      </c>
      <c r="AI5" t="s">
        <v>75</v>
      </c>
      <c r="AN5">
        <v>0.3</v>
      </c>
      <c r="AO5">
        <v>0.7</v>
      </c>
      <c r="AV5">
        <v>402</v>
      </c>
    </row>
    <row r="6" spans="1:55" x14ac:dyDescent="0.25">
      <c r="A6">
        <v>5</v>
      </c>
      <c r="B6" t="s">
        <v>42</v>
      </c>
      <c r="C6">
        <v>0</v>
      </c>
      <c r="D6" t="s">
        <v>37</v>
      </c>
      <c r="E6" t="s">
        <v>134</v>
      </c>
      <c r="F6" s="1" t="s">
        <v>51</v>
      </c>
      <c r="G6" t="s">
        <v>133</v>
      </c>
      <c r="H6" t="s">
        <v>41</v>
      </c>
      <c r="I6" t="s">
        <v>57</v>
      </c>
      <c r="J6">
        <v>4</v>
      </c>
      <c r="K6">
        <v>3360</v>
      </c>
      <c r="L6" t="s">
        <v>38</v>
      </c>
      <c r="M6">
        <f>_xlfn.XLOOKUP(J6, Sheet1!E:E, Sheet1!I:I, "")*K6</f>
        <v>559.77599999999995</v>
      </c>
      <c r="R6" t="s">
        <v>40</v>
      </c>
      <c r="T6" t="s">
        <v>39</v>
      </c>
      <c r="AI6" t="s">
        <v>75</v>
      </c>
      <c r="AN6">
        <v>0.3</v>
      </c>
      <c r="AO6">
        <v>0.7</v>
      </c>
      <c r="AV6">
        <v>402</v>
      </c>
    </row>
    <row r="7" spans="1:55" x14ac:dyDescent="0.25">
      <c r="A7">
        <v>6</v>
      </c>
      <c r="B7" t="s">
        <v>42</v>
      </c>
      <c r="C7">
        <v>0</v>
      </c>
      <c r="D7" t="s">
        <v>37</v>
      </c>
      <c r="E7" t="s">
        <v>134</v>
      </c>
      <c r="F7" s="1" t="s">
        <v>51</v>
      </c>
      <c r="G7" t="s">
        <v>133</v>
      </c>
      <c r="H7" t="s">
        <v>41</v>
      </c>
      <c r="I7" t="s">
        <v>57</v>
      </c>
      <c r="J7">
        <v>2</v>
      </c>
      <c r="K7">
        <v>6048</v>
      </c>
      <c r="L7" t="s">
        <v>38</v>
      </c>
      <c r="M7">
        <f>_xlfn.XLOOKUP(J7, Sheet1!E:E, Sheet1!I:I, "")*K7</f>
        <v>647.74079999999992</v>
      </c>
      <c r="R7" t="s">
        <v>40</v>
      </c>
      <c r="T7" t="s">
        <v>39</v>
      </c>
      <c r="AI7" t="s">
        <v>75</v>
      </c>
      <c r="AN7">
        <v>0.3</v>
      </c>
      <c r="AO7">
        <v>0.7</v>
      </c>
      <c r="AV7">
        <v>402</v>
      </c>
    </row>
    <row r="8" spans="1:55" x14ac:dyDescent="0.25">
      <c r="A8">
        <v>7</v>
      </c>
      <c r="B8" t="s">
        <v>42</v>
      </c>
      <c r="C8">
        <v>0</v>
      </c>
      <c r="D8" t="s">
        <v>37</v>
      </c>
      <c r="E8" t="s">
        <v>134</v>
      </c>
      <c r="F8" s="1" t="s">
        <v>51</v>
      </c>
      <c r="G8" t="s">
        <v>133</v>
      </c>
      <c r="H8" t="s">
        <v>41</v>
      </c>
      <c r="I8" t="s">
        <v>59</v>
      </c>
      <c r="J8">
        <v>6</v>
      </c>
      <c r="K8">
        <v>320</v>
      </c>
      <c r="L8" t="s">
        <v>38</v>
      </c>
      <c r="M8">
        <f>_xlfn.XLOOKUP(J8, Sheet1!E:E, Sheet1!I:I, "")*K8</f>
        <v>76.16</v>
      </c>
      <c r="R8" t="s">
        <v>40</v>
      </c>
      <c r="T8" t="s">
        <v>39</v>
      </c>
      <c r="AI8" t="s">
        <v>58</v>
      </c>
      <c r="AN8">
        <v>0.3</v>
      </c>
      <c r="AO8">
        <v>0.7</v>
      </c>
      <c r="AV8">
        <v>403</v>
      </c>
    </row>
    <row r="9" spans="1:55" x14ac:dyDescent="0.25">
      <c r="A9">
        <v>8</v>
      </c>
      <c r="B9" t="s">
        <v>42</v>
      </c>
      <c r="C9">
        <v>0</v>
      </c>
      <c r="D9" t="s">
        <v>37</v>
      </c>
      <c r="E9" t="s">
        <v>134</v>
      </c>
      <c r="F9" s="1" t="s">
        <v>51</v>
      </c>
      <c r="G9" t="s">
        <v>133</v>
      </c>
      <c r="H9" t="s">
        <v>41</v>
      </c>
      <c r="I9" t="s">
        <v>59</v>
      </c>
      <c r="J9">
        <v>4</v>
      </c>
      <c r="K9">
        <v>800</v>
      </c>
      <c r="L9" t="s">
        <v>38</v>
      </c>
      <c r="M9">
        <f>_xlfn.XLOOKUP(J9, Sheet1!E:E, Sheet1!I:I, "")*K9</f>
        <v>133.28</v>
      </c>
      <c r="R9" t="s">
        <v>40</v>
      </c>
      <c r="T9" t="s">
        <v>39</v>
      </c>
      <c r="AI9" t="s">
        <v>58</v>
      </c>
      <c r="AN9">
        <v>0.3</v>
      </c>
      <c r="AO9">
        <v>0.7</v>
      </c>
      <c r="AV9">
        <v>401</v>
      </c>
    </row>
    <row r="10" spans="1:55" x14ac:dyDescent="0.25">
      <c r="A10">
        <v>9</v>
      </c>
      <c r="B10" t="s">
        <v>42</v>
      </c>
      <c r="C10">
        <v>0</v>
      </c>
      <c r="D10" t="s">
        <v>37</v>
      </c>
      <c r="E10" t="s">
        <v>134</v>
      </c>
      <c r="F10" s="1" t="s">
        <v>51</v>
      </c>
      <c r="G10" t="s">
        <v>133</v>
      </c>
      <c r="H10" t="s">
        <v>41</v>
      </c>
      <c r="I10" t="s">
        <v>59</v>
      </c>
      <c r="J10">
        <v>2</v>
      </c>
      <c r="K10">
        <v>1440</v>
      </c>
      <c r="L10" t="s">
        <v>38</v>
      </c>
      <c r="M10">
        <f>_xlfn.XLOOKUP(J10, Sheet1!E:E, Sheet1!I:I, "")*K10</f>
        <v>154.22399999999999</v>
      </c>
      <c r="R10" t="s">
        <v>40</v>
      </c>
      <c r="T10" t="s">
        <v>39</v>
      </c>
      <c r="AI10" t="s">
        <v>58</v>
      </c>
      <c r="AN10">
        <v>0.3</v>
      </c>
      <c r="AO10">
        <v>0.7</v>
      </c>
      <c r="AV10">
        <v>401</v>
      </c>
    </row>
    <row r="11" spans="1:55" x14ac:dyDescent="0.25">
      <c r="A11">
        <v>10</v>
      </c>
      <c r="B11" t="s">
        <v>42</v>
      </c>
      <c r="C11">
        <v>0</v>
      </c>
      <c r="D11" t="s">
        <v>37</v>
      </c>
      <c r="E11" t="s">
        <v>135</v>
      </c>
      <c r="F11" s="1" t="s">
        <v>51</v>
      </c>
      <c r="G11" t="s">
        <v>133</v>
      </c>
      <c r="H11" t="s">
        <v>41</v>
      </c>
      <c r="I11" t="s">
        <v>61</v>
      </c>
      <c r="J11">
        <v>6</v>
      </c>
      <c r="K11">
        <v>272</v>
      </c>
      <c r="L11" t="s">
        <v>38</v>
      </c>
      <c r="M11">
        <f>_xlfn.XLOOKUP(J11, Sheet1!E:E, Sheet1!I:I, "")*K11</f>
        <v>64.73599999999999</v>
      </c>
      <c r="R11" t="s">
        <v>40</v>
      </c>
      <c r="T11" t="s">
        <v>39</v>
      </c>
      <c r="AI11" t="s">
        <v>60</v>
      </c>
      <c r="AN11">
        <v>0.3</v>
      </c>
      <c r="AO11">
        <v>0.7</v>
      </c>
      <c r="AV11">
        <v>401</v>
      </c>
    </row>
    <row r="12" spans="1:55" x14ac:dyDescent="0.25">
      <c r="A12">
        <v>11</v>
      </c>
      <c r="B12" t="s">
        <v>42</v>
      </c>
      <c r="C12">
        <v>0</v>
      </c>
      <c r="D12" t="s">
        <v>37</v>
      </c>
      <c r="E12" t="s">
        <v>134</v>
      </c>
      <c r="F12" s="1" t="s">
        <v>51</v>
      </c>
      <c r="G12" t="s">
        <v>136</v>
      </c>
      <c r="H12" t="s">
        <v>41</v>
      </c>
      <c r="I12" t="s">
        <v>63</v>
      </c>
      <c r="J12">
        <v>6</v>
      </c>
      <c r="K12">
        <v>440</v>
      </c>
      <c r="L12" t="s">
        <v>38</v>
      </c>
      <c r="M12">
        <f>_xlfn.XLOOKUP(J12, Sheet1!E:E, Sheet1!I:I, "")*K12</f>
        <v>104.72</v>
      </c>
      <c r="R12" t="s">
        <v>40</v>
      </c>
      <c r="T12" t="s">
        <v>39</v>
      </c>
      <c r="AI12" t="s">
        <v>62</v>
      </c>
      <c r="AN12">
        <v>0.3</v>
      </c>
      <c r="AO12">
        <v>0.7</v>
      </c>
      <c r="AV12">
        <v>402</v>
      </c>
    </row>
    <row r="13" spans="1:55" x14ac:dyDescent="0.25">
      <c r="A13">
        <v>12</v>
      </c>
      <c r="B13" t="s">
        <v>42</v>
      </c>
      <c r="C13">
        <v>0</v>
      </c>
      <c r="D13" t="s">
        <v>37</v>
      </c>
      <c r="E13" t="s">
        <v>134</v>
      </c>
      <c r="F13" s="1" t="s">
        <v>51</v>
      </c>
      <c r="G13" t="s">
        <v>136</v>
      </c>
      <c r="H13" t="s">
        <v>41</v>
      </c>
      <c r="I13" t="s">
        <v>63</v>
      </c>
      <c r="J13">
        <v>4</v>
      </c>
      <c r="K13">
        <v>1100</v>
      </c>
      <c r="L13" t="s">
        <v>38</v>
      </c>
      <c r="M13">
        <f>_xlfn.XLOOKUP(J13, Sheet1!E:E, Sheet1!I:I, "")*K13</f>
        <v>183.26</v>
      </c>
      <c r="R13" t="s">
        <v>40</v>
      </c>
      <c r="T13" t="s">
        <v>39</v>
      </c>
      <c r="AI13" t="s">
        <v>62</v>
      </c>
      <c r="AN13">
        <v>0.3</v>
      </c>
      <c r="AO13">
        <v>0.7</v>
      </c>
      <c r="AV13">
        <v>402</v>
      </c>
    </row>
    <row r="14" spans="1:55" x14ac:dyDescent="0.25">
      <c r="A14">
        <v>13</v>
      </c>
      <c r="B14" t="s">
        <v>42</v>
      </c>
      <c r="C14">
        <v>0</v>
      </c>
      <c r="D14" t="s">
        <v>37</v>
      </c>
      <c r="E14" t="s">
        <v>134</v>
      </c>
      <c r="F14" s="1" t="s">
        <v>51</v>
      </c>
      <c r="G14" t="s">
        <v>136</v>
      </c>
      <c r="H14" t="s">
        <v>41</v>
      </c>
      <c r="I14" t="s">
        <v>63</v>
      </c>
      <c r="J14">
        <v>2</v>
      </c>
      <c r="K14">
        <v>1980</v>
      </c>
      <c r="L14" t="s">
        <v>38</v>
      </c>
      <c r="M14">
        <f>_xlfn.XLOOKUP(J14, Sheet1!E:E, Sheet1!I:I, "")*K14</f>
        <v>212.05799999999996</v>
      </c>
      <c r="R14" t="s">
        <v>40</v>
      </c>
      <c r="T14" t="s">
        <v>39</v>
      </c>
      <c r="AI14" t="s">
        <v>62</v>
      </c>
      <c r="AN14">
        <v>0.3</v>
      </c>
      <c r="AO14">
        <v>0.7</v>
      </c>
      <c r="AV14">
        <v>402</v>
      </c>
    </row>
    <row r="15" spans="1:55" x14ac:dyDescent="0.25">
      <c r="A15">
        <v>14</v>
      </c>
      <c r="B15" t="s">
        <v>42</v>
      </c>
      <c r="C15">
        <v>0</v>
      </c>
      <c r="D15" t="s">
        <v>37</v>
      </c>
      <c r="E15" t="s">
        <v>135</v>
      </c>
      <c r="F15" s="1" t="s">
        <v>51</v>
      </c>
      <c r="G15" t="s">
        <v>136</v>
      </c>
      <c r="H15" t="s">
        <v>41</v>
      </c>
      <c r="I15" t="s">
        <v>65</v>
      </c>
      <c r="J15">
        <v>6</v>
      </c>
      <c r="K15">
        <v>272</v>
      </c>
      <c r="L15" t="s">
        <v>38</v>
      </c>
      <c r="M15">
        <f>_xlfn.XLOOKUP(J15, Sheet1!E:E, Sheet1!I:I, "")*K15</f>
        <v>64.73599999999999</v>
      </c>
      <c r="R15" t="s">
        <v>40</v>
      </c>
      <c r="T15" t="s">
        <v>39</v>
      </c>
      <c r="AI15" t="s">
        <v>64</v>
      </c>
      <c r="AN15">
        <v>0.3</v>
      </c>
      <c r="AO15">
        <v>0.7</v>
      </c>
      <c r="AV15">
        <v>402</v>
      </c>
    </row>
    <row r="16" spans="1:55" x14ac:dyDescent="0.25">
      <c r="A16">
        <v>15</v>
      </c>
      <c r="B16" t="s">
        <v>68</v>
      </c>
      <c r="C16">
        <v>0</v>
      </c>
      <c r="D16" t="s">
        <v>37</v>
      </c>
      <c r="E16" t="s">
        <v>134</v>
      </c>
      <c r="F16" s="1" t="s">
        <v>51</v>
      </c>
      <c r="G16" t="s">
        <v>137</v>
      </c>
      <c r="H16" t="s">
        <v>41</v>
      </c>
      <c r="I16" t="s">
        <v>67</v>
      </c>
      <c r="J16">
        <v>6</v>
      </c>
      <c r="K16">
        <v>1038</v>
      </c>
      <c r="L16" t="s">
        <v>38</v>
      </c>
      <c r="M16">
        <f>_xlfn.XLOOKUP(J16, Sheet1!E:E, Sheet1!I:I, "")*K16</f>
        <v>247.04399999999998</v>
      </c>
      <c r="R16" t="s">
        <v>40</v>
      </c>
      <c r="T16" t="s">
        <v>39</v>
      </c>
      <c r="AI16" t="s">
        <v>66</v>
      </c>
      <c r="AN16">
        <v>0.3</v>
      </c>
      <c r="AO16">
        <v>0.7</v>
      </c>
      <c r="AV16">
        <v>403</v>
      </c>
    </row>
    <row r="17" spans="1:48" x14ac:dyDescent="0.25">
      <c r="A17">
        <v>16</v>
      </c>
      <c r="B17" t="s">
        <v>68</v>
      </c>
      <c r="C17">
        <v>0</v>
      </c>
      <c r="D17" t="s">
        <v>37</v>
      </c>
      <c r="E17" t="s">
        <v>134</v>
      </c>
      <c r="F17" s="1" t="s">
        <v>51</v>
      </c>
      <c r="G17" t="s">
        <v>137</v>
      </c>
      <c r="H17" t="s">
        <v>41</v>
      </c>
      <c r="I17" t="s">
        <v>67</v>
      </c>
      <c r="J17">
        <v>4</v>
      </c>
      <c r="K17">
        <v>1384</v>
      </c>
      <c r="L17" t="s">
        <v>38</v>
      </c>
      <c r="M17">
        <f>_xlfn.XLOOKUP(J17, Sheet1!E:E, Sheet1!I:I, "")*K17</f>
        <v>230.5744</v>
      </c>
      <c r="R17" t="s">
        <v>40</v>
      </c>
      <c r="T17" t="s">
        <v>39</v>
      </c>
      <c r="AI17" t="s">
        <v>66</v>
      </c>
      <c r="AN17">
        <v>0.3</v>
      </c>
      <c r="AO17">
        <v>0.7</v>
      </c>
      <c r="AV17">
        <v>403</v>
      </c>
    </row>
    <row r="18" spans="1:48" x14ac:dyDescent="0.25">
      <c r="A18">
        <v>17</v>
      </c>
      <c r="B18" t="s">
        <v>68</v>
      </c>
      <c r="C18">
        <v>0</v>
      </c>
      <c r="D18" t="s">
        <v>37</v>
      </c>
      <c r="E18" t="s">
        <v>134</v>
      </c>
      <c r="F18" s="1" t="s">
        <v>51</v>
      </c>
      <c r="G18" t="s">
        <v>137</v>
      </c>
      <c r="H18" t="s">
        <v>41</v>
      </c>
      <c r="I18" t="s">
        <v>67</v>
      </c>
      <c r="J18">
        <v>2</v>
      </c>
      <c r="K18">
        <v>2768</v>
      </c>
      <c r="L18" t="s">
        <v>38</v>
      </c>
      <c r="M18">
        <f>_xlfn.XLOOKUP(J18, Sheet1!E:E, Sheet1!I:I, "")*K18</f>
        <v>296.45279999999997</v>
      </c>
      <c r="R18" t="s">
        <v>40</v>
      </c>
      <c r="T18" t="s">
        <v>39</v>
      </c>
      <c r="AI18" t="s">
        <v>66</v>
      </c>
      <c r="AN18">
        <v>0.3</v>
      </c>
      <c r="AO18">
        <v>0.7</v>
      </c>
      <c r="AV18">
        <v>403</v>
      </c>
    </row>
    <row r="19" spans="1:48" x14ac:dyDescent="0.25">
      <c r="A19">
        <v>18</v>
      </c>
      <c r="B19" t="s">
        <v>68</v>
      </c>
      <c r="C19">
        <v>0</v>
      </c>
      <c r="D19" t="s">
        <v>37</v>
      </c>
      <c r="E19" t="s">
        <v>134</v>
      </c>
      <c r="F19" s="1" t="s">
        <v>51</v>
      </c>
      <c r="G19" t="s">
        <v>137</v>
      </c>
      <c r="H19" t="s">
        <v>41</v>
      </c>
      <c r="I19" t="s">
        <v>67</v>
      </c>
      <c r="J19">
        <v>6</v>
      </c>
      <c r="K19">
        <v>462</v>
      </c>
      <c r="L19" t="s">
        <v>38</v>
      </c>
      <c r="M19">
        <f>_xlfn.XLOOKUP(J19, Sheet1!E:E, Sheet1!I:I, "")*K19</f>
        <v>109.95599999999999</v>
      </c>
      <c r="R19" t="s">
        <v>40</v>
      </c>
      <c r="T19" t="s">
        <v>39</v>
      </c>
      <c r="AI19" t="s">
        <v>69</v>
      </c>
      <c r="AN19">
        <v>0.3</v>
      </c>
      <c r="AO19">
        <v>0.7</v>
      </c>
      <c r="AV19">
        <v>403</v>
      </c>
    </row>
    <row r="20" spans="1:48" x14ac:dyDescent="0.25">
      <c r="A20">
        <v>19</v>
      </c>
      <c r="B20" t="s">
        <v>68</v>
      </c>
      <c r="C20">
        <v>0</v>
      </c>
      <c r="D20" t="s">
        <v>37</v>
      </c>
      <c r="E20" t="s">
        <v>134</v>
      </c>
      <c r="F20" s="1" t="s">
        <v>51</v>
      </c>
      <c r="G20" t="s">
        <v>137</v>
      </c>
      <c r="H20" t="s">
        <v>41</v>
      </c>
      <c r="I20" t="s">
        <v>67</v>
      </c>
      <c r="J20">
        <v>4</v>
      </c>
      <c r="K20">
        <v>616</v>
      </c>
      <c r="L20" t="s">
        <v>38</v>
      </c>
      <c r="M20">
        <f>_xlfn.XLOOKUP(J20, Sheet1!E:E, Sheet1!I:I, "")*K20</f>
        <v>102.62560000000001</v>
      </c>
      <c r="R20" t="s">
        <v>40</v>
      </c>
      <c r="T20" t="s">
        <v>39</v>
      </c>
      <c r="AI20" t="s">
        <v>69</v>
      </c>
      <c r="AN20">
        <v>0.3</v>
      </c>
      <c r="AO20">
        <v>0.7</v>
      </c>
      <c r="AV20">
        <v>403</v>
      </c>
    </row>
    <row r="21" spans="1:48" x14ac:dyDescent="0.25">
      <c r="A21">
        <v>20</v>
      </c>
      <c r="B21" t="s">
        <v>68</v>
      </c>
      <c r="C21">
        <v>0</v>
      </c>
      <c r="D21" t="s">
        <v>37</v>
      </c>
      <c r="E21" t="s">
        <v>134</v>
      </c>
      <c r="F21" s="1" t="s">
        <v>51</v>
      </c>
      <c r="G21" t="s">
        <v>137</v>
      </c>
      <c r="H21" t="s">
        <v>41</v>
      </c>
      <c r="I21" t="s">
        <v>67</v>
      </c>
      <c r="J21">
        <v>2</v>
      </c>
      <c r="K21">
        <v>1232</v>
      </c>
      <c r="L21" t="s">
        <v>38</v>
      </c>
      <c r="M21">
        <f>_xlfn.XLOOKUP(J21, Sheet1!E:E, Sheet1!I:I, "")*K21</f>
        <v>131.94719999999998</v>
      </c>
      <c r="R21" t="s">
        <v>40</v>
      </c>
      <c r="T21" t="s">
        <v>39</v>
      </c>
      <c r="AI21" t="s">
        <v>69</v>
      </c>
      <c r="AN21">
        <v>0.3</v>
      </c>
      <c r="AO21">
        <v>0.7</v>
      </c>
      <c r="AV21">
        <v>403</v>
      </c>
    </row>
    <row r="22" spans="1:48" x14ac:dyDescent="0.25">
      <c r="A22">
        <v>21</v>
      </c>
      <c r="B22" t="s">
        <v>68</v>
      </c>
      <c r="C22">
        <v>0</v>
      </c>
      <c r="D22" t="s">
        <v>37</v>
      </c>
      <c r="E22" t="s">
        <v>135</v>
      </c>
      <c r="F22" s="1" t="s">
        <v>51</v>
      </c>
      <c r="G22" t="s">
        <v>137</v>
      </c>
      <c r="H22" t="s">
        <v>41</v>
      </c>
      <c r="I22" t="s">
        <v>130</v>
      </c>
      <c r="J22">
        <v>6</v>
      </c>
      <c r="K22">
        <v>136</v>
      </c>
      <c r="L22" t="s">
        <v>38</v>
      </c>
      <c r="M22">
        <f>_xlfn.XLOOKUP(J22, Sheet1!E:E, Sheet1!I:I, "")*K22</f>
        <v>32.367999999999995</v>
      </c>
      <c r="R22" t="s">
        <v>40</v>
      </c>
      <c r="T22" t="s">
        <v>39</v>
      </c>
      <c r="AI22" t="s">
        <v>70</v>
      </c>
      <c r="AN22">
        <v>0.3</v>
      </c>
      <c r="AO22">
        <v>0.7</v>
      </c>
      <c r="AV22">
        <v>403</v>
      </c>
    </row>
    <row r="23" spans="1:48" x14ac:dyDescent="0.25">
      <c r="A23">
        <v>22</v>
      </c>
      <c r="B23" t="s">
        <v>68</v>
      </c>
      <c r="C23">
        <v>0</v>
      </c>
      <c r="D23" t="s">
        <v>37</v>
      </c>
      <c r="E23" t="s">
        <v>135</v>
      </c>
      <c r="F23" s="1" t="s">
        <v>51</v>
      </c>
      <c r="G23" t="s">
        <v>137</v>
      </c>
      <c r="H23" t="s">
        <v>41</v>
      </c>
      <c r="I23" t="s">
        <v>130</v>
      </c>
      <c r="J23">
        <v>4</v>
      </c>
      <c r="K23">
        <v>340</v>
      </c>
      <c r="L23" t="s">
        <v>38</v>
      </c>
      <c r="M23">
        <f>_xlfn.XLOOKUP(J23, Sheet1!E:E, Sheet1!I:I, "")*K23</f>
        <v>56.643999999999998</v>
      </c>
      <c r="R23" t="s">
        <v>40</v>
      </c>
      <c r="T23" t="s">
        <v>39</v>
      </c>
      <c r="AI23" t="s">
        <v>70</v>
      </c>
      <c r="AN23">
        <v>0.3</v>
      </c>
      <c r="AO23">
        <v>0.7</v>
      </c>
      <c r="AV23">
        <v>403</v>
      </c>
    </row>
    <row r="24" spans="1:48" x14ac:dyDescent="0.25">
      <c r="A24">
        <v>23</v>
      </c>
      <c r="B24" t="s">
        <v>68</v>
      </c>
      <c r="C24">
        <v>0</v>
      </c>
      <c r="D24" t="s">
        <v>37</v>
      </c>
      <c r="E24" t="s">
        <v>135</v>
      </c>
      <c r="F24" s="1" t="s">
        <v>51</v>
      </c>
      <c r="G24" t="s">
        <v>137</v>
      </c>
      <c r="H24" t="s">
        <v>41</v>
      </c>
      <c r="I24" t="s">
        <v>130</v>
      </c>
      <c r="J24">
        <v>2</v>
      </c>
      <c r="K24">
        <v>612</v>
      </c>
      <c r="L24" t="s">
        <v>38</v>
      </c>
      <c r="M24">
        <f>_xlfn.XLOOKUP(J24, Sheet1!E:E, Sheet1!I:I, "")*K24</f>
        <v>65.545199999999994</v>
      </c>
      <c r="R24" t="s">
        <v>40</v>
      </c>
      <c r="T24" t="s">
        <v>39</v>
      </c>
      <c r="AI24" t="s">
        <v>70</v>
      </c>
      <c r="AN24">
        <v>0.3</v>
      </c>
      <c r="AO24">
        <v>0.7</v>
      </c>
      <c r="AV24">
        <v>403</v>
      </c>
    </row>
    <row r="25" spans="1:48" x14ac:dyDescent="0.25">
      <c r="A25">
        <v>24</v>
      </c>
      <c r="B25" t="s">
        <v>72</v>
      </c>
      <c r="C25">
        <v>0</v>
      </c>
      <c r="D25" t="s">
        <v>37</v>
      </c>
      <c r="E25" t="s">
        <v>134</v>
      </c>
      <c r="F25" s="1" t="s">
        <v>51</v>
      </c>
      <c r="G25" t="s">
        <v>138</v>
      </c>
      <c r="H25" t="s">
        <v>41</v>
      </c>
      <c r="I25" t="s">
        <v>57</v>
      </c>
      <c r="J25">
        <v>6</v>
      </c>
      <c r="K25">
        <v>280</v>
      </c>
      <c r="L25" t="s">
        <v>38</v>
      </c>
      <c r="M25">
        <f>_xlfn.XLOOKUP(J25, Sheet1!E:E, Sheet1!I:I, "")*K25</f>
        <v>66.64</v>
      </c>
      <c r="R25" t="s">
        <v>40</v>
      </c>
      <c r="T25" t="s">
        <v>39</v>
      </c>
      <c r="AI25" t="s">
        <v>71</v>
      </c>
      <c r="AN25">
        <v>0.3</v>
      </c>
      <c r="AO25">
        <v>0.7</v>
      </c>
      <c r="AV25">
        <v>404</v>
      </c>
    </row>
    <row r="26" spans="1:48" x14ac:dyDescent="0.25">
      <c r="A26">
        <v>25</v>
      </c>
      <c r="B26" t="s">
        <v>72</v>
      </c>
      <c r="C26">
        <v>0</v>
      </c>
      <c r="D26" t="s">
        <v>37</v>
      </c>
      <c r="E26" t="s">
        <v>134</v>
      </c>
      <c r="F26" s="1" t="s">
        <v>51</v>
      </c>
      <c r="G26" t="s">
        <v>138</v>
      </c>
      <c r="H26" t="s">
        <v>41</v>
      </c>
      <c r="I26" t="s">
        <v>57</v>
      </c>
      <c r="J26">
        <v>4</v>
      </c>
      <c r="K26">
        <v>700</v>
      </c>
      <c r="L26" t="s">
        <v>38</v>
      </c>
      <c r="M26">
        <f>_xlfn.XLOOKUP(J26, Sheet1!E:E, Sheet1!I:I, "")*K26</f>
        <v>116.62</v>
      </c>
      <c r="R26" t="s">
        <v>40</v>
      </c>
      <c r="T26" t="s">
        <v>39</v>
      </c>
      <c r="AI26" t="s">
        <v>71</v>
      </c>
      <c r="AN26">
        <v>0.3</v>
      </c>
      <c r="AO26">
        <v>0.7</v>
      </c>
      <c r="AV26">
        <v>404</v>
      </c>
    </row>
    <row r="27" spans="1:48" x14ac:dyDescent="0.25">
      <c r="A27">
        <v>26</v>
      </c>
      <c r="B27" t="s">
        <v>72</v>
      </c>
      <c r="C27">
        <v>0</v>
      </c>
      <c r="D27" t="s">
        <v>37</v>
      </c>
      <c r="E27" t="s">
        <v>134</v>
      </c>
      <c r="F27" s="1" t="s">
        <v>51</v>
      </c>
      <c r="G27" t="s">
        <v>138</v>
      </c>
      <c r="H27" t="s">
        <v>41</v>
      </c>
      <c r="I27" t="s">
        <v>57</v>
      </c>
      <c r="J27">
        <v>2</v>
      </c>
      <c r="K27">
        <v>1260</v>
      </c>
      <c r="L27" t="s">
        <v>38</v>
      </c>
      <c r="M27">
        <f>_xlfn.XLOOKUP(J27, Sheet1!E:E, Sheet1!I:I, "")*K27</f>
        <v>134.94599999999997</v>
      </c>
      <c r="R27" t="s">
        <v>40</v>
      </c>
      <c r="T27" t="s">
        <v>39</v>
      </c>
      <c r="AI27" t="s">
        <v>71</v>
      </c>
      <c r="AN27">
        <v>0.3</v>
      </c>
      <c r="AO27">
        <v>0.7</v>
      </c>
      <c r="AV27">
        <v>404</v>
      </c>
    </row>
    <row r="28" spans="1:48" x14ac:dyDescent="0.25">
      <c r="A28">
        <v>27</v>
      </c>
      <c r="B28" t="s">
        <v>131</v>
      </c>
      <c r="C28">
        <v>0</v>
      </c>
      <c r="D28" t="s">
        <v>37</v>
      </c>
      <c r="E28" t="s">
        <v>132</v>
      </c>
      <c r="F28" s="1" t="s">
        <v>51</v>
      </c>
      <c r="G28" t="s">
        <v>133</v>
      </c>
      <c r="H28" t="s">
        <v>41</v>
      </c>
      <c r="I28" t="s">
        <v>56</v>
      </c>
      <c r="J28">
        <v>4</v>
      </c>
      <c r="K28">
        <v>90</v>
      </c>
      <c r="L28" t="s">
        <v>38</v>
      </c>
      <c r="M28">
        <f>_xlfn.XLOOKUP(J28, Sheet1!E:E, Sheet1!I:I, "")*K28</f>
        <v>14.994</v>
      </c>
      <c r="R28" t="s">
        <v>40</v>
      </c>
      <c r="T28" t="s">
        <v>39</v>
      </c>
      <c r="AI28" t="s">
        <v>43</v>
      </c>
      <c r="AN28">
        <v>0.3</v>
      </c>
      <c r="AO28">
        <v>0.7</v>
      </c>
      <c r="AV28">
        <v>404</v>
      </c>
    </row>
    <row r="29" spans="1:48" x14ac:dyDescent="0.25">
      <c r="A29">
        <v>28</v>
      </c>
      <c r="B29" t="s">
        <v>131</v>
      </c>
      <c r="C29">
        <v>0</v>
      </c>
      <c r="D29" t="s">
        <v>37</v>
      </c>
      <c r="E29" t="s">
        <v>132</v>
      </c>
      <c r="F29" s="1" t="s">
        <v>51</v>
      </c>
      <c r="G29" t="s">
        <v>133</v>
      </c>
      <c r="H29" t="s">
        <v>41</v>
      </c>
      <c r="I29" t="s">
        <v>56</v>
      </c>
      <c r="J29">
        <v>2</v>
      </c>
      <c r="K29">
        <v>720</v>
      </c>
      <c r="L29" t="s">
        <v>38</v>
      </c>
      <c r="M29">
        <f>_xlfn.XLOOKUP(J29, Sheet1!E:E, Sheet1!I:I, "")*K29</f>
        <v>77.111999999999995</v>
      </c>
      <c r="R29" t="s">
        <v>40</v>
      </c>
      <c r="T29" t="s">
        <v>39</v>
      </c>
      <c r="AI29" t="s">
        <v>43</v>
      </c>
      <c r="AN29">
        <v>0.3</v>
      </c>
      <c r="AO29">
        <v>0.7</v>
      </c>
      <c r="AV29">
        <v>404</v>
      </c>
    </row>
    <row r="30" spans="1:48" x14ac:dyDescent="0.25">
      <c r="A30">
        <v>29</v>
      </c>
      <c r="B30" t="s">
        <v>96</v>
      </c>
      <c r="C30">
        <v>0</v>
      </c>
      <c r="D30" t="s">
        <v>37</v>
      </c>
      <c r="F30" s="1" t="s">
        <v>95</v>
      </c>
      <c r="H30" t="s">
        <v>97</v>
      </c>
      <c r="I30" t="s">
        <v>98</v>
      </c>
      <c r="K30">
        <v>206.48</v>
      </c>
      <c r="L30" t="s">
        <v>38</v>
      </c>
      <c r="M30">
        <f>K30*Sheet1!I6</f>
        <v>56.988480000000003</v>
      </c>
      <c r="R30" t="s">
        <v>100</v>
      </c>
      <c r="T30" t="s">
        <v>101</v>
      </c>
      <c r="V30" t="s">
        <v>102</v>
      </c>
      <c r="AI30" t="s">
        <v>99</v>
      </c>
      <c r="AN30">
        <v>0.3</v>
      </c>
      <c r="AO30">
        <v>0.5</v>
      </c>
      <c r="AP30">
        <v>0.2</v>
      </c>
      <c r="AV30">
        <v>200</v>
      </c>
    </row>
    <row r="31" spans="1:48" x14ac:dyDescent="0.25">
      <c r="A31">
        <v>30</v>
      </c>
      <c r="B31" t="s">
        <v>104</v>
      </c>
      <c r="C31">
        <v>0</v>
      </c>
      <c r="D31" t="s">
        <v>37</v>
      </c>
      <c r="F31" s="1" t="s">
        <v>95</v>
      </c>
      <c r="H31" t="s">
        <v>97</v>
      </c>
      <c r="I31" t="s">
        <v>98</v>
      </c>
      <c r="K31">
        <v>727.55</v>
      </c>
      <c r="L31" t="s">
        <v>38</v>
      </c>
      <c r="M31">
        <f>K31*Sheet1!I6</f>
        <v>200.8038</v>
      </c>
      <c r="R31" t="s">
        <v>100</v>
      </c>
      <c r="T31" t="s">
        <v>101</v>
      </c>
      <c r="V31" t="s">
        <v>102</v>
      </c>
      <c r="AI31" t="s">
        <v>103</v>
      </c>
      <c r="AN31">
        <v>0.3</v>
      </c>
      <c r="AO31">
        <v>0.5</v>
      </c>
      <c r="AP31">
        <v>0.2</v>
      </c>
      <c r="AV31">
        <v>200</v>
      </c>
    </row>
    <row r="32" spans="1:48" x14ac:dyDescent="0.25">
      <c r="A32">
        <v>31</v>
      </c>
      <c r="B32" t="s">
        <v>106</v>
      </c>
      <c r="C32">
        <v>0</v>
      </c>
      <c r="D32" t="s">
        <v>37</v>
      </c>
      <c r="F32" s="1" t="s">
        <v>95</v>
      </c>
      <c r="H32" t="s">
        <v>97</v>
      </c>
      <c r="I32" t="s">
        <v>98</v>
      </c>
      <c r="K32">
        <v>613.1</v>
      </c>
      <c r="L32" t="s">
        <v>38</v>
      </c>
      <c r="M32">
        <f>K32*Sheet1!I6</f>
        <v>169.21560000000002</v>
      </c>
      <c r="R32" t="s">
        <v>100</v>
      </c>
      <c r="T32" t="s">
        <v>101</v>
      </c>
      <c r="V32" t="s">
        <v>102</v>
      </c>
      <c r="AI32" t="s">
        <v>105</v>
      </c>
      <c r="AN32">
        <v>0.3</v>
      </c>
      <c r="AO32">
        <v>0.5</v>
      </c>
      <c r="AP32">
        <v>0.2</v>
      </c>
      <c r="AV32">
        <v>401</v>
      </c>
    </row>
    <row r="33" spans="1:48" x14ac:dyDescent="0.25">
      <c r="A33">
        <v>32</v>
      </c>
      <c r="B33" t="s">
        <v>108</v>
      </c>
      <c r="C33">
        <v>0</v>
      </c>
      <c r="D33" t="s">
        <v>37</v>
      </c>
      <c r="F33" s="1" t="s">
        <v>95</v>
      </c>
      <c r="H33" t="s">
        <v>97</v>
      </c>
      <c r="I33" t="s">
        <v>98</v>
      </c>
      <c r="K33">
        <v>1564.48</v>
      </c>
      <c r="L33" t="s">
        <v>38</v>
      </c>
      <c r="M33">
        <f>K33*Sheet1!I6</f>
        <v>431.79648000000003</v>
      </c>
      <c r="R33" t="s">
        <v>100</v>
      </c>
      <c r="T33" t="s">
        <v>101</v>
      </c>
      <c r="V33" t="s">
        <v>102</v>
      </c>
      <c r="AI33" t="s">
        <v>107</v>
      </c>
      <c r="AN33">
        <v>0.3</v>
      </c>
      <c r="AO33">
        <v>0.5</v>
      </c>
      <c r="AP33">
        <v>0.2</v>
      </c>
      <c r="AV33">
        <v>401</v>
      </c>
    </row>
    <row r="34" spans="1:48" x14ac:dyDescent="0.25">
      <c r="A34">
        <v>33</v>
      </c>
      <c r="B34" t="s">
        <v>113</v>
      </c>
      <c r="C34">
        <v>0</v>
      </c>
      <c r="D34" t="s">
        <v>37</v>
      </c>
      <c r="F34" s="1" t="s">
        <v>95</v>
      </c>
      <c r="H34" t="s">
        <v>97</v>
      </c>
      <c r="I34" t="s">
        <v>98</v>
      </c>
      <c r="K34">
        <v>959.92</v>
      </c>
      <c r="L34" t="s">
        <v>38</v>
      </c>
      <c r="M34">
        <f>K34*Sheet1!I6</f>
        <v>264.93792000000002</v>
      </c>
      <c r="R34" t="s">
        <v>100</v>
      </c>
      <c r="T34" t="s">
        <v>101</v>
      </c>
      <c r="V34" t="s">
        <v>102</v>
      </c>
      <c r="AI34" t="s">
        <v>110</v>
      </c>
      <c r="AN34">
        <v>0.3</v>
      </c>
      <c r="AO34">
        <v>0.5</v>
      </c>
      <c r="AP34">
        <v>0.2</v>
      </c>
      <c r="AV34">
        <v>402</v>
      </c>
    </row>
    <row r="35" spans="1:48" x14ac:dyDescent="0.25">
      <c r="A35">
        <v>34</v>
      </c>
      <c r="B35" t="s">
        <v>114</v>
      </c>
      <c r="C35">
        <v>0</v>
      </c>
      <c r="D35" t="s">
        <v>37</v>
      </c>
      <c r="F35" s="1" t="s">
        <v>95</v>
      </c>
      <c r="H35" t="s">
        <v>97</v>
      </c>
      <c r="I35" t="s">
        <v>98</v>
      </c>
      <c r="K35">
        <v>2929.17</v>
      </c>
      <c r="L35" t="s">
        <v>38</v>
      </c>
      <c r="M35">
        <f>K35*Sheet1!I6</f>
        <v>808.45092000000011</v>
      </c>
      <c r="R35" t="s">
        <v>100</v>
      </c>
      <c r="T35" t="s">
        <v>101</v>
      </c>
      <c r="V35" t="s">
        <v>102</v>
      </c>
      <c r="AI35" t="s">
        <v>111</v>
      </c>
      <c r="AN35">
        <v>0.3</v>
      </c>
      <c r="AO35">
        <v>0.5</v>
      </c>
      <c r="AP35">
        <v>0.2</v>
      </c>
      <c r="AV35">
        <v>402</v>
      </c>
    </row>
    <row r="36" spans="1:48" x14ac:dyDescent="0.25">
      <c r="A36">
        <v>35</v>
      </c>
      <c r="B36" t="s">
        <v>115</v>
      </c>
      <c r="C36">
        <v>0</v>
      </c>
      <c r="D36" t="s">
        <v>37</v>
      </c>
      <c r="F36" s="1" t="s">
        <v>95</v>
      </c>
      <c r="H36" t="s">
        <v>97</v>
      </c>
      <c r="I36" t="s">
        <v>98</v>
      </c>
      <c r="K36">
        <v>1026.04</v>
      </c>
      <c r="L36" t="s">
        <v>38</v>
      </c>
      <c r="M36">
        <f>K36*Sheet1!I6</f>
        <v>283.18704000000002</v>
      </c>
      <c r="R36" t="s">
        <v>100</v>
      </c>
      <c r="T36" t="s">
        <v>101</v>
      </c>
      <c r="V36" t="s">
        <v>102</v>
      </c>
      <c r="AI36" t="s">
        <v>112</v>
      </c>
      <c r="AN36">
        <v>0.3</v>
      </c>
      <c r="AO36">
        <v>0.5</v>
      </c>
      <c r="AP36">
        <v>0.2</v>
      </c>
      <c r="AV36">
        <v>404</v>
      </c>
    </row>
    <row r="37" spans="1:48" x14ac:dyDescent="0.25">
      <c r="A37">
        <v>36</v>
      </c>
      <c r="B37" t="s">
        <v>118</v>
      </c>
      <c r="C37">
        <v>0</v>
      </c>
      <c r="D37" t="s">
        <v>37</v>
      </c>
      <c r="F37" s="1" t="s">
        <v>95</v>
      </c>
      <c r="H37" t="s">
        <v>97</v>
      </c>
      <c r="I37" t="s">
        <v>98</v>
      </c>
      <c r="K37">
        <v>436.52</v>
      </c>
      <c r="L37" t="s">
        <v>38</v>
      </c>
      <c r="M37">
        <f>K37*Sheet1!I6</f>
        <v>120.47952000000001</v>
      </c>
      <c r="R37" t="s">
        <v>100</v>
      </c>
      <c r="T37" t="s">
        <v>101</v>
      </c>
      <c r="V37" t="s">
        <v>102</v>
      </c>
      <c r="AI37" t="s">
        <v>116</v>
      </c>
      <c r="AN37">
        <v>0.3</v>
      </c>
      <c r="AO37">
        <v>0.5</v>
      </c>
      <c r="AP37">
        <v>0.2</v>
      </c>
      <c r="AV37">
        <v>601</v>
      </c>
    </row>
    <row r="38" spans="1:48" x14ac:dyDescent="0.25">
      <c r="A38">
        <v>37</v>
      </c>
      <c r="B38" t="s">
        <v>119</v>
      </c>
      <c r="C38">
        <v>0</v>
      </c>
      <c r="D38" t="s">
        <v>37</v>
      </c>
      <c r="F38" s="1" t="s">
        <v>95</v>
      </c>
      <c r="H38" t="s">
        <v>97</v>
      </c>
      <c r="I38" t="s">
        <v>98</v>
      </c>
      <c r="K38">
        <v>510.01</v>
      </c>
      <c r="L38" t="s">
        <v>38</v>
      </c>
      <c r="M38">
        <f>K38*Sheet1!I6</f>
        <v>140.76276000000001</v>
      </c>
      <c r="R38" t="s">
        <v>100</v>
      </c>
      <c r="T38" t="s">
        <v>101</v>
      </c>
      <c r="V38" t="s">
        <v>102</v>
      </c>
      <c r="AI38" t="s">
        <v>117</v>
      </c>
      <c r="AN38">
        <v>0.3</v>
      </c>
      <c r="AO38">
        <v>0.5</v>
      </c>
      <c r="AP38">
        <v>0.2</v>
      </c>
      <c r="AV38">
        <v>601</v>
      </c>
    </row>
    <row r="39" spans="1:48" x14ac:dyDescent="0.25">
      <c r="A39">
        <v>38</v>
      </c>
      <c r="B39" t="s">
        <v>120</v>
      </c>
      <c r="C39">
        <v>0</v>
      </c>
      <c r="D39" t="s">
        <v>37</v>
      </c>
      <c r="F39" s="1" t="s">
        <v>95</v>
      </c>
      <c r="H39" t="s">
        <v>97</v>
      </c>
      <c r="I39" t="s">
        <v>98</v>
      </c>
      <c r="K39">
        <v>2136.54</v>
      </c>
      <c r="L39" t="s">
        <v>38</v>
      </c>
      <c r="M39">
        <f>K39*Sheet1!I6</f>
        <v>589.68504000000007</v>
      </c>
      <c r="R39" t="s">
        <v>100</v>
      </c>
      <c r="T39" t="s">
        <v>101</v>
      </c>
      <c r="V39" t="s">
        <v>102</v>
      </c>
      <c r="AI39" t="s">
        <v>121</v>
      </c>
      <c r="AN39">
        <v>0.3</v>
      </c>
      <c r="AO39">
        <v>0.5</v>
      </c>
      <c r="AP39">
        <v>0.2</v>
      </c>
      <c r="AV39">
        <v>404</v>
      </c>
    </row>
    <row r="40" spans="1:48" x14ac:dyDescent="0.25">
      <c r="A40">
        <v>39</v>
      </c>
      <c r="B40" t="s">
        <v>123</v>
      </c>
      <c r="C40">
        <v>0</v>
      </c>
      <c r="D40" t="s">
        <v>37</v>
      </c>
      <c r="F40" s="1" t="s">
        <v>95</v>
      </c>
      <c r="H40" t="s">
        <v>97</v>
      </c>
      <c r="I40" t="s">
        <v>98</v>
      </c>
      <c r="K40">
        <v>269.2</v>
      </c>
      <c r="L40" t="s">
        <v>38</v>
      </c>
      <c r="M40">
        <f>K40*Sheet1!I6</f>
        <v>74.299199999999999</v>
      </c>
      <c r="R40" t="s">
        <v>100</v>
      </c>
      <c r="T40" t="s">
        <v>101</v>
      </c>
      <c r="V40" t="s">
        <v>102</v>
      </c>
      <c r="AI40" t="s">
        <v>122</v>
      </c>
      <c r="AN40">
        <v>0.3</v>
      </c>
      <c r="AO40">
        <v>0.5</v>
      </c>
      <c r="AP40">
        <v>0.2</v>
      </c>
      <c r="AV40">
        <v>404</v>
      </c>
    </row>
    <row r="41" spans="1:48" x14ac:dyDescent="0.25">
      <c r="A41">
        <v>40</v>
      </c>
      <c r="B41" t="s">
        <v>124</v>
      </c>
      <c r="C41">
        <v>0</v>
      </c>
      <c r="D41" t="s">
        <v>37</v>
      </c>
      <c r="F41" s="1" t="s">
        <v>95</v>
      </c>
      <c r="H41" t="s">
        <v>97</v>
      </c>
      <c r="I41" t="s">
        <v>98</v>
      </c>
      <c r="K41">
        <v>1192.47</v>
      </c>
      <c r="L41" t="s">
        <v>38</v>
      </c>
      <c r="M41">
        <f>K41*Sheet1!I6</f>
        <v>329.12172000000004</v>
      </c>
      <c r="R41" t="s">
        <v>100</v>
      </c>
      <c r="T41" t="s">
        <v>101</v>
      </c>
      <c r="V41" t="s">
        <v>102</v>
      </c>
      <c r="AI41" t="s">
        <v>125</v>
      </c>
      <c r="AN41">
        <v>0.3</v>
      </c>
      <c r="AO41">
        <v>0.5</v>
      </c>
      <c r="AP41">
        <v>0.2</v>
      </c>
      <c r="AV41">
        <v>406</v>
      </c>
    </row>
    <row r="42" spans="1:48" x14ac:dyDescent="0.25">
      <c r="A42">
        <v>41</v>
      </c>
      <c r="B42" t="s">
        <v>126</v>
      </c>
      <c r="C42">
        <v>0</v>
      </c>
      <c r="D42" t="s">
        <v>37</v>
      </c>
      <c r="F42" s="1" t="s">
        <v>95</v>
      </c>
      <c r="H42" t="s">
        <v>97</v>
      </c>
      <c r="I42" t="s">
        <v>98</v>
      </c>
      <c r="K42">
        <v>626.44000000000005</v>
      </c>
      <c r="L42" t="s">
        <v>38</v>
      </c>
      <c r="M42">
        <f>K42*Sheet1!I6</f>
        <v>172.89744000000002</v>
      </c>
      <c r="R42" t="s">
        <v>100</v>
      </c>
      <c r="T42" t="s">
        <v>101</v>
      </c>
      <c r="V42" t="s">
        <v>102</v>
      </c>
      <c r="AI42" t="s">
        <v>127</v>
      </c>
      <c r="AN42">
        <v>0.3</v>
      </c>
      <c r="AO42">
        <v>0.5</v>
      </c>
      <c r="AP42">
        <v>0.2</v>
      </c>
      <c r="AV42">
        <v>406</v>
      </c>
    </row>
    <row r="43" spans="1:48" x14ac:dyDescent="0.25">
      <c r="A43">
        <v>42</v>
      </c>
      <c r="B43" t="s">
        <v>128</v>
      </c>
      <c r="C43">
        <v>0</v>
      </c>
      <c r="D43" t="s">
        <v>37</v>
      </c>
      <c r="F43" s="1" t="s">
        <v>95</v>
      </c>
      <c r="H43" t="s">
        <v>97</v>
      </c>
      <c r="I43" t="s">
        <v>98</v>
      </c>
      <c r="K43">
        <v>165.2</v>
      </c>
      <c r="L43" t="s">
        <v>38</v>
      </c>
      <c r="M43">
        <f>K43*Sheet1!I6</f>
        <v>45.595199999999998</v>
      </c>
      <c r="R43" t="s">
        <v>100</v>
      </c>
      <c r="T43" t="s">
        <v>101</v>
      </c>
      <c r="V43" t="s">
        <v>102</v>
      </c>
      <c r="AI43" t="s">
        <v>129</v>
      </c>
      <c r="AN43">
        <v>0.3</v>
      </c>
      <c r="AO43">
        <v>0.5</v>
      </c>
      <c r="AP43">
        <v>0.2</v>
      </c>
      <c r="AV43">
        <v>406</v>
      </c>
    </row>
    <row r="44" spans="1:48" x14ac:dyDescent="0.25">
      <c r="A44">
        <v>43</v>
      </c>
      <c r="B44" t="s">
        <v>42</v>
      </c>
      <c r="C44">
        <v>0</v>
      </c>
      <c r="D44" t="s">
        <v>37</v>
      </c>
      <c r="F44" s="1" t="s">
        <v>95</v>
      </c>
      <c r="H44" t="s">
        <v>156</v>
      </c>
      <c r="I44" t="s">
        <v>142</v>
      </c>
      <c r="K44">
        <v>36</v>
      </c>
      <c r="L44" t="s">
        <v>38</v>
      </c>
      <c r="M44">
        <f>K44*Sheet1!$I$6</f>
        <v>9.9359999999999999</v>
      </c>
      <c r="R44" t="s">
        <v>100</v>
      </c>
      <c r="T44" t="s">
        <v>101</v>
      </c>
      <c r="V44" t="s">
        <v>102</v>
      </c>
      <c r="AI44" t="s">
        <v>141</v>
      </c>
      <c r="AN44">
        <v>0.3</v>
      </c>
      <c r="AO44">
        <v>0.5</v>
      </c>
      <c r="AP44">
        <v>0.2</v>
      </c>
      <c r="AV44">
        <v>401</v>
      </c>
    </row>
    <row r="45" spans="1:48" x14ac:dyDescent="0.25">
      <c r="A45">
        <v>44</v>
      </c>
      <c r="B45" t="s">
        <v>42</v>
      </c>
      <c r="C45">
        <v>0</v>
      </c>
      <c r="D45" t="s">
        <v>37</v>
      </c>
      <c r="F45" s="1" t="s">
        <v>95</v>
      </c>
      <c r="H45" t="s">
        <v>155</v>
      </c>
      <c r="I45" t="s">
        <v>142</v>
      </c>
      <c r="K45">
        <v>36</v>
      </c>
      <c r="L45" t="s">
        <v>38</v>
      </c>
      <c r="M45">
        <f>K45*Sheet1!$I$6</f>
        <v>9.9359999999999999</v>
      </c>
      <c r="R45" t="s">
        <v>100</v>
      </c>
      <c r="T45" t="s">
        <v>101</v>
      </c>
      <c r="V45" t="s">
        <v>102</v>
      </c>
      <c r="AI45" t="s">
        <v>141</v>
      </c>
      <c r="AN45">
        <v>0.3</v>
      </c>
      <c r="AO45">
        <v>0.5</v>
      </c>
      <c r="AP45">
        <v>0.2</v>
      </c>
      <c r="AV45">
        <v>401</v>
      </c>
    </row>
    <row r="46" spans="1:48" x14ac:dyDescent="0.25">
      <c r="A46">
        <v>45</v>
      </c>
      <c r="B46" t="s">
        <v>42</v>
      </c>
      <c r="C46">
        <v>0</v>
      </c>
      <c r="D46" t="s">
        <v>37</v>
      </c>
      <c r="F46" s="1" t="s">
        <v>95</v>
      </c>
      <c r="H46" t="s">
        <v>154</v>
      </c>
      <c r="I46" t="s">
        <v>143</v>
      </c>
      <c r="K46">
        <v>36</v>
      </c>
      <c r="L46" t="s">
        <v>38</v>
      </c>
      <c r="M46">
        <f>K46*Sheet1!$I$6</f>
        <v>9.9359999999999999</v>
      </c>
      <c r="R46" t="s">
        <v>100</v>
      </c>
      <c r="T46" t="s">
        <v>101</v>
      </c>
      <c r="V46" t="s">
        <v>102</v>
      </c>
      <c r="AI46" t="s">
        <v>141</v>
      </c>
      <c r="AN46">
        <v>0.3</v>
      </c>
      <c r="AO46">
        <v>0.5</v>
      </c>
      <c r="AP46">
        <v>0.2</v>
      </c>
      <c r="AV46">
        <v>401</v>
      </c>
    </row>
    <row r="47" spans="1:48" x14ac:dyDescent="0.25">
      <c r="A47">
        <v>46</v>
      </c>
      <c r="B47" t="s">
        <v>42</v>
      </c>
      <c r="C47">
        <v>0</v>
      </c>
      <c r="D47" t="s">
        <v>37</v>
      </c>
      <c r="F47" s="1" t="s">
        <v>95</v>
      </c>
      <c r="H47" t="s">
        <v>153</v>
      </c>
      <c r="I47" t="s">
        <v>142</v>
      </c>
      <c r="K47">
        <v>36</v>
      </c>
      <c r="L47" t="s">
        <v>38</v>
      </c>
      <c r="M47">
        <f>K47*Sheet1!$I$6</f>
        <v>9.9359999999999999</v>
      </c>
      <c r="R47" t="s">
        <v>100</v>
      </c>
      <c r="T47" t="s">
        <v>101</v>
      </c>
      <c r="V47" t="s">
        <v>102</v>
      </c>
      <c r="AI47" t="s">
        <v>141</v>
      </c>
      <c r="AN47">
        <v>0.3</v>
      </c>
      <c r="AO47">
        <v>0.5</v>
      </c>
      <c r="AP47">
        <v>0.2</v>
      </c>
      <c r="AV47">
        <v>401</v>
      </c>
    </row>
    <row r="48" spans="1:48" x14ac:dyDescent="0.25">
      <c r="A48">
        <v>47</v>
      </c>
      <c r="B48" t="s">
        <v>42</v>
      </c>
      <c r="C48">
        <v>0</v>
      </c>
      <c r="D48" t="s">
        <v>37</v>
      </c>
      <c r="F48" s="1" t="s">
        <v>95</v>
      </c>
      <c r="H48" t="s">
        <v>152</v>
      </c>
      <c r="I48" t="s">
        <v>144</v>
      </c>
      <c r="K48">
        <v>36</v>
      </c>
      <c r="L48" t="s">
        <v>38</v>
      </c>
      <c r="M48">
        <f>K48*Sheet1!$I$6</f>
        <v>9.9359999999999999</v>
      </c>
      <c r="R48" t="s">
        <v>100</v>
      </c>
      <c r="T48" t="s">
        <v>101</v>
      </c>
      <c r="V48" t="s">
        <v>102</v>
      </c>
      <c r="AI48" t="s">
        <v>141</v>
      </c>
      <c r="AN48">
        <v>0.3</v>
      </c>
      <c r="AO48">
        <v>0.5</v>
      </c>
      <c r="AP48">
        <v>0.2</v>
      </c>
      <c r="AV48">
        <v>401</v>
      </c>
    </row>
    <row r="49" spans="1:48" x14ac:dyDescent="0.25">
      <c r="A49">
        <v>48</v>
      </c>
      <c r="B49" t="s">
        <v>42</v>
      </c>
      <c r="C49">
        <v>0</v>
      </c>
      <c r="D49" t="s">
        <v>37</v>
      </c>
      <c r="F49" s="1" t="s">
        <v>95</v>
      </c>
      <c r="H49" t="s">
        <v>151</v>
      </c>
      <c r="I49" t="s">
        <v>145</v>
      </c>
      <c r="K49">
        <v>36</v>
      </c>
      <c r="L49" t="s">
        <v>38</v>
      </c>
      <c r="M49">
        <f>K49*Sheet1!$I$6</f>
        <v>9.9359999999999999</v>
      </c>
      <c r="R49" t="s">
        <v>100</v>
      </c>
      <c r="T49" t="s">
        <v>101</v>
      </c>
      <c r="V49" t="s">
        <v>102</v>
      </c>
      <c r="AI49" t="s">
        <v>141</v>
      </c>
      <c r="AN49">
        <v>0.3</v>
      </c>
      <c r="AO49">
        <v>0.5</v>
      </c>
      <c r="AP49">
        <v>0.2</v>
      </c>
      <c r="AV49">
        <v>401</v>
      </c>
    </row>
    <row r="50" spans="1:48" x14ac:dyDescent="0.25">
      <c r="A50">
        <v>49</v>
      </c>
      <c r="B50" t="s">
        <v>42</v>
      </c>
      <c r="C50">
        <v>0</v>
      </c>
      <c r="D50" t="s">
        <v>37</v>
      </c>
      <c r="F50" s="1" t="s">
        <v>95</v>
      </c>
      <c r="H50" t="s">
        <v>150</v>
      </c>
      <c r="I50" t="s">
        <v>146</v>
      </c>
      <c r="K50">
        <v>36</v>
      </c>
      <c r="L50" t="s">
        <v>38</v>
      </c>
      <c r="M50">
        <f>K50*Sheet1!$I$6</f>
        <v>9.9359999999999999</v>
      </c>
      <c r="R50" t="s">
        <v>100</v>
      </c>
      <c r="T50" t="s">
        <v>101</v>
      </c>
      <c r="V50" t="s">
        <v>102</v>
      </c>
      <c r="AI50" t="s">
        <v>141</v>
      </c>
      <c r="AN50">
        <v>0.3</v>
      </c>
      <c r="AO50">
        <v>0.5</v>
      </c>
      <c r="AP50">
        <v>0.2</v>
      </c>
      <c r="AV50">
        <v>401</v>
      </c>
    </row>
    <row r="51" spans="1:48" x14ac:dyDescent="0.25">
      <c r="A51">
        <v>50</v>
      </c>
      <c r="B51" t="s">
        <v>42</v>
      </c>
      <c r="C51">
        <v>0</v>
      </c>
      <c r="D51" t="s">
        <v>37</v>
      </c>
      <c r="F51" s="1" t="s">
        <v>95</v>
      </c>
      <c r="H51" t="s">
        <v>149</v>
      </c>
      <c r="I51" t="s">
        <v>147</v>
      </c>
      <c r="K51">
        <v>36</v>
      </c>
      <c r="L51" t="s">
        <v>38</v>
      </c>
      <c r="M51">
        <f>K51*Sheet1!$I$6</f>
        <v>9.9359999999999999</v>
      </c>
      <c r="R51" t="s">
        <v>100</v>
      </c>
      <c r="T51" t="s">
        <v>101</v>
      </c>
      <c r="V51" t="s">
        <v>102</v>
      </c>
      <c r="AI51" t="s">
        <v>141</v>
      </c>
      <c r="AN51">
        <v>0.3</v>
      </c>
      <c r="AO51">
        <v>0.5</v>
      </c>
      <c r="AP51">
        <v>0.2</v>
      </c>
      <c r="AV51">
        <v>401</v>
      </c>
    </row>
    <row r="52" spans="1:48" x14ac:dyDescent="0.25">
      <c r="A52">
        <v>51</v>
      </c>
      <c r="B52" t="s">
        <v>42</v>
      </c>
      <c r="C52">
        <v>0</v>
      </c>
      <c r="D52" t="s">
        <v>37</v>
      </c>
      <c r="F52" s="1" t="s">
        <v>95</v>
      </c>
      <c r="H52" t="s">
        <v>148</v>
      </c>
      <c r="I52" t="s">
        <v>144</v>
      </c>
      <c r="K52">
        <v>36</v>
      </c>
      <c r="L52" t="s">
        <v>38</v>
      </c>
      <c r="M52">
        <f>K52*Sheet1!$I$6</f>
        <v>9.9359999999999999</v>
      </c>
      <c r="R52" t="s">
        <v>100</v>
      </c>
      <c r="T52" t="s">
        <v>101</v>
      </c>
      <c r="V52" t="s">
        <v>102</v>
      </c>
      <c r="AI52" t="s">
        <v>141</v>
      </c>
      <c r="AN52">
        <v>0.3</v>
      </c>
      <c r="AO52">
        <v>0.5</v>
      </c>
      <c r="AP52">
        <v>0.2</v>
      </c>
      <c r="AV52">
        <v>401</v>
      </c>
    </row>
    <row r="53" spans="1:48" x14ac:dyDescent="0.25">
      <c r="A53">
        <v>52</v>
      </c>
      <c r="B53" t="s">
        <v>42</v>
      </c>
      <c r="C53">
        <v>0</v>
      </c>
      <c r="D53" t="s">
        <v>37</v>
      </c>
      <c r="F53" s="1" t="s">
        <v>95</v>
      </c>
      <c r="H53" t="s">
        <v>157</v>
      </c>
      <c r="K53">
        <v>28</v>
      </c>
      <c r="L53" t="s">
        <v>38</v>
      </c>
      <c r="M53">
        <f>K53*Sheet1!$I$6</f>
        <v>7.7280000000000006</v>
      </c>
      <c r="R53" t="s">
        <v>100</v>
      </c>
      <c r="T53" t="s">
        <v>101</v>
      </c>
      <c r="V53" t="s">
        <v>102</v>
      </c>
      <c r="AI53" t="s">
        <v>141</v>
      </c>
      <c r="AN53">
        <v>0.3</v>
      </c>
      <c r="AO53">
        <v>0.5</v>
      </c>
      <c r="AP53">
        <v>0.2</v>
      </c>
      <c r="AV53">
        <v>401</v>
      </c>
    </row>
    <row r="54" spans="1:48" x14ac:dyDescent="0.25">
      <c r="A54">
        <v>53</v>
      </c>
      <c r="B54" t="s">
        <v>42</v>
      </c>
      <c r="C54">
        <v>0</v>
      </c>
      <c r="D54" t="s">
        <v>37</v>
      </c>
      <c r="F54" s="1" t="s">
        <v>95</v>
      </c>
      <c r="H54" t="s">
        <v>157</v>
      </c>
      <c r="K54">
        <v>28</v>
      </c>
      <c r="L54" t="s">
        <v>38</v>
      </c>
      <c r="M54">
        <f>K54*Sheet1!$I$6</f>
        <v>7.7280000000000006</v>
      </c>
      <c r="R54" t="s">
        <v>100</v>
      </c>
      <c r="T54" t="s">
        <v>101</v>
      </c>
      <c r="V54" t="s">
        <v>102</v>
      </c>
      <c r="AI54" t="s">
        <v>141</v>
      </c>
      <c r="AN54">
        <v>0.3</v>
      </c>
      <c r="AO54">
        <v>0.5</v>
      </c>
      <c r="AP54">
        <v>0.2</v>
      </c>
      <c r="AV54">
        <v>401</v>
      </c>
    </row>
    <row r="55" spans="1:48" x14ac:dyDescent="0.25">
      <c r="A55">
        <v>54</v>
      </c>
      <c r="B55" t="s">
        <v>42</v>
      </c>
      <c r="C55">
        <v>0</v>
      </c>
      <c r="D55" t="s">
        <v>37</v>
      </c>
      <c r="F55" s="1" t="s">
        <v>95</v>
      </c>
      <c r="H55" t="s">
        <v>157</v>
      </c>
      <c r="K55">
        <v>28</v>
      </c>
      <c r="L55" t="s">
        <v>38</v>
      </c>
      <c r="M55">
        <f>K55*Sheet1!$I$6</f>
        <v>7.7280000000000006</v>
      </c>
      <c r="R55" t="s">
        <v>100</v>
      </c>
      <c r="T55" t="s">
        <v>101</v>
      </c>
      <c r="V55" t="s">
        <v>102</v>
      </c>
      <c r="AI55" t="s">
        <v>141</v>
      </c>
      <c r="AN55">
        <v>0.3</v>
      </c>
      <c r="AO55">
        <v>0.5</v>
      </c>
      <c r="AP55">
        <v>0.2</v>
      </c>
      <c r="AV55">
        <v>401</v>
      </c>
    </row>
    <row r="56" spans="1:48" x14ac:dyDescent="0.25">
      <c r="A56">
        <v>55</v>
      </c>
      <c r="B56" t="s">
        <v>42</v>
      </c>
      <c r="C56">
        <v>0</v>
      </c>
      <c r="D56" t="s">
        <v>37</v>
      </c>
      <c r="F56" s="1" t="s">
        <v>95</v>
      </c>
      <c r="H56" t="s">
        <v>157</v>
      </c>
      <c r="K56">
        <v>28</v>
      </c>
      <c r="L56" t="s">
        <v>38</v>
      </c>
      <c r="M56">
        <f>K56*Sheet1!$I$6</f>
        <v>7.7280000000000006</v>
      </c>
      <c r="R56" t="s">
        <v>100</v>
      </c>
      <c r="T56" t="s">
        <v>101</v>
      </c>
      <c r="V56" t="s">
        <v>102</v>
      </c>
      <c r="AI56" t="s">
        <v>141</v>
      </c>
      <c r="AN56">
        <v>0.3</v>
      </c>
      <c r="AO56">
        <v>0.5</v>
      </c>
      <c r="AP56">
        <v>0.2</v>
      </c>
      <c r="AV56">
        <v>401</v>
      </c>
    </row>
    <row r="57" spans="1:48" x14ac:dyDescent="0.25">
      <c r="A57">
        <v>56</v>
      </c>
      <c r="B57" t="s">
        <v>42</v>
      </c>
      <c r="C57">
        <v>0</v>
      </c>
      <c r="D57" t="s">
        <v>37</v>
      </c>
      <c r="F57" s="1" t="s">
        <v>95</v>
      </c>
      <c r="H57" t="s">
        <v>158</v>
      </c>
      <c r="I57" t="s">
        <v>159</v>
      </c>
      <c r="K57">
        <v>52</v>
      </c>
      <c r="L57" t="s">
        <v>38</v>
      </c>
      <c r="M57">
        <f>K57*Sheet1!$I$6</f>
        <v>14.352</v>
      </c>
      <c r="R57" t="s">
        <v>100</v>
      </c>
      <c r="T57" t="s">
        <v>101</v>
      </c>
      <c r="V57" t="s">
        <v>102</v>
      </c>
      <c r="AI57" t="s">
        <v>141</v>
      </c>
      <c r="AN57">
        <v>0.3</v>
      </c>
      <c r="AO57">
        <v>0.5</v>
      </c>
      <c r="AP57">
        <v>0.2</v>
      </c>
      <c r="AV57">
        <v>401</v>
      </c>
    </row>
    <row r="58" spans="1:48" x14ac:dyDescent="0.25">
      <c r="A58">
        <v>57</v>
      </c>
      <c r="B58" t="s">
        <v>42</v>
      </c>
      <c r="C58">
        <v>0</v>
      </c>
      <c r="D58" t="s">
        <v>37</v>
      </c>
      <c r="F58" s="1" t="s">
        <v>95</v>
      </c>
      <c r="H58" t="s">
        <v>160</v>
      </c>
      <c r="I58" t="s">
        <v>161</v>
      </c>
      <c r="K58">
        <v>52</v>
      </c>
      <c r="L58" t="s">
        <v>38</v>
      </c>
      <c r="M58">
        <f>K58*Sheet1!$I$6</f>
        <v>14.352</v>
      </c>
      <c r="R58" t="s">
        <v>100</v>
      </c>
      <c r="T58" t="s">
        <v>101</v>
      </c>
      <c r="V58" t="s">
        <v>102</v>
      </c>
      <c r="AI58" t="s">
        <v>141</v>
      </c>
      <c r="AN58">
        <v>0.3</v>
      </c>
      <c r="AO58">
        <v>0.5</v>
      </c>
      <c r="AP58">
        <v>0.2</v>
      </c>
      <c r="AV58">
        <v>401</v>
      </c>
    </row>
    <row r="59" spans="1:48" x14ac:dyDescent="0.25">
      <c r="A59">
        <v>58</v>
      </c>
      <c r="B59" t="s">
        <v>42</v>
      </c>
      <c r="C59">
        <v>0</v>
      </c>
      <c r="D59" t="s">
        <v>37</v>
      </c>
      <c r="F59" s="1" t="s">
        <v>95</v>
      </c>
      <c r="H59" t="s">
        <v>162</v>
      </c>
      <c r="I59" t="s">
        <v>163</v>
      </c>
      <c r="K59">
        <v>52</v>
      </c>
      <c r="L59" t="s">
        <v>38</v>
      </c>
      <c r="M59">
        <f>K59*Sheet1!$I$6</f>
        <v>14.352</v>
      </c>
      <c r="R59" t="s">
        <v>100</v>
      </c>
      <c r="T59" t="s">
        <v>101</v>
      </c>
      <c r="V59" t="s">
        <v>102</v>
      </c>
      <c r="AI59" t="s">
        <v>141</v>
      </c>
      <c r="AN59">
        <v>0.3</v>
      </c>
      <c r="AO59">
        <v>0.5</v>
      </c>
      <c r="AP59">
        <v>0.2</v>
      </c>
      <c r="AV59">
        <v>401</v>
      </c>
    </row>
    <row r="60" spans="1:48" x14ac:dyDescent="0.25">
      <c r="A60">
        <v>59</v>
      </c>
      <c r="B60" t="s">
        <v>42</v>
      </c>
      <c r="C60">
        <v>0</v>
      </c>
      <c r="D60" t="s">
        <v>37</v>
      </c>
      <c r="F60" s="1" t="s">
        <v>95</v>
      </c>
      <c r="H60" t="s">
        <v>164</v>
      </c>
      <c r="I60" t="s">
        <v>165</v>
      </c>
      <c r="K60">
        <v>52</v>
      </c>
      <c r="L60" t="s">
        <v>38</v>
      </c>
      <c r="M60">
        <f>K60*Sheet1!$I$6</f>
        <v>14.352</v>
      </c>
      <c r="R60" t="s">
        <v>100</v>
      </c>
      <c r="T60" t="s">
        <v>101</v>
      </c>
      <c r="V60" t="s">
        <v>102</v>
      </c>
      <c r="AI60" t="s">
        <v>141</v>
      </c>
      <c r="AN60">
        <v>0.3</v>
      </c>
      <c r="AO60">
        <v>0.5</v>
      </c>
      <c r="AP60">
        <v>0.2</v>
      </c>
      <c r="AV60">
        <v>401</v>
      </c>
    </row>
    <row r="61" spans="1:48" x14ac:dyDescent="0.25">
      <c r="A61">
        <v>60</v>
      </c>
      <c r="B61" t="s">
        <v>42</v>
      </c>
      <c r="C61">
        <v>0</v>
      </c>
      <c r="D61" t="s">
        <v>37</v>
      </c>
      <c r="F61" s="1" t="s">
        <v>95</v>
      </c>
      <c r="H61" t="s">
        <v>166</v>
      </c>
      <c r="I61" t="s">
        <v>142</v>
      </c>
      <c r="K61">
        <v>52</v>
      </c>
      <c r="L61" t="s">
        <v>38</v>
      </c>
      <c r="M61">
        <f>K61*Sheet1!$I$6</f>
        <v>14.352</v>
      </c>
      <c r="R61" t="s">
        <v>100</v>
      </c>
      <c r="T61" t="s">
        <v>101</v>
      </c>
      <c r="V61" t="s">
        <v>102</v>
      </c>
      <c r="AI61" t="s">
        <v>141</v>
      </c>
      <c r="AN61">
        <v>0.3</v>
      </c>
      <c r="AO61">
        <v>0.5</v>
      </c>
      <c r="AP61">
        <v>0.2</v>
      </c>
      <c r="AV61">
        <v>401</v>
      </c>
    </row>
    <row r="62" spans="1:48" x14ac:dyDescent="0.25">
      <c r="A62">
        <v>61</v>
      </c>
      <c r="B62" t="s">
        <v>42</v>
      </c>
      <c r="C62">
        <v>0</v>
      </c>
      <c r="D62" t="s">
        <v>37</v>
      </c>
      <c r="F62" s="1" t="s">
        <v>95</v>
      </c>
      <c r="H62" t="s">
        <v>167</v>
      </c>
      <c r="I62" t="s">
        <v>142</v>
      </c>
      <c r="K62">
        <v>52</v>
      </c>
      <c r="L62" t="s">
        <v>38</v>
      </c>
      <c r="M62">
        <f>K62*Sheet1!$I$6</f>
        <v>14.352</v>
      </c>
      <c r="R62" t="s">
        <v>100</v>
      </c>
      <c r="T62" t="s">
        <v>101</v>
      </c>
      <c r="V62" t="s">
        <v>102</v>
      </c>
      <c r="AI62" t="s">
        <v>141</v>
      </c>
      <c r="AN62">
        <v>0.3</v>
      </c>
      <c r="AO62">
        <v>0.5</v>
      </c>
      <c r="AP62">
        <v>0.2</v>
      </c>
      <c r="AV62">
        <v>401</v>
      </c>
    </row>
    <row r="63" spans="1:48" x14ac:dyDescent="0.25">
      <c r="A63">
        <v>62</v>
      </c>
      <c r="B63" t="s">
        <v>42</v>
      </c>
      <c r="C63">
        <v>0</v>
      </c>
      <c r="D63" t="s">
        <v>37</v>
      </c>
      <c r="F63" s="1" t="s">
        <v>95</v>
      </c>
      <c r="H63" t="s">
        <v>168</v>
      </c>
      <c r="I63" t="s">
        <v>142</v>
      </c>
      <c r="K63">
        <v>52</v>
      </c>
      <c r="L63" t="s">
        <v>38</v>
      </c>
      <c r="M63">
        <f>K63*Sheet1!$I$6</f>
        <v>14.352</v>
      </c>
      <c r="R63" t="s">
        <v>100</v>
      </c>
      <c r="T63" t="s">
        <v>101</v>
      </c>
      <c r="V63" t="s">
        <v>102</v>
      </c>
      <c r="AI63" t="s">
        <v>141</v>
      </c>
      <c r="AN63">
        <v>0.3</v>
      </c>
      <c r="AO63">
        <v>0.5</v>
      </c>
      <c r="AP63">
        <v>0.2</v>
      </c>
      <c r="AV63">
        <v>401</v>
      </c>
    </row>
    <row r="64" spans="1:48" x14ac:dyDescent="0.25">
      <c r="A64">
        <v>63</v>
      </c>
      <c r="B64" t="s">
        <v>42</v>
      </c>
      <c r="C64">
        <v>0</v>
      </c>
      <c r="D64" t="s">
        <v>37</v>
      </c>
      <c r="F64" s="1" t="s">
        <v>95</v>
      </c>
      <c r="H64" t="s">
        <v>169</v>
      </c>
      <c r="I64" t="s">
        <v>142</v>
      </c>
      <c r="K64">
        <v>52</v>
      </c>
      <c r="L64" t="s">
        <v>38</v>
      </c>
      <c r="M64">
        <f>K64*Sheet1!$I$6</f>
        <v>14.352</v>
      </c>
      <c r="R64" t="s">
        <v>100</v>
      </c>
      <c r="T64" t="s">
        <v>101</v>
      </c>
      <c r="V64" t="s">
        <v>102</v>
      </c>
      <c r="AI64" t="s">
        <v>141</v>
      </c>
      <c r="AN64">
        <v>0.3</v>
      </c>
      <c r="AO64">
        <v>0.5</v>
      </c>
      <c r="AP64">
        <v>0.2</v>
      </c>
      <c r="AV64">
        <v>401</v>
      </c>
    </row>
    <row r="65" spans="1:48" x14ac:dyDescent="0.25">
      <c r="A65">
        <v>64</v>
      </c>
      <c r="B65" t="s">
        <v>42</v>
      </c>
      <c r="C65">
        <v>0</v>
      </c>
      <c r="D65" t="s">
        <v>37</v>
      </c>
      <c r="F65" s="1" t="s">
        <v>95</v>
      </c>
      <c r="H65" t="s">
        <v>170</v>
      </c>
      <c r="I65" t="s">
        <v>144</v>
      </c>
      <c r="K65">
        <v>52</v>
      </c>
      <c r="L65" t="s">
        <v>38</v>
      </c>
      <c r="M65">
        <f>K65*Sheet1!$I$6</f>
        <v>14.352</v>
      </c>
      <c r="R65" t="s">
        <v>100</v>
      </c>
      <c r="T65" t="s">
        <v>101</v>
      </c>
      <c r="V65" t="s">
        <v>102</v>
      </c>
      <c r="AI65" t="s">
        <v>141</v>
      </c>
      <c r="AN65">
        <v>0.3</v>
      </c>
      <c r="AO65">
        <v>0.5</v>
      </c>
      <c r="AP65">
        <v>0.2</v>
      </c>
      <c r="AV65">
        <v>401</v>
      </c>
    </row>
    <row r="66" spans="1:48" x14ac:dyDescent="0.25">
      <c r="A66">
        <v>65</v>
      </c>
      <c r="B66" t="s">
        <v>42</v>
      </c>
      <c r="C66">
        <v>0</v>
      </c>
      <c r="D66" t="s">
        <v>37</v>
      </c>
      <c r="F66" s="1" t="s">
        <v>95</v>
      </c>
      <c r="H66" t="s">
        <v>171</v>
      </c>
      <c r="I66" t="s">
        <v>145</v>
      </c>
      <c r="K66">
        <v>52</v>
      </c>
      <c r="L66" t="s">
        <v>38</v>
      </c>
      <c r="M66">
        <f>K66*Sheet1!$I$6</f>
        <v>14.352</v>
      </c>
      <c r="R66" t="s">
        <v>100</v>
      </c>
      <c r="T66" t="s">
        <v>101</v>
      </c>
      <c r="V66" t="s">
        <v>102</v>
      </c>
      <c r="AI66" t="s">
        <v>141</v>
      </c>
      <c r="AN66">
        <v>0.3</v>
      </c>
      <c r="AO66">
        <v>0.5</v>
      </c>
      <c r="AP66">
        <v>0.2</v>
      </c>
      <c r="AV66">
        <v>401</v>
      </c>
    </row>
    <row r="67" spans="1:48" x14ac:dyDescent="0.25">
      <c r="A67">
        <v>66</v>
      </c>
      <c r="B67" t="s">
        <v>42</v>
      </c>
      <c r="C67">
        <v>0</v>
      </c>
      <c r="D67" t="s">
        <v>37</v>
      </c>
      <c r="F67" s="1" t="s">
        <v>95</v>
      </c>
      <c r="H67" t="s">
        <v>172</v>
      </c>
      <c r="I67" t="s">
        <v>145</v>
      </c>
      <c r="K67">
        <v>52</v>
      </c>
      <c r="L67" t="s">
        <v>38</v>
      </c>
      <c r="M67">
        <f>K67*Sheet1!$I$6</f>
        <v>14.352</v>
      </c>
      <c r="R67" t="s">
        <v>100</v>
      </c>
      <c r="T67" t="s">
        <v>101</v>
      </c>
      <c r="V67" t="s">
        <v>102</v>
      </c>
      <c r="AI67" t="s">
        <v>141</v>
      </c>
      <c r="AN67">
        <v>0.3</v>
      </c>
      <c r="AO67">
        <v>0.5</v>
      </c>
      <c r="AP67">
        <v>0.2</v>
      </c>
      <c r="AV67">
        <v>401</v>
      </c>
    </row>
    <row r="68" spans="1:48" x14ac:dyDescent="0.25">
      <c r="A68">
        <v>67</v>
      </c>
      <c r="B68" t="s">
        <v>42</v>
      </c>
      <c r="C68">
        <v>0</v>
      </c>
      <c r="D68" t="s">
        <v>37</v>
      </c>
      <c r="F68" s="1" t="s">
        <v>95</v>
      </c>
      <c r="H68" t="s">
        <v>173</v>
      </c>
      <c r="I68" t="s">
        <v>145</v>
      </c>
      <c r="K68">
        <v>52</v>
      </c>
      <c r="L68" t="s">
        <v>38</v>
      </c>
      <c r="M68">
        <f>K68*Sheet1!$I$6</f>
        <v>14.352</v>
      </c>
      <c r="R68" t="s">
        <v>100</v>
      </c>
      <c r="T68" t="s">
        <v>101</v>
      </c>
      <c r="V68" t="s">
        <v>102</v>
      </c>
      <c r="AI68" t="s">
        <v>141</v>
      </c>
      <c r="AN68">
        <v>0.3</v>
      </c>
      <c r="AO68">
        <v>0.5</v>
      </c>
      <c r="AP68">
        <v>0.2</v>
      </c>
      <c r="AV68">
        <v>401</v>
      </c>
    </row>
    <row r="69" spans="1:48" x14ac:dyDescent="0.25">
      <c r="A69">
        <v>68</v>
      </c>
      <c r="B69" t="s">
        <v>42</v>
      </c>
      <c r="C69">
        <v>0</v>
      </c>
      <c r="D69" t="s">
        <v>37</v>
      </c>
      <c r="F69" s="1" t="s">
        <v>95</v>
      </c>
      <c r="H69" t="s">
        <v>174</v>
      </c>
      <c r="I69" t="s">
        <v>144</v>
      </c>
      <c r="K69">
        <v>52</v>
      </c>
      <c r="L69" t="s">
        <v>38</v>
      </c>
      <c r="M69">
        <f>K69*Sheet1!$I$6</f>
        <v>14.352</v>
      </c>
      <c r="R69" t="s">
        <v>100</v>
      </c>
      <c r="T69" t="s">
        <v>101</v>
      </c>
      <c r="V69" t="s">
        <v>102</v>
      </c>
      <c r="AI69" t="s">
        <v>141</v>
      </c>
      <c r="AN69">
        <v>0.3</v>
      </c>
      <c r="AO69">
        <v>0.5</v>
      </c>
      <c r="AP69">
        <v>0.2</v>
      </c>
      <c r="AV69">
        <v>401</v>
      </c>
    </row>
    <row r="70" spans="1:48" x14ac:dyDescent="0.25">
      <c r="A70">
        <v>69</v>
      </c>
      <c r="B70" t="s">
        <v>42</v>
      </c>
      <c r="C70">
        <v>0</v>
      </c>
      <c r="D70" t="s">
        <v>37</v>
      </c>
      <c r="F70" s="1" t="s">
        <v>95</v>
      </c>
      <c r="H70" t="s">
        <v>175</v>
      </c>
      <c r="I70" t="s">
        <v>144</v>
      </c>
      <c r="K70">
        <v>52</v>
      </c>
      <c r="L70" t="s">
        <v>38</v>
      </c>
      <c r="M70">
        <f>K70*Sheet1!$I$6</f>
        <v>14.352</v>
      </c>
      <c r="R70" t="s">
        <v>100</v>
      </c>
      <c r="T70" t="s">
        <v>101</v>
      </c>
      <c r="V70" t="s">
        <v>102</v>
      </c>
      <c r="AI70" t="s">
        <v>141</v>
      </c>
      <c r="AN70">
        <v>0.3</v>
      </c>
      <c r="AO70">
        <v>0.5</v>
      </c>
      <c r="AP70">
        <v>0.2</v>
      </c>
      <c r="AV70">
        <v>401</v>
      </c>
    </row>
    <row r="71" spans="1:48" x14ac:dyDescent="0.25">
      <c r="A71">
        <v>70</v>
      </c>
      <c r="B71" t="s">
        <v>42</v>
      </c>
      <c r="C71">
        <v>0</v>
      </c>
      <c r="D71" t="s">
        <v>37</v>
      </c>
      <c r="F71" s="1" t="s">
        <v>95</v>
      </c>
      <c r="H71" t="s">
        <v>176</v>
      </c>
      <c r="I71" t="s">
        <v>144</v>
      </c>
      <c r="K71">
        <v>52</v>
      </c>
      <c r="L71" t="s">
        <v>38</v>
      </c>
      <c r="M71">
        <f>K71*Sheet1!$I$6</f>
        <v>14.352</v>
      </c>
      <c r="R71" t="s">
        <v>100</v>
      </c>
      <c r="T71" t="s">
        <v>101</v>
      </c>
      <c r="V71" t="s">
        <v>102</v>
      </c>
      <c r="AI71" t="s">
        <v>141</v>
      </c>
      <c r="AN71">
        <v>0.3</v>
      </c>
      <c r="AO71">
        <v>0.5</v>
      </c>
      <c r="AP71">
        <v>0.2</v>
      </c>
      <c r="AV71">
        <v>401</v>
      </c>
    </row>
    <row r="72" spans="1:48" x14ac:dyDescent="0.25">
      <c r="A72">
        <v>71</v>
      </c>
      <c r="B72" t="s">
        <v>42</v>
      </c>
      <c r="C72">
        <v>0</v>
      </c>
      <c r="D72" t="s">
        <v>37</v>
      </c>
      <c r="F72" s="1" t="s">
        <v>95</v>
      </c>
      <c r="H72" t="s">
        <v>177</v>
      </c>
      <c r="I72" t="s">
        <v>144</v>
      </c>
      <c r="K72">
        <v>52</v>
      </c>
      <c r="L72" t="s">
        <v>38</v>
      </c>
      <c r="M72">
        <f>K72*Sheet1!$I$6</f>
        <v>14.352</v>
      </c>
      <c r="R72" t="s">
        <v>100</v>
      </c>
      <c r="T72" t="s">
        <v>101</v>
      </c>
      <c r="V72" t="s">
        <v>102</v>
      </c>
      <c r="AI72" t="s">
        <v>141</v>
      </c>
      <c r="AN72">
        <v>0.3</v>
      </c>
      <c r="AO72">
        <v>0.5</v>
      </c>
      <c r="AP72">
        <v>0.2</v>
      </c>
      <c r="AV72">
        <v>401</v>
      </c>
    </row>
    <row r="73" spans="1:48" x14ac:dyDescent="0.25">
      <c r="A73">
        <v>72</v>
      </c>
      <c r="B73" t="s">
        <v>42</v>
      </c>
      <c r="C73">
        <v>0</v>
      </c>
      <c r="D73" t="s">
        <v>37</v>
      </c>
      <c r="F73" s="1" t="s">
        <v>95</v>
      </c>
      <c r="H73" t="s">
        <v>178</v>
      </c>
      <c r="I73" t="s">
        <v>144</v>
      </c>
      <c r="K73">
        <v>52</v>
      </c>
      <c r="L73" t="s">
        <v>38</v>
      </c>
      <c r="M73">
        <f>K73*Sheet1!$I$6</f>
        <v>14.352</v>
      </c>
      <c r="R73" t="s">
        <v>100</v>
      </c>
      <c r="T73" t="s">
        <v>101</v>
      </c>
      <c r="V73" t="s">
        <v>102</v>
      </c>
      <c r="AI73" t="s">
        <v>141</v>
      </c>
      <c r="AN73">
        <v>0.3</v>
      </c>
      <c r="AO73">
        <v>0.5</v>
      </c>
      <c r="AP73">
        <v>0.2</v>
      </c>
      <c r="AV73">
        <v>401</v>
      </c>
    </row>
    <row r="74" spans="1:48" x14ac:dyDescent="0.25">
      <c r="A74">
        <v>73</v>
      </c>
      <c r="B74" t="s">
        <v>42</v>
      </c>
      <c r="C74">
        <v>0</v>
      </c>
      <c r="D74" t="s">
        <v>37</v>
      </c>
      <c r="F74" s="1" t="s">
        <v>95</v>
      </c>
      <c r="H74" t="s">
        <v>179</v>
      </c>
      <c r="I74" t="s">
        <v>191</v>
      </c>
      <c r="K74">
        <v>18</v>
      </c>
      <c r="L74" t="s">
        <v>38</v>
      </c>
      <c r="M74">
        <f>K74*Sheet1!$I$6</f>
        <v>4.968</v>
      </c>
      <c r="R74" t="s">
        <v>100</v>
      </c>
      <c r="T74" t="s">
        <v>101</v>
      </c>
      <c r="V74" t="s">
        <v>102</v>
      </c>
      <c r="AI74" t="s">
        <v>141</v>
      </c>
      <c r="AN74">
        <v>0.3</v>
      </c>
      <c r="AO74">
        <v>0.5</v>
      </c>
      <c r="AP74">
        <v>0.2</v>
      </c>
      <c r="AV74">
        <v>401</v>
      </c>
    </row>
    <row r="75" spans="1:48" x14ac:dyDescent="0.25">
      <c r="A75">
        <v>74</v>
      </c>
      <c r="B75" t="s">
        <v>42</v>
      </c>
      <c r="C75">
        <v>0</v>
      </c>
      <c r="D75" t="s">
        <v>37</v>
      </c>
      <c r="F75" s="1" t="s">
        <v>95</v>
      </c>
      <c r="H75" t="s">
        <v>180</v>
      </c>
      <c r="I75" t="s">
        <v>192</v>
      </c>
      <c r="K75">
        <v>18</v>
      </c>
      <c r="L75" t="s">
        <v>38</v>
      </c>
      <c r="M75">
        <f>K75*Sheet1!$I$6</f>
        <v>4.968</v>
      </c>
      <c r="R75" t="s">
        <v>100</v>
      </c>
      <c r="T75" t="s">
        <v>101</v>
      </c>
      <c r="V75" t="s">
        <v>102</v>
      </c>
      <c r="AI75" t="s">
        <v>141</v>
      </c>
      <c r="AN75">
        <v>0.3</v>
      </c>
      <c r="AO75">
        <v>0.5</v>
      </c>
      <c r="AP75">
        <v>0.2</v>
      </c>
      <c r="AV75">
        <v>401</v>
      </c>
    </row>
    <row r="76" spans="1:48" x14ac:dyDescent="0.25">
      <c r="A76">
        <v>75</v>
      </c>
      <c r="B76" t="s">
        <v>42</v>
      </c>
      <c r="C76">
        <v>0</v>
      </c>
      <c r="D76" t="s">
        <v>37</v>
      </c>
      <c r="F76" s="1" t="s">
        <v>95</v>
      </c>
      <c r="H76" t="s">
        <v>181</v>
      </c>
      <c r="I76" t="s">
        <v>193</v>
      </c>
      <c r="K76">
        <v>18</v>
      </c>
      <c r="L76" t="s">
        <v>38</v>
      </c>
      <c r="M76">
        <f>K76*Sheet1!$I$6</f>
        <v>4.968</v>
      </c>
      <c r="R76" t="s">
        <v>100</v>
      </c>
      <c r="T76" t="s">
        <v>101</v>
      </c>
      <c r="V76" t="s">
        <v>102</v>
      </c>
      <c r="AI76" t="s">
        <v>141</v>
      </c>
      <c r="AN76">
        <v>0.3</v>
      </c>
      <c r="AO76">
        <v>0.5</v>
      </c>
      <c r="AP76">
        <v>0.2</v>
      </c>
      <c r="AV76">
        <v>401</v>
      </c>
    </row>
    <row r="77" spans="1:48" x14ac:dyDescent="0.25">
      <c r="A77">
        <v>76</v>
      </c>
      <c r="B77" t="s">
        <v>42</v>
      </c>
      <c r="C77">
        <v>0</v>
      </c>
      <c r="D77" t="s">
        <v>37</v>
      </c>
      <c r="F77" s="1" t="s">
        <v>95</v>
      </c>
      <c r="H77" t="s">
        <v>182</v>
      </c>
      <c r="I77" t="s">
        <v>193</v>
      </c>
      <c r="K77">
        <v>18</v>
      </c>
      <c r="L77" t="s">
        <v>38</v>
      </c>
      <c r="M77">
        <f>K77*Sheet1!$I$6</f>
        <v>4.968</v>
      </c>
      <c r="R77" t="s">
        <v>100</v>
      </c>
      <c r="T77" t="s">
        <v>101</v>
      </c>
      <c r="V77" t="s">
        <v>102</v>
      </c>
      <c r="AI77" t="s">
        <v>141</v>
      </c>
      <c r="AN77">
        <v>0.3</v>
      </c>
      <c r="AO77">
        <v>0.5</v>
      </c>
      <c r="AP77">
        <v>0.2</v>
      </c>
      <c r="AV77">
        <v>401</v>
      </c>
    </row>
    <row r="78" spans="1:48" x14ac:dyDescent="0.25">
      <c r="A78">
        <v>77</v>
      </c>
      <c r="B78" t="s">
        <v>42</v>
      </c>
      <c r="C78">
        <v>0</v>
      </c>
      <c r="D78" t="s">
        <v>37</v>
      </c>
      <c r="F78" s="1" t="s">
        <v>95</v>
      </c>
      <c r="H78" t="s">
        <v>183</v>
      </c>
      <c r="I78" t="s">
        <v>191</v>
      </c>
      <c r="K78">
        <v>18</v>
      </c>
      <c r="L78" t="s">
        <v>38</v>
      </c>
      <c r="M78">
        <f>K78*Sheet1!$I$6</f>
        <v>4.968</v>
      </c>
      <c r="R78" t="s">
        <v>100</v>
      </c>
      <c r="T78" t="s">
        <v>101</v>
      </c>
      <c r="V78" t="s">
        <v>102</v>
      </c>
      <c r="AI78" t="s">
        <v>141</v>
      </c>
      <c r="AN78">
        <v>0.3</v>
      </c>
      <c r="AO78">
        <v>0.5</v>
      </c>
      <c r="AP78">
        <v>0.2</v>
      </c>
      <c r="AV78">
        <v>401</v>
      </c>
    </row>
    <row r="79" spans="1:48" x14ac:dyDescent="0.25">
      <c r="A79">
        <v>78</v>
      </c>
      <c r="B79" t="s">
        <v>42</v>
      </c>
      <c r="C79">
        <v>0</v>
      </c>
      <c r="D79" t="s">
        <v>37</v>
      </c>
      <c r="F79" s="1" t="s">
        <v>95</v>
      </c>
      <c r="H79" t="s">
        <v>184</v>
      </c>
      <c r="I79" t="s">
        <v>193</v>
      </c>
      <c r="K79">
        <v>18</v>
      </c>
      <c r="L79" t="s">
        <v>38</v>
      </c>
      <c r="M79">
        <f>K79*Sheet1!$I$6</f>
        <v>4.968</v>
      </c>
      <c r="R79" t="s">
        <v>100</v>
      </c>
      <c r="T79" t="s">
        <v>101</v>
      </c>
      <c r="V79" t="s">
        <v>102</v>
      </c>
      <c r="AI79" t="s">
        <v>141</v>
      </c>
      <c r="AN79">
        <v>0.3</v>
      </c>
      <c r="AO79">
        <v>0.5</v>
      </c>
      <c r="AP79">
        <v>0.2</v>
      </c>
      <c r="AV79">
        <v>401</v>
      </c>
    </row>
    <row r="80" spans="1:48" x14ac:dyDescent="0.25">
      <c r="A80">
        <v>79</v>
      </c>
      <c r="B80" t="s">
        <v>42</v>
      </c>
      <c r="C80">
        <v>0</v>
      </c>
      <c r="D80" t="s">
        <v>37</v>
      </c>
      <c r="F80" s="1" t="s">
        <v>95</v>
      </c>
      <c r="H80" t="s">
        <v>185</v>
      </c>
      <c r="I80" t="s">
        <v>191</v>
      </c>
      <c r="K80">
        <v>18</v>
      </c>
      <c r="L80" t="s">
        <v>38</v>
      </c>
      <c r="M80">
        <f>K80*Sheet1!$I$6</f>
        <v>4.968</v>
      </c>
      <c r="R80" t="s">
        <v>100</v>
      </c>
      <c r="T80" t="s">
        <v>101</v>
      </c>
      <c r="V80" t="s">
        <v>102</v>
      </c>
      <c r="AI80" t="s">
        <v>141</v>
      </c>
      <c r="AN80">
        <v>0.3</v>
      </c>
      <c r="AO80">
        <v>0.5</v>
      </c>
      <c r="AP80">
        <v>0.2</v>
      </c>
      <c r="AV80">
        <v>401</v>
      </c>
    </row>
    <row r="81" spans="1:48" x14ac:dyDescent="0.25">
      <c r="A81">
        <v>80</v>
      </c>
      <c r="B81" t="s">
        <v>42</v>
      </c>
      <c r="C81">
        <v>0</v>
      </c>
      <c r="D81" t="s">
        <v>37</v>
      </c>
      <c r="F81" s="1" t="s">
        <v>95</v>
      </c>
      <c r="H81" t="s">
        <v>186</v>
      </c>
      <c r="I81" t="s">
        <v>192</v>
      </c>
      <c r="K81">
        <v>18</v>
      </c>
      <c r="L81" t="s">
        <v>38</v>
      </c>
      <c r="M81">
        <f>K81*Sheet1!$I$6</f>
        <v>4.968</v>
      </c>
      <c r="R81" t="s">
        <v>100</v>
      </c>
      <c r="T81" t="s">
        <v>101</v>
      </c>
      <c r="V81" t="s">
        <v>102</v>
      </c>
      <c r="AI81" t="s">
        <v>141</v>
      </c>
      <c r="AN81">
        <v>0.3</v>
      </c>
      <c r="AO81">
        <v>0.5</v>
      </c>
      <c r="AP81">
        <v>0.2</v>
      </c>
      <c r="AV81">
        <v>401</v>
      </c>
    </row>
    <row r="82" spans="1:48" x14ac:dyDescent="0.25">
      <c r="A82">
        <v>81</v>
      </c>
      <c r="B82" t="s">
        <v>42</v>
      </c>
      <c r="C82">
        <v>0</v>
      </c>
      <c r="D82" t="s">
        <v>37</v>
      </c>
      <c r="F82" s="1" t="s">
        <v>95</v>
      </c>
      <c r="H82" t="s">
        <v>187</v>
      </c>
      <c r="I82" t="s">
        <v>146</v>
      </c>
      <c r="K82">
        <v>18</v>
      </c>
      <c r="L82" t="s">
        <v>38</v>
      </c>
      <c r="M82">
        <f>K82*Sheet1!$I$6</f>
        <v>4.968</v>
      </c>
      <c r="R82" t="s">
        <v>100</v>
      </c>
      <c r="T82" t="s">
        <v>101</v>
      </c>
      <c r="V82" t="s">
        <v>102</v>
      </c>
      <c r="AI82" t="s">
        <v>141</v>
      </c>
      <c r="AN82">
        <v>0.3</v>
      </c>
      <c r="AO82">
        <v>0.5</v>
      </c>
      <c r="AP82">
        <v>0.2</v>
      </c>
      <c r="AV82">
        <v>401</v>
      </c>
    </row>
    <row r="83" spans="1:48" x14ac:dyDescent="0.25">
      <c r="A83">
        <v>82</v>
      </c>
      <c r="B83" t="s">
        <v>42</v>
      </c>
      <c r="C83">
        <v>0</v>
      </c>
      <c r="D83" t="s">
        <v>37</v>
      </c>
      <c r="F83" s="1" t="s">
        <v>95</v>
      </c>
      <c r="H83" t="s">
        <v>188</v>
      </c>
      <c r="I83" t="s">
        <v>161</v>
      </c>
      <c r="K83">
        <v>18</v>
      </c>
      <c r="L83" t="s">
        <v>38</v>
      </c>
      <c r="M83">
        <f>K83*Sheet1!$I$6</f>
        <v>4.968</v>
      </c>
      <c r="R83" t="s">
        <v>100</v>
      </c>
      <c r="T83" t="s">
        <v>101</v>
      </c>
      <c r="V83" t="s">
        <v>102</v>
      </c>
      <c r="AI83" t="s">
        <v>141</v>
      </c>
      <c r="AN83">
        <v>0.3</v>
      </c>
      <c r="AO83">
        <v>0.5</v>
      </c>
      <c r="AP83">
        <v>0.2</v>
      </c>
      <c r="AV83">
        <v>401</v>
      </c>
    </row>
    <row r="84" spans="1:48" x14ac:dyDescent="0.25">
      <c r="A84">
        <v>83</v>
      </c>
      <c r="B84" t="s">
        <v>42</v>
      </c>
      <c r="C84">
        <v>0</v>
      </c>
      <c r="D84" t="s">
        <v>37</v>
      </c>
      <c r="F84" s="1" t="s">
        <v>95</v>
      </c>
      <c r="H84" t="s">
        <v>189</v>
      </c>
      <c r="I84" t="s">
        <v>191</v>
      </c>
      <c r="K84">
        <v>18</v>
      </c>
      <c r="L84" t="s">
        <v>38</v>
      </c>
      <c r="M84">
        <f>K84*Sheet1!$I$6</f>
        <v>4.968</v>
      </c>
      <c r="R84" t="s">
        <v>100</v>
      </c>
      <c r="T84" t="s">
        <v>101</v>
      </c>
      <c r="V84" t="s">
        <v>102</v>
      </c>
      <c r="AI84" t="s">
        <v>141</v>
      </c>
      <c r="AN84">
        <v>0.3</v>
      </c>
      <c r="AO84">
        <v>0.5</v>
      </c>
      <c r="AP84">
        <v>0.2</v>
      </c>
      <c r="AV84">
        <v>401</v>
      </c>
    </row>
    <row r="85" spans="1:48" x14ac:dyDescent="0.25">
      <c r="A85">
        <v>84</v>
      </c>
      <c r="B85" t="s">
        <v>42</v>
      </c>
      <c r="C85">
        <v>0</v>
      </c>
      <c r="D85" t="s">
        <v>37</v>
      </c>
      <c r="F85" s="1" t="s">
        <v>95</v>
      </c>
      <c r="H85" t="s">
        <v>190</v>
      </c>
      <c r="I85" t="s">
        <v>191</v>
      </c>
      <c r="K85">
        <v>18</v>
      </c>
      <c r="L85" t="s">
        <v>38</v>
      </c>
      <c r="M85">
        <f>K85*Sheet1!$I$6</f>
        <v>4.968</v>
      </c>
      <c r="R85" t="s">
        <v>100</v>
      </c>
      <c r="T85" t="s">
        <v>101</v>
      </c>
      <c r="V85" t="s">
        <v>102</v>
      </c>
      <c r="AI85" t="s">
        <v>141</v>
      </c>
      <c r="AN85">
        <v>0.3</v>
      </c>
      <c r="AO85">
        <v>0.5</v>
      </c>
      <c r="AP85">
        <v>0.2</v>
      </c>
      <c r="AV85">
        <v>401</v>
      </c>
    </row>
    <row r="86" spans="1:48" x14ac:dyDescent="0.25">
      <c r="A86">
        <v>85</v>
      </c>
      <c r="B86" t="s">
        <v>42</v>
      </c>
      <c r="C86">
        <v>0</v>
      </c>
      <c r="D86" t="s">
        <v>37</v>
      </c>
      <c r="F86" s="1" t="s">
        <v>95</v>
      </c>
      <c r="H86" t="s">
        <v>194</v>
      </c>
      <c r="I86" t="s">
        <v>159</v>
      </c>
      <c r="K86">
        <v>54</v>
      </c>
      <c r="L86" t="s">
        <v>38</v>
      </c>
      <c r="M86">
        <f>K86*Sheet1!$I$6</f>
        <v>14.904000000000002</v>
      </c>
      <c r="R86" t="s">
        <v>100</v>
      </c>
      <c r="T86" t="s">
        <v>101</v>
      </c>
      <c r="V86" t="s">
        <v>102</v>
      </c>
      <c r="AI86" t="s">
        <v>141</v>
      </c>
      <c r="AN86">
        <v>0.3</v>
      </c>
      <c r="AO86">
        <v>0.5</v>
      </c>
      <c r="AP86">
        <v>0.2</v>
      </c>
      <c r="AV86">
        <v>401</v>
      </c>
    </row>
    <row r="87" spans="1:48" x14ac:dyDescent="0.25">
      <c r="A87">
        <v>86</v>
      </c>
      <c r="B87" t="s">
        <v>42</v>
      </c>
      <c r="C87">
        <v>0</v>
      </c>
      <c r="D87" t="s">
        <v>37</v>
      </c>
      <c r="F87" s="1" t="s">
        <v>95</v>
      </c>
      <c r="H87" t="s">
        <v>195</v>
      </c>
      <c r="I87" t="s">
        <v>191</v>
      </c>
      <c r="K87">
        <v>54</v>
      </c>
      <c r="L87" t="s">
        <v>38</v>
      </c>
      <c r="M87">
        <f>K87*Sheet1!$I$6</f>
        <v>14.904000000000002</v>
      </c>
      <c r="R87" t="s">
        <v>100</v>
      </c>
      <c r="T87" t="s">
        <v>101</v>
      </c>
      <c r="V87" t="s">
        <v>102</v>
      </c>
      <c r="AI87" t="s">
        <v>141</v>
      </c>
      <c r="AN87">
        <v>0.3</v>
      </c>
      <c r="AO87">
        <v>0.5</v>
      </c>
      <c r="AP87">
        <v>0.2</v>
      </c>
      <c r="AV87">
        <v>401</v>
      </c>
    </row>
    <row r="88" spans="1:48" x14ac:dyDescent="0.25">
      <c r="A88">
        <v>87</v>
      </c>
      <c r="B88" t="s">
        <v>42</v>
      </c>
      <c r="C88">
        <v>0</v>
      </c>
      <c r="D88" t="s">
        <v>37</v>
      </c>
      <c r="F88" s="1" t="s">
        <v>95</v>
      </c>
      <c r="H88" t="s">
        <v>196</v>
      </c>
      <c r="K88">
        <v>54</v>
      </c>
      <c r="L88" t="s">
        <v>38</v>
      </c>
      <c r="M88">
        <f>K88*Sheet1!$I$6</f>
        <v>14.904000000000002</v>
      </c>
      <c r="R88" t="s">
        <v>100</v>
      </c>
      <c r="T88" t="s">
        <v>101</v>
      </c>
      <c r="V88" t="s">
        <v>102</v>
      </c>
      <c r="AI88" t="s">
        <v>141</v>
      </c>
      <c r="AN88">
        <v>0.3</v>
      </c>
      <c r="AO88">
        <v>0.5</v>
      </c>
      <c r="AP88">
        <v>0.2</v>
      </c>
      <c r="AV88">
        <v>401</v>
      </c>
    </row>
    <row r="89" spans="1:48" x14ac:dyDescent="0.25">
      <c r="A89">
        <v>88</v>
      </c>
      <c r="B89" t="s">
        <v>42</v>
      </c>
      <c r="C89">
        <v>0</v>
      </c>
      <c r="D89" t="s">
        <v>37</v>
      </c>
      <c r="F89" s="1" t="s">
        <v>95</v>
      </c>
      <c r="H89" t="s">
        <v>196</v>
      </c>
      <c r="K89">
        <v>54</v>
      </c>
      <c r="L89" t="s">
        <v>38</v>
      </c>
      <c r="M89">
        <f>K89*Sheet1!$I$6</f>
        <v>14.904000000000002</v>
      </c>
      <c r="R89" t="s">
        <v>100</v>
      </c>
      <c r="T89" t="s">
        <v>101</v>
      </c>
      <c r="V89" t="s">
        <v>102</v>
      </c>
      <c r="AI89" t="s">
        <v>141</v>
      </c>
      <c r="AN89">
        <v>0.3</v>
      </c>
      <c r="AO89">
        <v>0.5</v>
      </c>
      <c r="AP89">
        <v>0.2</v>
      </c>
      <c r="AV89">
        <v>401</v>
      </c>
    </row>
    <row r="90" spans="1:48" x14ac:dyDescent="0.25">
      <c r="A90">
        <v>89</v>
      </c>
      <c r="B90" t="s">
        <v>42</v>
      </c>
      <c r="C90">
        <v>0</v>
      </c>
      <c r="D90" t="s">
        <v>37</v>
      </c>
      <c r="F90" s="1" t="s">
        <v>95</v>
      </c>
      <c r="H90" t="s">
        <v>157</v>
      </c>
      <c r="K90">
        <v>28</v>
      </c>
      <c r="L90" t="s">
        <v>38</v>
      </c>
      <c r="M90">
        <f>K90*Sheet1!$I$6</f>
        <v>7.7280000000000006</v>
      </c>
      <c r="R90" t="s">
        <v>100</v>
      </c>
      <c r="T90" t="s">
        <v>101</v>
      </c>
      <c r="V90" t="s">
        <v>102</v>
      </c>
      <c r="AI90" t="s">
        <v>141</v>
      </c>
      <c r="AN90">
        <v>0.3</v>
      </c>
      <c r="AO90">
        <v>0.5</v>
      </c>
      <c r="AP90">
        <v>0.2</v>
      </c>
      <c r="AV90">
        <v>401</v>
      </c>
    </row>
    <row r="91" spans="1:48" x14ac:dyDescent="0.25">
      <c r="A91">
        <v>90</v>
      </c>
      <c r="B91" t="s">
        <v>42</v>
      </c>
      <c r="C91">
        <v>0</v>
      </c>
      <c r="D91" t="s">
        <v>37</v>
      </c>
      <c r="F91" s="1" t="s">
        <v>95</v>
      </c>
      <c r="H91" t="s">
        <v>157</v>
      </c>
      <c r="K91">
        <v>28</v>
      </c>
      <c r="L91" t="s">
        <v>38</v>
      </c>
      <c r="M91">
        <f>K91*Sheet1!$I$6</f>
        <v>7.7280000000000006</v>
      </c>
      <c r="R91" t="s">
        <v>100</v>
      </c>
      <c r="T91" t="s">
        <v>101</v>
      </c>
      <c r="V91" t="s">
        <v>102</v>
      </c>
      <c r="AI91" t="s">
        <v>141</v>
      </c>
      <c r="AN91">
        <v>0.3</v>
      </c>
      <c r="AO91">
        <v>0.5</v>
      </c>
      <c r="AP91">
        <v>0.2</v>
      </c>
      <c r="AV91">
        <v>401</v>
      </c>
    </row>
    <row r="92" spans="1:48" x14ac:dyDescent="0.25">
      <c r="A92">
        <v>91</v>
      </c>
      <c r="B92" t="s">
        <v>42</v>
      </c>
      <c r="C92">
        <v>0</v>
      </c>
      <c r="D92" t="s">
        <v>37</v>
      </c>
      <c r="F92" s="1" t="s">
        <v>95</v>
      </c>
      <c r="H92" t="s">
        <v>157</v>
      </c>
      <c r="K92">
        <v>28</v>
      </c>
      <c r="L92" t="s">
        <v>38</v>
      </c>
      <c r="M92">
        <f>K92*Sheet1!$I$6</f>
        <v>7.7280000000000006</v>
      </c>
      <c r="R92" t="s">
        <v>100</v>
      </c>
      <c r="T92" t="s">
        <v>101</v>
      </c>
      <c r="V92" t="s">
        <v>102</v>
      </c>
      <c r="AI92" t="s">
        <v>141</v>
      </c>
      <c r="AN92">
        <v>0.3</v>
      </c>
      <c r="AO92">
        <v>0.5</v>
      </c>
      <c r="AP92">
        <v>0.2</v>
      </c>
      <c r="AV92">
        <v>401</v>
      </c>
    </row>
    <row r="93" spans="1:48" x14ac:dyDescent="0.25">
      <c r="A93">
        <v>92</v>
      </c>
      <c r="B93" t="s">
        <v>42</v>
      </c>
      <c r="C93">
        <v>0</v>
      </c>
      <c r="D93" t="s">
        <v>37</v>
      </c>
      <c r="F93" s="1" t="s">
        <v>95</v>
      </c>
      <c r="H93" t="s">
        <v>157</v>
      </c>
      <c r="K93">
        <v>28</v>
      </c>
      <c r="L93" t="s">
        <v>38</v>
      </c>
      <c r="M93">
        <f>K93*Sheet1!$I$6</f>
        <v>7.7280000000000006</v>
      </c>
      <c r="R93" t="s">
        <v>100</v>
      </c>
      <c r="T93" t="s">
        <v>101</v>
      </c>
      <c r="V93" t="s">
        <v>102</v>
      </c>
      <c r="AI93" t="s">
        <v>141</v>
      </c>
      <c r="AN93">
        <v>0.3</v>
      </c>
      <c r="AO93">
        <v>0.5</v>
      </c>
      <c r="AP93">
        <v>0.2</v>
      </c>
      <c r="AV93">
        <v>401</v>
      </c>
    </row>
    <row r="94" spans="1:48" x14ac:dyDescent="0.25">
      <c r="A94">
        <v>93</v>
      </c>
      <c r="B94" t="s">
        <v>42</v>
      </c>
      <c r="C94">
        <v>0</v>
      </c>
      <c r="D94" t="s">
        <v>37</v>
      </c>
      <c r="F94" s="1" t="s">
        <v>95</v>
      </c>
      <c r="H94" t="s">
        <v>198</v>
      </c>
      <c r="I94" t="s">
        <v>142</v>
      </c>
      <c r="K94">
        <v>35</v>
      </c>
      <c r="L94" t="s">
        <v>38</v>
      </c>
      <c r="M94">
        <f>K94*Sheet1!$I$6</f>
        <v>9.66</v>
      </c>
      <c r="R94" t="s">
        <v>100</v>
      </c>
      <c r="T94" t="s">
        <v>101</v>
      </c>
      <c r="V94" t="s">
        <v>102</v>
      </c>
      <c r="AI94" t="s">
        <v>197</v>
      </c>
      <c r="AN94">
        <v>0.3</v>
      </c>
      <c r="AO94">
        <v>0.5</v>
      </c>
      <c r="AP94">
        <v>0.2</v>
      </c>
      <c r="AV94">
        <v>402</v>
      </c>
    </row>
    <row r="95" spans="1:48" x14ac:dyDescent="0.25">
      <c r="A95">
        <v>94</v>
      </c>
      <c r="B95" t="s">
        <v>42</v>
      </c>
      <c r="C95">
        <v>0</v>
      </c>
      <c r="D95" t="s">
        <v>37</v>
      </c>
      <c r="F95" s="1" t="s">
        <v>95</v>
      </c>
      <c r="H95" t="s">
        <v>199</v>
      </c>
      <c r="I95" t="s">
        <v>142</v>
      </c>
      <c r="K95">
        <v>35</v>
      </c>
      <c r="L95" t="s">
        <v>38</v>
      </c>
      <c r="M95">
        <f>K95*Sheet1!$I$6</f>
        <v>9.66</v>
      </c>
      <c r="R95" t="s">
        <v>100</v>
      </c>
      <c r="T95" t="s">
        <v>101</v>
      </c>
      <c r="V95" t="s">
        <v>102</v>
      </c>
      <c r="AI95" t="s">
        <v>197</v>
      </c>
      <c r="AN95">
        <v>0.3</v>
      </c>
      <c r="AO95">
        <v>0.5</v>
      </c>
      <c r="AP95">
        <v>0.2</v>
      </c>
      <c r="AV95">
        <v>402</v>
      </c>
    </row>
    <row r="96" spans="1:48" x14ac:dyDescent="0.25">
      <c r="A96">
        <v>95</v>
      </c>
      <c r="B96" t="s">
        <v>42</v>
      </c>
      <c r="C96">
        <v>0</v>
      </c>
      <c r="D96" t="s">
        <v>37</v>
      </c>
      <c r="F96" s="1" t="s">
        <v>95</v>
      </c>
      <c r="H96" t="s">
        <v>200</v>
      </c>
      <c r="I96" t="s">
        <v>207</v>
      </c>
      <c r="K96">
        <v>35</v>
      </c>
      <c r="L96" t="s">
        <v>38</v>
      </c>
      <c r="M96">
        <f>K96*Sheet1!$I$6</f>
        <v>9.66</v>
      </c>
      <c r="R96" t="s">
        <v>100</v>
      </c>
      <c r="T96" t="s">
        <v>101</v>
      </c>
      <c r="V96" t="s">
        <v>102</v>
      </c>
      <c r="AI96" t="s">
        <v>197</v>
      </c>
      <c r="AN96">
        <v>0.3</v>
      </c>
      <c r="AO96">
        <v>0.5</v>
      </c>
      <c r="AP96">
        <v>0.2</v>
      </c>
      <c r="AV96">
        <v>402</v>
      </c>
    </row>
    <row r="97" spans="1:48" x14ac:dyDescent="0.25">
      <c r="A97">
        <v>96</v>
      </c>
      <c r="B97" t="s">
        <v>42</v>
      </c>
      <c r="C97">
        <v>0</v>
      </c>
      <c r="D97" t="s">
        <v>37</v>
      </c>
      <c r="F97" s="1" t="s">
        <v>95</v>
      </c>
      <c r="H97" t="s">
        <v>201</v>
      </c>
      <c r="I97" t="s">
        <v>142</v>
      </c>
      <c r="K97">
        <v>35</v>
      </c>
      <c r="L97" t="s">
        <v>38</v>
      </c>
      <c r="M97">
        <f>K97*Sheet1!$I$6</f>
        <v>9.66</v>
      </c>
      <c r="R97" t="s">
        <v>100</v>
      </c>
      <c r="T97" t="s">
        <v>101</v>
      </c>
      <c r="V97" t="s">
        <v>102</v>
      </c>
      <c r="AI97" t="s">
        <v>197</v>
      </c>
      <c r="AN97">
        <v>0.3</v>
      </c>
      <c r="AO97">
        <v>0.5</v>
      </c>
      <c r="AP97">
        <v>0.2</v>
      </c>
      <c r="AV97">
        <v>402</v>
      </c>
    </row>
    <row r="98" spans="1:48" x14ac:dyDescent="0.25">
      <c r="A98">
        <v>97</v>
      </c>
      <c r="B98" t="s">
        <v>42</v>
      </c>
      <c r="C98">
        <v>0</v>
      </c>
      <c r="D98" t="s">
        <v>37</v>
      </c>
      <c r="F98" s="1" t="s">
        <v>95</v>
      </c>
      <c r="H98" t="s">
        <v>202</v>
      </c>
      <c r="I98" t="s">
        <v>145</v>
      </c>
      <c r="K98">
        <v>35</v>
      </c>
      <c r="L98" t="s">
        <v>38</v>
      </c>
      <c r="M98">
        <f>K98*Sheet1!$I$6</f>
        <v>9.66</v>
      </c>
      <c r="R98" t="s">
        <v>100</v>
      </c>
      <c r="T98" t="s">
        <v>101</v>
      </c>
      <c r="V98" t="s">
        <v>102</v>
      </c>
      <c r="AI98" t="s">
        <v>197</v>
      </c>
      <c r="AN98">
        <v>0.3</v>
      </c>
      <c r="AO98">
        <v>0.5</v>
      </c>
      <c r="AP98">
        <v>0.2</v>
      </c>
      <c r="AV98">
        <v>402</v>
      </c>
    </row>
    <row r="99" spans="1:48" x14ac:dyDescent="0.25">
      <c r="A99">
        <v>98</v>
      </c>
      <c r="B99" t="s">
        <v>42</v>
      </c>
      <c r="C99">
        <v>0</v>
      </c>
      <c r="D99" t="s">
        <v>37</v>
      </c>
      <c r="F99" s="1" t="s">
        <v>95</v>
      </c>
      <c r="H99" t="s">
        <v>203</v>
      </c>
      <c r="I99" t="s">
        <v>144</v>
      </c>
      <c r="K99">
        <v>35</v>
      </c>
      <c r="L99" t="s">
        <v>38</v>
      </c>
      <c r="M99">
        <f>K99*Sheet1!$I$6</f>
        <v>9.66</v>
      </c>
      <c r="R99" t="s">
        <v>100</v>
      </c>
      <c r="T99" t="s">
        <v>101</v>
      </c>
      <c r="V99" t="s">
        <v>102</v>
      </c>
      <c r="AI99" t="s">
        <v>197</v>
      </c>
      <c r="AN99">
        <v>0.3</v>
      </c>
      <c r="AO99">
        <v>0.5</v>
      </c>
      <c r="AP99">
        <v>0.2</v>
      </c>
      <c r="AV99">
        <v>402</v>
      </c>
    </row>
    <row r="100" spans="1:48" x14ac:dyDescent="0.25">
      <c r="A100">
        <v>99</v>
      </c>
      <c r="B100" t="s">
        <v>42</v>
      </c>
      <c r="C100">
        <v>0</v>
      </c>
      <c r="D100" t="s">
        <v>37</v>
      </c>
      <c r="F100" s="1" t="s">
        <v>95</v>
      </c>
      <c r="H100" t="s">
        <v>204</v>
      </c>
      <c r="I100" t="s">
        <v>146</v>
      </c>
      <c r="K100">
        <v>35</v>
      </c>
      <c r="L100" t="s">
        <v>38</v>
      </c>
      <c r="M100">
        <f>K100*Sheet1!$I$6</f>
        <v>9.66</v>
      </c>
      <c r="R100" t="s">
        <v>100</v>
      </c>
      <c r="T100" t="s">
        <v>101</v>
      </c>
      <c r="V100" t="s">
        <v>102</v>
      </c>
      <c r="AI100" t="s">
        <v>197</v>
      </c>
      <c r="AN100">
        <v>0.3</v>
      </c>
      <c r="AO100">
        <v>0.5</v>
      </c>
      <c r="AP100">
        <v>0.2</v>
      </c>
      <c r="AV100">
        <v>402</v>
      </c>
    </row>
    <row r="101" spans="1:48" x14ac:dyDescent="0.25">
      <c r="A101">
        <v>100</v>
      </c>
      <c r="B101" t="s">
        <v>42</v>
      </c>
      <c r="C101">
        <v>0</v>
      </c>
      <c r="D101" t="s">
        <v>37</v>
      </c>
      <c r="F101" s="1" t="s">
        <v>95</v>
      </c>
      <c r="H101" t="s">
        <v>205</v>
      </c>
      <c r="I101" t="s">
        <v>147</v>
      </c>
      <c r="K101">
        <v>35</v>
      </c>
      <c r="L101" t="s">
        <v>38</v>
      </c>
      <c r="M101">
        <f>K101*Sheet1!$I$6</f>
        <v>9.66</v>
      </c>
      <c r="R101" t="s">
        <v>100</v>
      </c>
      <c r="T101" t="s">
        <v>101</v>
      </c>
      <c r="V101" t="s">
        <v>102</v>
      </c>
      <c r="AI101" t="s">
        <v>197</v>
      </c>
      <c r="AN101">
        <v>0.3</v>
      </c>
      <c r="AO101">
        <v>0.5</v>
      </c>
      <c r="AP101">
        <v>0.2</v>
      </c>
      <c r="AV101">
        <v>402</v>
      </c>
    </row>
    <row r="102" spans="1:48" x14ac:dyDescent="0.25">
      <c r="A102">
        <v>101</v>
      </c>
      <c r="B102" t="s">
        <v>42</v>
      </c>
      <c r="C102">
        <v>0</v>
      </c>
      <c r="D102" t="s">
        <v>37</v>
      </c>
      <c r="F102" s="1" t="s">
        <v>95</v>
      </c>
      <c r="H102" t="s">
        <v>206</v>
      </c>
      <c r="I102" t="s">
        <v>144</v>
      </c>
      <c r="K102">
        <v>35</v>
      </c>
      <c r="L102" t="s">
        <v>38</v>
      </c>
      <c r="M102">
        <f>K102*Sheet1!$I$6</f>
        <v>9.66</v>
      </c>
      <c r="R102" t="s">
        <v>100</v>
      </c>
      <c r="T102" t="s">
        <v>101</v>
      </c>
      <c r="V102" t="s">
        <v>102</v>
      </c>
      <c r="AI102" t="s">
        <v>197</v>
      </c>
      <c r="AN102">
        <v>0.3</v>
      </c>
      <c r="AO102">
        <v>0.5</v>
      </c>
      <c r="AP102">
        <v>0.2</v>
      </c>
      <c r="AV102">
        <v>402</v>
      </c>
    </row>
    <row r="103" spans="1:48" x14ac:dyDescent="0.25">
      <c r="A103">
        <v>102</v>
      </c>
      <c r="B103" t="s">
        <v>42</v>
      </c>
      <c r="C103">
        <v>0</v>
      </c>
      <c r="D103" t="s">
        <v>37</v>
      </c>
      <c r="F103" s="1" t="s">
        <v>95</v>
      </c>
      <c r="H103" t="s">
        <v>208</v>
      </c>
      <c r="I103" t="s">
        <v>142</v>
      </c>
      <c r="K103">
        <v>51</v>
      </c>
      <c r="L103" t="s">
        <v>38</v>
      </c>
      <c r="M103">
        <f>K103*Sheet1!$I$6</f>
        <v>14.076000000000001</v>
      </c>
      <c r="R103" t="s">
        <v>100</v>
      </c>
      <c r="T103" t="s">
        <v>101</v>
      </c>
      <c r="V103" t="s">
        <v>102</v>
      </c>
      <c r="AI103" t="s">
        <v>197</v>
      </c>
      <c r="AN103">
        <v>0.3</v>
      </c>
      <c r="AO103">
        <v>0.5</v>
      </c>
      <c r="AP103">
        <v>0.2</v>
      </c>
      <c r="AV103">
        <v>402</v>
      </c>
    </row>
    <row r="104" spans="1:48" x14ac:dyDescent="0.25">
      <c r="A104">
        <v>103</v>
      </c>
      <c r="B104" t="s">
        <v>42</v>
      </c>
      <c r="C104">
        <v>0</v>
      </c>
      <c r="D104" t="s">
        <v>37</v>
      </c>
      <c r="F104" s="1" t="s">
        <v>95</v>
      </c>
      <c r="H104" t="s">
        <v>209</v>
      </c>
      <c r="I104" t="s">
        <v>145</v>
      </c>
      <c r="K104">
        <v>51</v>
      </c>
      <c r="L104" t="s">
        <v>38</v>
      </c>
      <c r="M104">
        <f>K104*Sheet1!$I$6</f>
        <v>14.076000000000001</v>
      </c>
      <c r="R104" t="s">
        <v>100</v>
      </c>
      <c r="T104" t="s">
        <v>101</v>
      </c>
      <c r="V104" t="s">
        <v>102</v>
      </c>
      <c r="AI104" t="s">
        <v>197</v>
      </c>
      <c r="AN104">
        <v>0.3</v>
      </c>
      <c r="AO104">
        <v>0.5</v>
      </c>
      <c r="AP104">
        <v>0.2</v>
      </c>
      <c r="AV104">
        <v>402</v>
      </c>
    </row>
    <row r="105" spans="1:48" x14ac:dyDescent="0.25">
      <c r="A105">
        <v>104</v>
      </c>
      <c r="B105" t="s">
        <v>42</v>
      </c>
      <c r="C105">
        <v>0</v>
      </c>
      <c r="D105" t="s">
        <v>37</v>
      </c>
      <c r="F105" s="1" t="s">
        <v>95</v>
      </c>
      <c r="H105" t="s">
        <v>210</v>
      </c>
      <c r="I105" t="s">
        <v>144</v>
      </c>
      <c r="K105">
        <v>51</v>
      </c>
      <c r="L105" t="s">
        <v>38</v>
      </c>
      <c r="M105">
        <f>K105*Sheet1!$I$6</f>
        <v>14.076000000000001</v>
      </c>
      <c r="R105" t="s">
        <v>100</v>
      </c>
      <c r="T105" t="s">
        <v>101</v>
      </c>
      <c r="V105" t="s">
        <v>102</v>
      </c>
      <c r="AI105" t="s">
        <v>197</v>
      </c>
      <c r="AN105">
        <v>0.3</v>
      </c>
      <c r="AO105">
        <v>0.5</v>
      </c>
      <c r="AP105">
        <v>0.2</v>
      </c>
      <c r="AV105">
        <v>402</v>
      </c>
    </row>
    <row r="106" spans="1:48" x14ac:dyDescent="0.25">
      <c r="A106">
        <v>105</v>
      </c>
      <c r="B106" t="s">
        <v>42</v>
      </c>
      <c r="C106">
        <v>0</v>
      </c>
      <c r="D106" t="s">
        <v>37</v>
      </c>
      <c r="F106" s="1" t="s">
        <v>95</v>
      </c>
      <c r="H106" t="s">
        <v>211</v>
      </c>
      <c r="I106" t="s">
        <v>144</v>
      </c>
      <c r="K106">
        <v>51</v>
      </c>
      <c r="L106" t="s">
        <v>38</v>
      </c>
      <c r="M106">
        <f>K106*Sheet1!$I$6</f>
        <v>14.076000000000001</v>
      </c>
      <c r="R106" t="s">
        <v>100</v>
      </c>
      <c r="T106" t="s">
        <v>101</v>
      </c>
      <c r="V106" t="s">
        <v>102</v>
      </c>
      <c r="AI106" t="s">
        <v>197</v>
      </c>
      <c r="AN106">
        <v>0.3</v>
      </c>
      <c r="AO106">
        <v>0.5</v>
      </c>
      <c r="AP106">
        <v>0.2</v>
      </c>
      <c r="AV106">
        <v>402</v>
      </c>
    </row>
    <row r="107" spans="1:48" x14ac:dyDescent="0.25">
      <c r="A107">
        <v>106</v>
      </c>
      <c r="B107" t="s">
        <v>42</v>
      </c>
      <c r="C107">
        <v>0</v>
      </c>
      <c r="D107" t="s">
        <v>37</v>
      </c>
      <c r="F107" s="1" t="s">
        <v>95</v>
      </c>
      <c r="H107" t="s">
        <v>213</v>
      </c>
      <c r="I107" t="s">
        <v>159</v>
      </c>
      <c r="K107">
        <v>53</v>
      </c>
      <c r="L107" t="s">
        <v>38</v>
      </c>
      <c r="M107">
        <f>K107*Sheet1!$I$6</f>
        <v>14.628000000000002</v>
      </c>
      <c r="R107" t="s">
        <v>100</v>
      </c>
      <c r="T107" t="s">
        <v>101</v>
      </c>
      <c r="V107" t="s">
        <v>102</v>
      </c>
      <c r="AI107" t="s">
        <v>197</v>
      </c>
      <c r="AN107">
        <v>0.3</v>
      </c>
      <c r="AO107">
        <v>0.5</v>
      </c>
      <c r="AP107">
        <v>0.2</v>
      </c>
      <c r="AV107">
        <v>402</v>
      </c>
    </row>
    <row r="108" spans="1:48" x14ac:dyDescent="0.25">
      <c r="A108">
        <v>107</v>
      </c>
      <c r="B108" t="s">
        <v>42</v>
      </c>
      <c r="C108">
        <v>0</v>
      </c>
      <c r="D108" t="s">
        <v>37</v>
      </c>
      <c r="F108" s="1" t="s">
        <v>95</v>
      </c>
      <c r="H108" t="s">
        <v>214</v>
      </c>
      <c r="I108" t="s">
        <v>191</v>
      </c>
      <c r="K108">
        <v>53</v>
      </c>
      <c r="L108" t="s">
        <v>38</v>
      </c>
      <c r="M108">
        <f>K108*Sheet1!$I$6</f>
        <v>14.628000000000002</v>
      </c>
      <c r="R108" t="s">
        <v>100</v>
      </c>
      <c r="T108" t="s">
        <v>101</v>
      </c>
      <c r="V108" t="s">
        <v>102</v>
      </c>
      <c r="AI108" t="s">
        <v>197</v>
      </c>
      <c r="AN108">
        <v>0.3</v>
      </c>
      <c r="AO108">
        <v>0.5</v>
      </c>
      <c r="AP108">
        <v>0.2</v>
      </c>
      <c r="AV108">
        <v>402</v>
      </c>
    </row>
    <row r="109" spans="1:48" x14ac:dyDescent="0.25">
      <c r="A109">
        <v>108</v>
      </c>
      <c r="B109" t="s">
        <v>42</v>
      </c>
      <c r="C109">
        <v>0</v>
      </c>
      <c r="D109" t="s">
        <v>37</v>
      </c>
      <c r="F109" s="1" t="s">
        <v>95</v>
      </c>
      <c r="H109" t="s">
        <v>212</v>
      </c>
      <c r="K109">
        <v>53</v>
      </c>
      <c r="L109" t="s">
        <v>38</v>
      </c>
      <c r="M109">
        <f>K109*Sheet1!$I$6</f>
        <v>14.628000000000002</v>
      </c>
      <c r="R109" t="s">
        <v>100</v>
      </c>
      <c r="T109" t="s">
        <v>101</v>
      </c>
      <c r="V109" t="s">
        <v>102</v>
      </c>
      <c r="AI109" t="s">
        <v>197</v>
      </c>
      <c r="AN109">
        <v>0.3</v>
      </c>
      <c r="AO109">
        <v>0.5</v>
      </c>
      <c r="AP109">
        <v>0.2</v>
      </c>
      <c r="AV109">
        <v>402</v>
      </c>
    </row>
    <row r="110" spans="1:48" x14ac:dyDescent="0.25">
      <c r="A110">
        <v>109</v>
      </c>
      <c r="B110" t="s">
        <v>42</v>
      </c>
      <c r="C110">
        <v>0</v>
      </c>
      <c r="D110" t="s">
        <v>37</v>
      </c>
      <c r="F110" s="1" t="s">
        <v>95</v>
      </c>
      <c r="H110" t="s">
        <v>212</v>
      </c>
      <c r="K110">
        <v>53</v>
      </c>
      <c r="L110" t="s">
        <v>38</v>
      </c>
      <c r="M110">
        <f>K110*Sheet1!$I$6</f>
        <v>14.628000000000002</v>
      </c>
      <c r="R110" t="s">
        <v>100</v>
      </c>
      <c r="T110" t="s">
        <v>101</v>
      </c>
      <c r="V110" t="s">
        <v>102</v>
      </c>
      <c r="AI110" t="s">
        <v>197</v>
      </c>
      <c r="AN110">
        <v>0.3</v>
      </c>
      <c r="AO110">
        <v>0.5</v>
      </c>
      <c r="AP110">
        <v>0.2</v>
      </c>
      <c r="AV110">
        <v>402</v>
      </c>
    </row>
    <row r="111" spans="1:48" x14ac:dyDescent="0.25">
      <c r="A111">
        <v>110</v>
      </c>
      <c r="B111" t="s">
        <v>42</v>
      </c>
      <c r="C111">
        <v>0</v>
      </c>
      <c r="D111" t="s">
        <v>37</v>
      </c>
      <c r="F111" s="1" t="s">
        <v>95</v>
      </c>
      <c r="H111" t="s">
        <v>216</v>
      </c>
      <c r="I111" t="s">
        <v>159</v>
      </c>
      <c r="K111">
        <v>54</v>
      </c>
      <c r="L111" t="s">
        <v>38</v>
      </c>
      <c r="M111">
        <f>K111*Sheet1!$I$6</f>
        <v>14.904000000000002</v>
      </c>
      <c r="R111" t="s">
        <v>100</v>
      </c>
      <c r="T111" t="s">
        <v>101</v>
      </c>
      <c r="V111" t="s">
        <v>102</v>
      </c>
      <c r="AI111" t="s">
        <v>197</v>
      </c>
      <c r="AN111">
        <v>0.3</v>
      </c>
      <c r="AO111">
        <v>0.5</v>
      </c>
      <c r="AP111">
        <v>0.2</v>
      </c>
      <c r="AV111">
        <v>402</v>
      </c>
    </row>
    <row r="112" spans="1:48" x14ac:dyDescent="0.25">
      <c r="A112">
        <v>111</v>
      </c>
      <c r="B112" t="s">
        <v>68</v>
      </c>
      <c r="C112">
        <v>0</v>
      </c>
      <c r="D112" t="s">
        <v>37</v>
      </c>
      <c r="F112" s="1" t="s">
        <v>95</v>
      </c>
      <c r="H112" t="s">
        <v>217</v>
      </c>
      <c r="I112" t="s">
        <v>191</v>
      </c>
      <c r="K112">
        <v>54</v>
      </c>
      <c r="L112" t="s">
        <v>38</v>
      </c>
      <c r="M112">
        <f>K112*Sheet1!$I$6</f>
        <v>14.904000000000002</v>
      </c>
      <c r="R112" t="s">
        <v>100</v>
      </c>
      <c r="T112" t="s">
        <v>101</v>
      </c>
      <c r="V112" t="s">
        <v>102</v>
      </c>
      <c r="AI112" t="s">
        <v>215</v>
      </c>
      <c r="AN112">
        <v>0.3</v>
      </c>
      <c r="AO112">
        <v>0.5</v>
      </c>
      <c r="AP112">
        <v>0.2</v>
      </c>
      <c r="AV112">
        <v>403</v>
      </c>
    </row>
    <row r="113" spans="1:48" x14ac:dyDescent="0.25">
      <c r="A113">
        <v>112</v>
      </c>
      <c r="B113" t="s">
        <v>68</v>
      </c>
      <c r="C113">
        <v>0</v>
      </c>
      <c r="D113" t="s">
        <v>37</v>
      </c>
      <c r="F113" s="1" t="s">
        <v>95</v>
      </c>
      <c r="H113" t="s">
        <v>218</v>
      </c>
      <c r="K113">
        <v>54</v>
      </c>
      <c r="L113" t="s">
        <v>38</v>
      </c>
      <c r="M113">
        <f>K113*Sheet1!$I$6</f>
        <v>14.904000000000002</v>
      </c>
      <c r="R113" t="s">
        <v>100</v>
      </c>
      <c r="T113" t="s">
        <v>101</v>
      </c>
      <c r="V113" t="s">
        <v>102</v>
      </c>
      <c r="AI113" t="s">
        <v>215</v>
      </c>
      <c r="AN113">
        <v>0.3</v>
      </c>
      <c r="AO113">
        <v>0.5</v>
      </c>
      <c r="AP113">
        <v>0.2</v>
      </c>
      <c r="AV113">
        <v>403</v>
      </c>
    </row>
    <row r="114" spans="1:48" x14ac:dyDescent="0.25">
      <c r="A114">
        <v>113</v>
      </c>
      <c r="B114" t="s">
        <v>68</v>
      </c>
      <c r="C114">
        <v>0</v>
      </c>
      <c r="D114" t="s">
        <v>37</v>
      </c>
      <c r="F114" s="1" t="s">
        <v>95</v>
      </c>
      <c r="H114" t="s">
        <v>218</v>
      </c>
      <c r="K114">
        <v>54</v>
      </c>
      <c r="L114" t="s">
        <v>38</v>
      </c>
      <c r="M114">
        <f>K114*Sheet1!$I$6</f>
        <v>14.904000000000002</v>
      </c>
      <c r="R114" t="s">
        <v>100</v>
      </c>
      <c r="T114" t="s">
        <v>101</v>
      </c>
      <c r="V114" t="s">
        <v>102</v>
      </c>
      <c r="AI114" t="s">
        <v>215</v>
      </c>
      <c r="AN114">
        <v>0.3</v>
      </c>
      <c r="AO114">
        <v>0.5</v>
      </c>
      <c r="AP114">
        <v>0.2</v>
      </c>
      <c r="AV114">
        <v>403</v>
      </c>
    </row>
    <row r="115" spans="1:48" x14ac:dyDescent="0.25">
      <c r="A115">
        <v>114</v>
      </c>
      <c r="B115" t="s">
        <v>68</v>
      </c>
      <c r="C115">
        <v>0</v>
      </c>
      <c r="D115" t="s">
        <v>37</v>
      </c>
      <c r="F115" s="1" t="s">
        <v>95</v>
      </c>
      <c r="H115" t="s">
        <v>243</v>
      </c>
      <c r="I115" t="s">
        <v>191</v>
      </c>
      <c r="K115">
        <v>18</v>
      </c>
      <c r="L115" t="s">
        <v>38</v>
      </c>
      <c r="M115">
        <f>K115*Sheet1!$I$6</f>
        <v>4.968</v>
      </c>
      <c r="R115" t="s">
        <v>100</v>
      </c>
      <c r="T115" t="s">
        <v>101</v>
      </c>
      <c r="V115" t="s">
        <v>102</v>
      </c>
      <c r="AI115" t="s">
        <v>215</v>
      </c>
      <c r="AN115">
        <v>0.3</v>
      </c>
      <c r="AO115">
        <v>0.5</v>
      </c>
      <c r="AP115">
        <v>0.2</v>
      </c>
      <c r="AV115">
        <v>403</v>
      </c>
    </row>
    <row r="116" spans="1:48" x14ac:dyDescent="0.25">
      <c r="A116">
        <v>115</v>
      </c>
      <c r="B116" t="s">
        <v>68</v>
      </c>
      <c r="C116">
        <v>0</v>
      </c>
      <c r="D116" t="s">
        <v>37</v>
      </c>
      <c r="F116" s="1" t="s">
        <v>95</v>
      </c>
      <c r="H116" t="s">
        <v>244</v>
      </c>
      <c r="I116" t="s">
        <v>192</v>
      </c>
      <c r="K116">
        <v>18</v>
      </c>
      <c r="L116" t="s">
        <v>38</v>
      </c>
      <c r="M116">
        <f>K116*Sheet1!$I$6</f>
        <v>4.968</v>
      </c>
      <c r="R116" t="s">
        <v>100</v>
      </c>
      <c r="T116" t="s">
        <v>101</v>
      </c>
      <c r="V116" t="s">
        <v>102</v>
      </c>
      <c r="AI116" t="s">
        <v>215</v>
      </c>
      <c r="AN116">
        <v>0.3</v>
      </c>
      <c r="AO116">
        <v>0.5</v>
      </c>
      <c r="AP116">
        <v>0.2</v>
      </c>
      <c r="AV116">
        <v>403</v>
      </c>
    </row>
    <row r="117" spans="1:48" x14ac:dyDescent="0.25">
      <c r="A117">
        <v>116</v>
      </c>
      <c r="B117" t="s">
        <v>68</v>
      </c>
      <c r="C117">
        <v>0</v>
      </c>
      <c r="D117" t="s">
        <v>37</v>
      </c>
      <c r="F117" s="1" t="s">
        <v>95</v>
      </c>
      <c r="H117" t="s">
        <v>245</v>
      </c>
      <c r="I117" t="s">
        <v>193</v>
      </c>
      <c r="K117">
        <v>18</v>
      </c>
      <c r="L117" t="s">
        <v>38</v>
      </c>
      <c r="M117">
        <f>K117*Sheet1!$I$6</f>
        <v>4.968</v>
      </c>
      <c r="R117" t="s">
        <v>100</v>
      </c>
      <c r="T117" t="s">
        <v>101</v>
      </c>
      <c r="V117" t="s">
        <v>102</v>
      </c>
      <c r="AI117" t="s">
        <v>215</v>
      </c>
      <c r="AN117">
        <v>0.3</v>
      </c>
      <c r="AO117">
        <v>0.5</v>
      </c>
      <c r="AP117">
        <v>0.2</v>
      </c>
      <c r="AV117">
        <v>403</v>
      </c>
    </row>
    <row r="118" spans="1:48" x14ac:dyDescent="0.25">
      <c r="A118">
        <v>117</v>
      </c>
      <c r="B118" t="s">
        <v>68</v>
      </c>
      <c r="C118">
        <v>0</v>
      </c>
      <c r="D118" t="s">
        <v>37</v>
      </c>
      <c r="F118" s="1" t="s">
        <v>95</v>
      </c>
      <c r="H118" t="s">
        <v>246</v>
      </c>
      <c r="I118" t="s">
        <v>193</v>
      </c>
      <c r="K118">
        <v>18</v>
      </c>
      <c r="L118" t="s">
        <v>38</v>
      </c>
      <c r="M118">
        <f>K118*Sheet1!$I$6</f>
        <v>4.968</v>
      </c>
      <c r="R118" t="s">
        <v>100</v>
      </c>
      <c r="T118" t="s">
        <v>101</v>
      </c>
      <c r="V118" t="s">
        <v>102</v>
      </c>
      <c r="AI118" t="s">
        <v>215</v>
      </c>
      <c r="AN118">
        <v>0.3</v>
      </c>
      <c r="AO118">
        <v>0.5</v>
      </c>
      <c r="AP118">
        <v>0.2</v>
      </c>
      <c r="AV118">
        <v>403</v>
      </c>
    </row>
    <row r="119" spans="1:48" x14ac:dyDescent="0.25">
      <c r="A119">
        <v>118</v>
      </c>
      <c r="B119" t="s">
        <v>68</v>
      </c>
      <c r="C119">
        <v>0</v>
      </c>
      <c r="D119" t="s">
        <v>37</v>
      </c>
      <c r="F119" s="1" t="s">
        <v>95</v>
      </c>
      <c r="H119" t="s">
        <v>247</v>
      </c>
      <c r="I119" t="s">
        <v>191</v>
      </c>
      <c r="K119">
        <v>18</v>
      </c>
      <c r="L119" t="s">
        <v>38</v>
      </c>
      <c r="M119">
        <f>K119*Sheet1!$I$6</f>
        <v>4.968</v>
      </c>
      <c r="AI119" t="s">
        <v>215</v>
      </c>
      <c r="AN119">
        <v>0.3</v>
      </c>
      <c r="AO119">
        <v>0.5</v>
      </c>
      <c r="AP119">
        <v>0.2</v>
      </c>
      <c r="AV119">
        <v>403</v>
      </c>
    </row>
    <row r="120" spans="1:48" x14ac:dyDescent="0.25">
      <c r="A120">
        <v>119</v>
      </c>
      <c r="B120" t="s">
        <v>68</v>
      </c>
      <c r="C120">
        <v>0</v>
      </c>
      <c r="D120" t="s">
        <v>37</v>
      </c>
      <c r="F120" s="1" t="s">
        <v>95</v>
      </c>
      <c r="H120" t="s">
        <v>248</v>
      </c>
      <c r="I120" t="s">
        <v>193</v>
      </c>
      <c r="K120">
        <v>18</v>
      </c>
      <c r="L120" t="s">
        <v>38</v>
      </c>
      <c r="M120">
        <f>K120*Sheet1!$I$6</f>
        <v>4.968</v>
      </c>
      <c r="AI120" t="s">
        <v>215</v>
      </c>
      <c r="AN120">
        <v>0.3</v>
      </c>
      <c r="AO120">
        <v>0.5</v>
      </c>
      <c r="AP120">
        <v>0.2</v>
      </c>
      <c r="AV120">
        <v>403</v>
      </c>
    </row>
    <row r="121" spans="1:48" x14ac:dyDescent="0.25">
      <c r="A121">
        <v>120</v>
      </c>
      <c r="B121" t="s">
        <v>68</v>
      </c>
      <c r="C121">
        <v>0</v>
      </c>
      <c r="D121" t="s">
        <v>37</v>
      </c>
      <c r="F121" s="1" t="s">
        <v>95</v>
      </c>
      <c r="H121" t="s">
        <v>249</v>
      </c>
      <c r="I121" t="s">
        <v>191</v>
      </c>
      <c r="K121">
        <v>18</v>
      </c>
      <c r="L121" t="s">
        <v>38</v>
      </c>
      <c r="M121">
        <f>K121*Sheet1!$I$6</f>
        <v>4.968</v>
      </c>
      <c r="AI121" t="s">
        <v>215</v>
      </c>
      <c r="AN121">
        <v>0.3</v>
      </c>
      <c r="AO121">
        <v>0.5</v>
      </c>
      <c r="AP121">
        <v>0.2</v>
      </c>
      <c r="AV121">
        <v>403</v>
      </c>
    </row>
    <row r="122" spans="1:48" x14ac:dyDescent="0.25">
      <c r="A122">
        <v>121</v>
      </c>
      <c r="B122" t="s">
        <v>68</v>
      </c>
      <c r="C122">
        <v>0</v>
      </c>
      <c r="D122" t="s">
        <v>37</v>
      </c>
      <c r="F122" s="1" t="s">
        <v>95</v>
      </c>
      <c r="H122" t="s">
        <v>250</v>
      </c>
      <c r="I122" t="s">
        <v>192</v>
      </c>
      <c r="K122">
        <v>18</v>
      </c>
      <c r="L122" t="s">
        <v>38</v>
      </c>
      <c r="M122">
        <f>K122*Sheet1!$I$6</f>
        <v>4.968</v>
      </c>
      <c r="AI122" t="s">
        <v>215</v>
      </c>
      <c r="AN122">
        <v>0.3</v>
      </c>
      <c r="AO122">
        <v>0.5</v>
      </c>
      <c r="AP122">
        <v>0.2</v>
      </c>
      <c r="AV122">
        <v>403</v>
      </c>
    </row>
    <row r="123" spans="1:48" x14ac:dyDescent="0.25">
      <c r="A123">
        <v>122</v>
      </c>
      <c r="B123" t="s">
        <v>68</v>
      </c>
      <c r="C123">
        <v>0</v>
      </c>
      <c r="D123" t="s">
        <v>37</v>
      </c>
      <c r="F123" s="1" t="s">
        <v>95</v>
      </c>
      <c r="H123" t="s">
        <v>251</v>
      </c>
      <c r="I123" t="s">
        <v>146</v>
      </c>
      <c r="K123">
        <v>18</v>
      </c>
      <c r="L123" t="s">
        <v>38</v>
      </c>
      <c r="M123">
        <f>K123*Sheet1!$I$6</f>
        <v>4.968</v>
      </c>
      <c r="AI123" t="s">
        <v>215</v>
      </c>
      <c r="AN123">
        <v>0.3</v>
      </c>
      <c r="AO123">
        <v>0.5</v>
      </c>
      <c r="AP123">
        <v>0.2</v>
      </c>
      <c r="AV123">
        <v>403</v>
      </c>
    </row>
    <row r="124" spans="1:48" x14ac:dyDescent="0.25">
      <c r="A124">
        <v>123</v>
      </c>
      <c r="B124" t="s">
        <v>68</v>
      </c>
      <c r="C124">
        <v>0</v>
      </c>
      <c r="D124" t="s">
        <v>37</v>
      </c>
      <c r="F124" s="1" t="s">
        <v>95</v>
      </c>
      <c r="H124" t="s">
        <v>252</v>
      </c>
      <c r="I124" t="s">
        <v>161</v>
      </c>
      <c r="K124">
        <v>18</v>
      </c>
      <c r="L124" t="s">
        <v>38</v>
      </c>
      <c r="M124">
        <f>K124*Sheet1!$I$6</f>
        <v>4.968</v>
      </c>
      <c r="AI124" t="s">
        <v>215</v>
      </c>
      <c r="AN124">
        <v>0.3</v>
      </c>
      <c r="AO124">
        <v>0.5</v>
      </c>
      <c r="AP124">
        <v>0.2</v>
      </c>
      <c r="AV124">
        <v>403</v>
      </c>
    </row>
    <row r="125" spans="1:48" x14ac:dyDescent="0.25">
      <c r="A125">
        <v>124</v>
      </c>
      <c r="B125" t="s">
        <v>68</v>
      </c>
      <c r="C125">
        <v>0</v>
      </c>
      <c r="D125" t="s">
        <v>37</v>
      </c>
      <c r="F125" s="1" t="s">
        <v>95</v>
      </c>
      <c r="H125" t="s">
        <v>253</v>
      </c>
      <c r="I125" t="s">
        <v>191</v>
      </c>
      <c r="K125">
        <v>18</v>
      </c>
      <c r="L125" t="s">
        <v>38</v>
      </c>
      <c r="M125">
        <f>K125*Sheet1!$I$6</f>
        <v>4.968</v>
      </c>
      <c r="AI125" t="s">
        <v>215</v>
      </c>
      <c r="AN125">
        <v>0.3</v>
      </c>
      <c r="AO125">
        <v>0.5</v>
      </c>
      <c r="AP125">
        <v>0.2</v>
      </c>
      <c r="AV125">
        <v>403</v>
      </c>
    </row>
    <row r="126" spans="1:48" x14ac:dyDescent="0.25">
      <c r="A126">
        <v>125</v>
      </c>
      <c r="B126" t="s">
        <v>68</v>
      </c>
      <c r="C126">
        <v>0</v>
      </c>
      <c r="D126" t="s">
        <v>37</v>
      </c>
      <c r="F126" s="1" t="s">
        <v>95</v>
      </c>
      <c r="H126" t="s">
        <v>254</v>
      </c>
      <c r="I126" t="s">
        <v>191</v>
      </c>
      <c r="K126">
        <v>18</v>
      </c>
      <c r="L126" t="s">
        <v>38</v>
      </c>
      <c r="M126">
        <f>K126*Sheet1!$I$6</f>
        <v>4.968</v>
      </c>
      <c r="AI126" t="s">
        <v>215</v>
      </c>
      <c r="AN126">
        <v>0.3</v>
      </c>
      <c r="AO126">
        <v>0.5</v>
      </c>
      <c r="AP126">
        <v>0.2</v>
      </c>
      <c r="AV126">
        <v>403</v>
      </c>
    </row>
    <row r="127" spans="1:48" x14ac:dyDescent="0.25">
      <c r="A127">
        <v>126</v>
      </c>
      <c r="B127" t="s">
        <v>68</v>
      </c>
      <c r="C127">
        <v>0</v>
      </c>
      <c r="D127" t="s">
        <v>37</v>
      </c>
      <c r="F127" s="1" t="s">
        <v>95</v>
      </c>
      <c r="H127" t="s">
        <v>208</v>
      </c>
      <c r="I127" t="s">
        <v>142</v>
      </c>
      <c r="K127">
        <v>18</v>
      </c>
      <c r="L127" t="s">
        <v>38</v>
      </c>
      <c r="M127">
        <f>K127*Sheet1!$I$6</f>
        <v>4.968</v>
      </c>
      <c r="R127" t="s">
        <v>100</v>
      </c>
      <c r="T127" t="s">
        <v>101</v>
      </c>
      <c r="V127" t="s">
        <v>102</v>
      </c>
      <c r="AI127" t="s">
        <v>197</v>
      </c>
      <c r="AN127">
        <v>0.3</v>
      </c>
      <c r="AO127">
        <v>0.5</v>
      </c>
      <c r="AP127">
        <v>0.2</v>
      </c>
      <c r="AV127">
        <v>403</v>
      </c>
    </row>
    <row r="128" spans="1:48" x14ac:dyDescent="0.25">
      <c r="A128">
        <v>127</v>
      </c>
      <c r="B128" t="s">
        <v>68</v>
      </c>
      <c r="C128">
        <v>0</v>
      </c>
      <c r="D128" t="s">
        <v>37</v>
      </c>
      <c r="F128" s="1" t="s">
        <v>95</v>
      </c>
      <c r="H128" t="s">
        <v>209</v>
      </c>
      <c r="I128" t="s">
        <v>145</v>
      </c>
      <c r="K128">
        <v>68</v>
      </c>
      <c r="L128" t="s">
        <v>38</v>
      </c>
      <c r="M128">
        <f>K128*Sheet1!$I$6</f>
        <v>18.768000000000001</v>
      </c>
      <c r="R128" t="s">
        <v>100</v>
      </c>
      <c r="T128" t="s">
        <v>101</v>
      </c>
      <c r="V128" t="s">
        <v>102</v>
      </c>
      <c r="AI128" t="s">
        <v>197</v>
      </c>
      <c r="AN128">
        <v>0.3</v>
      </c>
      <c r="AO128">
        <v>0.5</v>
      </c>
      <c r="AP128">
        <v>0.2</v>
      </c>
      <c r="AV128">
        <v>403</v>
      </c>
    </row>
    <row r="129" spans="1:48" x14ac:dyDescent="0.25">
      <c r="A129">
        <v>128</v>
      </c>
      <c r="B129" t="s">
        <v>68</v>
      </c>
      <c r="C129">
        <v>0</v>
      </c>
      <c r="D129" t="s">
        <v>37</v>
      </c>
      <c r="F129" s="1" t="s">
        <v>95</v>
      </c>
      <c r="H129" t="s">
        <v>210</v>
      </c>
      <c r="I129" t="s">
        <v>144</v>
      </c>
      <c r="K129">
        <v>68</v>
      </c>
      <c r="L129" t="s">
        <v>38</v>
      </c>
      <c r="M129">
        <f>K129*Sheet1!$I$6</f>
        <v>18.768000000000001</v>
      </c>
      <c r="R129" t="s">
        <v>100</v>
      </c>
      <c r="T129" t="s">
        <v>101</v>
      </c>
      <c r="V129" t="s">
        <v>102</v>
      </c>
      <c r="AI129" t="s">
        <v>197</v>
      </c>
      <c r="AN129">
        <v>0.3</v>
      </c>
      <c r="AO129">
        <v>0.5</v>
      </c>
      <c r="AP129">
        <v>0.2</v>
      </c>
      <c r="AV129">
        <v>403</v>
      </c>
    </row>
    <row r="130" spans="1:48" x14ac:dyDescent="0.25">
      <c r="A130">
        <v>129</v>
      </c>
      <c r="B130" t="s">
        <v>68</v>
      </c>
      <c r="C130">
        <v>0</v>
      </c>
      <c r="D130" t="s">
        <v>37</v>
      </c>
      <c r="F130" s="1" t="s">
        <v>95</v>
      </c>
      <c r="H130" t="s">
        <v>211</v>
      </c>
      <c r="I130" t="s">
        <v>144</v>
      </c>
      <c r="K130">
        <v>68</v>
      </c>
      <c r="L130" t="s">
        <v>38</v>
      </c>
      <c r="M130">
        <f>K130*Sheet1!$I$6</f>
        <v>18.768000000000001</v>
      </c>
      <c r="R130" t="s">
        <v>100</v>
      </c>
      <c r="T130" t="s">
        <v>101</v>
      </c>
      <c r="V130" t="s">
        <v>102</v>
      </c>
      <c r="AI130" t="s">
        <v>197</v>
      </c>
      <c r="AN130">
        <v>0.3</v>
      </c>
      <c r="AO130">
        <v>0.5</v>
      </c>
      <c r="AP130">
        <v>0.2</v>
      </c>
      <c r="AV130">
        <v>403</v>
      </c>
    </row>
    <row r="131" spans="1:48" x14ac:dyDescent="0.25">
      <c r="A131">
        <v>130</v>
      </c>
      <c r="B131" t="s">
        <v>68</v>
      </c>
      <c r="C131">
        <v>0</v>
      </c>
      <c r="D131" t="s">
        <v>37</v>
      </c>
      <c r="F131" s="1" t="s">
        <v>95</v>
      </c>
      <c r="H131" t="s">
        <v>219</v>
      </c>
      <c r="I131" t="s">
        <v>142</v>
      </c>
      <c r="K131">
        <v>35</v>
      </c>
      <c r="L131" t="s">
        <v>38</v>
      </c>
      <c r="M131">
        <f>K131*Sheet1!$I$6</f>
        <v>9.66</v>
      </c>
      <c r="R131" t="s">
        <v>100</v>
      </c>
      <c r="T131" t="s">
        <v>101</v>
      </c>
      <c r="V131" t="s">
        <v>102</v>
      </c>
      <c r="AI131" t="s">
        <v>215</v>
      </c>
      <c r="AN131">
        <v>0.3</v>
      </c>
      <c r="AO131">
        <v>0.5</v>
      </c>
      <c r="AP131">
        <v>0.2</v>
      </c>
      <c r="AV131">
        <v>403</v>
      </c>
    </row>
    <row r="132" spans="1:48" x14ac:dyDescent="0.25">
      <c r="A132">
        <v>131</v>
      </c>
      <c r="B132" t="s">
        <v>68</v>
      </c>
      <c r="C132">
        <v>0</v>
      </c>
      <c r="D132" t="s">
        <v>37</v>
      </c>
      <c r="F132" s="1" t="s">
        <v>95</v>
      </c>
      <c r="H132" t="s">
        <v>220</v>
      </c>
      <c r="I132" t="s">
        <v>142</v>
      </c>
      <c r="K132">
        <v>35</v>
      </c>
      <c r="L132" t="s">
        <v>38</v>
      </c>
      <c r="M132">
        <f>K132*Sheet1!$I$6</f>
        <v>9.66</v>
      </c>
      <c r="R132" t="s">
        <v>100</v>
      </c>
      <c r="T132" t="s">
        <v>101</v>
      </c>
      <c r="V132" t="s">
        <v>102</v>
      </c>
      <c r="AI132" t="s">
        <v>215</v>
      </c>
      <c r="AN132">
        <v>0.3</v>
      </c>
      <c r="AO132">
        <v>0.5</v>
      </c>
      <c r="AP132">
        <v>0.2</v>
      </c>
      <c r="AV132">
        <v>403</v>
      </c>
    </row>
    <row r="133" spans="1:48" x14ac:dyDescent="0.25">
      <c r="A133">
        <v>132</v>
      </c>
      <c r="B133" t="s">
        <v>68</v>
      </c>
      <c r="C133">
        <v>0</v>
      </c>
      <c r="D133" t="s">
        <v>37</v>
      </c>
      <c r="F133" s="1" t="s">
        <v>95</v>
      </c>
      <c r="H133" t="s">
        <v>221</v>
      </c>
      <c r="I133" t="s">
        <v>207</v>
      </c>
      <c r="K133">
        <v>35</v>
      </c>
      <c r="L133" t="s">
        <v>38</v>
      </c>
      <c r="M133">
        <f>K133*Sheet1!$I$6</f>
        <v>9.66</v>
      </c>
      <c r="R133" t="s">
        <v>100</v>
      </c>
      <c r="T133" t="s">
        <v>101</v>
      </c>
      <c r="V133" t="s">
        <v>102</v>
      </c>
      <c r="AI133" t="s">
        <v>215</v>
      </c>
      <c r="AN133">
        <v>0.3</v>
      </c>
      <c r="AO133">
        <v>0.5</v>
      </c>
      <c r="AP133">
        <v>0.2</v>
      </c>
      <c r="AV133">
        <v>403</v>
      </c>
    </row>
    <row r="134" spans="1:48" x14ac:dyDescent="0.25">
      <c r="A134">
        <v>133</v>
      </c>
      <c r="B134" t="s">
        <v>68</v>
      </c>
      <c r="C134">
        <v>0</v>
      </c>
      <c r="D134" t="s">
        <v>37</v>
      </c>
      <c r="F134" s="1" t="s">
        <v>95</v>
      </c>
      <c r="H134" t="s">
        <v>222</v>
      </c>
      <c r="I134" t="s">
        <v>142</v>
      </c>
      <c r="K134">
        <v>35</v>
      </c>
      <c r="L134" t="s">
        <v>38</v>
      </c>
      <c r="M134">
        <f>K134*Sheet1!$I$6</f>
        <v>9.66</v>
      </c>
      <c r="R134" t="s">
        <v>100</v>
      </c>
      <c r="T134" t="s">
        <v>101</v>
      </c>
      <c r="V134" t="s">
        <v>102</v>
      </c>
      <c r="AI134" t="s">
        <v>215</v>
      </c>
      <c r="AN134">
        <v>0.3</v>
      </c>
      <c r="AO134">
        <v>0.5</v>
      </c>
      <c r="AP134">
        <v>0.2</v>
      </c>
      <c r="AV134">
        <v>403</v>
      </c>
    </row>
    <row r="135" spans="1:48" x14ac:dyDescent="0.25">
      <c r="A135">
        <v>134</v>
      </c>
      <c r="B135" t="s">
        <v>68</v>
      </c>
      <c r="C135">
        <v>0</v>
      </c>
      <c r="D135" t="s">
        <v>37</v>
      </c>
      <c r="F135" s="1" t="s">
        <v>95</v>
      </c>
      <c r="H135" t="s">
        <v>223</v>
      </c>
      <c r="I135" t="s">
        <v>145</v>
      </c>
      <c r="K135">
        <v>35</v>
      </c>
      <c r="L135" t="s">
        <v>38</v>
      </c>
      <c r="M135">
        <f>K135*Sheet1!$I$6</f>
        <v>9.66</v>
      </c>
      <c r="R135" t="s">
        <v>100</v>
      </c>
      <c r="T135" t="s">
        <v>101</v>
      </c>
      <c r="V135" t="s">
        <v>102</v>
      </c>
      <c r="AI135" t="s">
        <v>215</v>
      </c>
      <c r="AN135">
        <v>0.3</v>
      </c>
      <c r="AO135">
        <v>0.5</v>
      </c>
      <c r="AP135">
        <v>0.2</v>
      </c>
      <c r="AV135">
        <v>403</v>
      </c>
    </row>
    <row r="136" spans="1:48" x14ac:dyDescent="0.25">
      <c r="A136">
        <v>135</v>
      </c>
      <c r="B136" t="s">
        <v>68</v>
      </c>
      <c r="C136">
        <v>0</v>
      </c>
      <c r="D136" t="s">
        <v>37</v>
      </c>
      <c r="F136" s="1" t="s">
        <v>95</v>
      </c>
      <c r="H136" t="s">
        <v>224</v>
      </c>
      <c r="I136" t="s">
        <v>144</v>
      </c>
      <c r="K136">
        <v>35</v>
      </c>
      <c r="L136" t="s">
        <v>38</v>
      </c>
      <c r="M136">
        <f>K136*Sheet1!$I$6</f>
        <v>9.66</v>
      </c>
      <c r="R136" t="s">
        <v>100</v>
      </c>
      <c r="T136" t="s">
        <v>101</v>
      </c>
      <c r="V136" t="s">
        <v>102</v>
      </c>
      <c r="AI136" t="s">
        <v>215</v>
      </c>
      <c r="AN136">
        <v>0.3</v>
      </c>
      <c r="AO136">
        <v>0.5</v>
      </c>
      <c r="AP136">
        <v>0.2</v>
      </c>
      <c r="AV136">
        <v>403</v>
      </c>
    </row>
    <row r="137" spans="1:48" x14ac:dyDescent="0.25">
      <c r="A137">
        <v>136</v>
      </c>
      <c r="B137" t="s">
        <v>68</v>
      </c>
      <c r="C137">
        <v>0</v>
      </c>
      <c r="D137" t="s">
        <v>37</v>
      </c>
      <c r="F137" s="1" t="s">
        <v>95</v>
      </c>
      <c r="H137" t="s">
        <v>225</v>
      </c>
      <c r="I137" t="s">
        <v>146</v>
      </c>
      <c r="K137">
        <v>35</v>
      </c>
      <c r="L137" t="s">
        <v>38</v>
      </c>
      <c r="M137">
        <f>K137*Sheet1!$I$6</f>
        <v>9.66</v>
      </c>
      <c r="R137" t="s">
        <v>100</v>
      </c>
      <c r="T137" t="s">
        <v>101</v>
      </c>
      <c r="V137" t="s">
        <v>102</v>
      </c>
      <c r="AI137" t="s">
        <v>215</v>
      </c>
      <c r="AN137">
        <v>0.3</v>
      </c>
      <c r="AO137">
        <v>0.5</v>
      </c>
      <c r="AP137">
        <v>0.2</v>
      </c>
      <c r="AV137">
        <v>403</v>
      </c>
    </row>
    <row r="138" spans="1:48" x14ac:dyDescent="0.25">
      <c r="A138">
        <v>137</v>
      </c>
      <c r="B138" t="s">
        <v>68</v>
      </c>
      <c r="C138">
        <v>0</v>
      </c>
      <c r="D138" t="s">
        <v>37</v>
      </c>
      <c r="F138" s="1" t="s">
        <v>95</v>
      </c>
      <c r="H138" t="s">
        <v>226</v>
      </c>
      <c r="I138" t="s">
        <v>147</v>
      </c>
      <c r="K138">
        <v>35</v>
      </c>
      <c r="L138" t="s">
        <v>38</v>
      </c>
      <c r="M138">
        <f>K138*Sheet1!$I$6</f>
        <v>9.66</v>
      </c>
      <c r="R138" t="s">
        <v>100</v>
      </c>
      <c r="T138" t="s">
        <v>101</v>
      </c>
      <c r="V138" t="s">
        <v>102</v>
      </c>
      <c r="AI138" t="s">
        <v>215</v>
      </c>
      <c r="AN138">
        <v>0.3</v>
      </c>
      <c r="AO138">
        <v>0.5</v>
      </c>
      <c r="AP138">
        <v>0.2</v>
      </c>
      <c r="AV138">
        <v>403</v>
      </c>
    </row>
    <row r="139" spans="1:48" x14ac:dyDescent="0.25">
      <c r="A139">
        <v>138</v>
      </c>
      <c r="B139" t="s">
        <v>68</v>
      </c>
      <c r="C139">
        <v>0</v>
      </c>
      <c r="D139" t="s">
        <v>37</v>
      </c>
      <c r="F139" s="1" t="s">
        <v>95</v>
      </c>
      <c r="H139" t="s">
        <v>227</v>
      </c>
      <c r="I139" t="s">
        <v>144</v>
      </c>
      <c r="K139">
        <v>35</v>
      </c>
      <c r="L139" t="s">
        <v>38</v>
      </c>
      <c r="M139">
        <f>K139*Sheet1!$I$6</f>
        <v>9.66</v>
      </c>
      <c r="R139" t="s">
        <v>100</v>
      </c>
      <c r="T139" t="s">
        <v>101</v>
      </c>
      <c r="V139" t="s">
        <v>102</v>
      </c>
      <c r="AI139" t="s">
        <v>215</v>
      </c>
      <c r="AN139">
        <v>0.3</v>
      </c>
      <c r="AO139">
        <v>0.5</v>
      </c>
      <c r="AP139">
        <v>0.2</v>
      </c>
      <c r="AV139">
        <v>403</v>
      </c>
    </row>
    <row r="140" spans="1:48" x14ac:dyDescent="0.25">
      <c r="A140">
        <v>139</v>
      </c>
      <c r="B140" t="s">
        <v>68</v>
      </c>
      <c r="C140">
        <v>0</v>
      </c>
      <c r="D140" t="s">
        <v>37</v>
      </c>
      <c r="F140" s="1" t="s">
        <v>95</v>
      </c>
      <c r="H140" t="s">
        <v>228</v>
      </c>
      <c r="K140">
        <v>84</v>
      </c>
      <c r="L140" t="s">
        <v>38</v>
      </c>
      <c r="M140">
        <f>K140*Sheet1!$I$6</f>
        <v>23.184000000000001</v>
      </c>
      <c r="R140" t="s">
        <v>100</v>
      </c>
      <c r="T140" t="s">
        <v>101</v>
      </c>
      <c r="V140" t="s">
        <v>102</v>
      </c>
      <c r="AI140" t="s">
        <v>215</v>
      </c>
      <c r="AN140">
        <v>0.3</v>
      </c>
      <c r="AO140">
        <v>0.5</v>
      </c>
      <c r="AP140">
        <v>0.2</v>
      </c>
      <c r="AV140">
        <v>403</v>
      </c>
    </row>
    <row r="141" spans="1:48" x14ac:dyDescent="0.25">
      <c r="A141">
        <v>140</v>
      </c>
      <c r="B141" t="s">
        <v>68</v>
      </c>
      <c r="C141">
        <v>0</v>
      </c>
      <c r="D141" t="s">
        <v>37</v>
      </c>
      <c r="F141" s="1" t="s">
        <v>95</v>
      </c>
      <c r="H141" t="s">
        <v>228</v>
      </c>
      <c r="K141">
        <v>84</v>
      </c>
      <c r="L141" t="s">
        <v>38</v>
      </c>
      <c r="M141">
        <f>K141*Sheet1!$I$6</f>
        <v>23.184000000000001</v>
      </c>
      <c r="R141" t="s">
        <v>100</v>
      </c>
      <c r="T141" t="s">
        <v>101</v>
      </c>
      <c r="V141" t="s">
        <v>102</v>
      </c>
      <c r="AI141" t="s">
        <v>215</v>
      </c>
      <c r="AN141">
        <v>0.3</v>
      </c>
      <c r="AO141">
        <v>0.5</v>
      </c>
      <c r="AP141">
        <v>0.2</v>
      </c>
      <c r="AV141">
        <v>403</v>
      </c>
    </row>
    <row r="142" spans="1:48" x14ac:dyDescent="0.25">
      <c r="A142">
        <v>141</v>
      </c>
      <c r="B142" t="s">
        <v>68</v>
      </c>
      <c r="C142">
        <v>0</v>
      </c>
      <c r="D142" t="s">
        <v>37</v>
      </c>
      <c r="F142" s="1" t="s">
        <v>95</v>
      </c>
      <c r="H142" t="s">
        <v>228</v>
      </c>
      <c r="K142">
        <v>84</v>
      </c>
      <c r="L142" t="s">
        <v>38</v>
      </c>
      <c r="M142">
        <f>K142*Sheet1!$I$6</f>
        <v>23.184000000000001</v>
      </c>
      <c r="R142" t="s">
        <v>100</v>
      </c>
      <c r="T142" t="s">
        <v>101</v>
      </c>
      <c r="V142" t="s">
        <v>102</v>
      </c>
      <c r="AI142" t="s">
        <v>215</v>
      </c>
      <c r="AN142">
        <v>0.3</v>
      </c>
      <c r="AO142">
        <v>0.5</v>
      </c>
      <c r="AP142">
        <v>0.2</v>
      </c>
      <c r="AV142">
        <v>403</v>
      </c>
    </row>
    <row r="143" spans="1:48" x14ac:dyDescent="0.25">
      <c r="A143">
        <v>142</v>
      </c>
      <c r="B143" t="s">
        <v>68</v>
      </c>
      <c r="C143">
        <v>0</v>
      </c>
      <c r="D143" t="s">
        <v>37</v>
      </c>
      <c r="F143" s="1" t="s">
        <v>95</v>
      </c>
      <c r="H143" t="s">
        <v>228</v>
      </c>
      <c r="K143">
        <v>84</v>
      </c>
      <c r="L143" t="s">
        <v>38</v>
      </c>
      <c r="M143">
        <f>K143*Sheet1!$I$6</f>
        <v>23.184000000000001</v>
      </c>
      <c r="R143" t="s">
        <v>100</v>
      </c>
      <c r="T143" t="s">
        <v>101</v>
      </c>
      <c r="V143" t="s">
        <v>102</v>
      </c>
      <c r="AI143" t="s">
        <v>215</v>
      </c>
      <c r="AN143">
        <v>0.3</v>
      </c>
      <c r="AO143">
        <v>0.5</v>
      </c>
      <c r="AP143">
        <v>0.2</v>
      </c>
      <c r="AV143">
        <v>403</v>
      </c>
    </row>
    <row r="144" spans="1:48" x14ac:dyDescent="0.25">
      <c r="A144">
        <v>143</v>
      </c>
      <c r="B144" t="s">
        <v>229</v>
      </c>
      <c r="C144">
        <v>0</v>
      </c>
      <c r="D144" t="s">
        <v>37</v>
      </c>
      <c r="F144" s="1" t="s">
        <v>95</v>
      </c>
      <c r="H144" t="s">
        <v>228</v>
      </c>
      <c r="K144">
        <v>73</v>
      </c>
      <c r="L144" t="s">
        <v>38</v>
      </c>
      <c r="M144">
        <f>K144*Sheet1!$I$6</f>
        <v>20.148000000000003</v>
      </c>
      <c r="R144" t="s">
        <v>100</v>
      </c>
      <c r="T144" t="s">
        <v>101</v>
      </c>
      <c r="V144" t="s">
        <v>102</v>
      </c>
      <c r="AI144" t="s">
        <v>215</v>
      </c>
      <c r="AN144">
        <v>0.3</v>
      </c>
      <c r="AO144">
        <v>0.5</v>
      </c>
      <c r="AP144">
        <v>0.2</v>
      </c>
      <c r="AV144">
        <v>403</v>
      </c>
    </row>
    <row r="145" spans="1:48" x14ac:dyDescent="0.25">
      <c r="A145">
        <v>144</v>
      </c>
      <c r="B145" t="s">
        <v>229</v>
      </c>
      <c r="C145">
        <v>0</v>
      </c>
      <c r="D145" t="s">
        <v>37</v>
      </c>
      <c r="F145" s="1" t="s">
        <v>95</v>
      </c>
      <c r="H145" t="s">
        <v>228</v>
      </c>
      <c r="K145">
        <v>73</v>
      </c>
      <c r="L145" t="s">
        <v>38</v>
      </c>
      <c r="M145">
        <f>K145*Sheet1!$I$6</f>
        <v>20.148000000000003</v>
      </c>
      <c r="R145" t="s">
        <v>100</v>
      </c>
      <c r="T145" t="s">
        <v>101</v>
      </c>
      <c r="V145" t="s">
        <v>102</v>
      </c>
      <c r="AI145" t="s">
        <v>215</v>
      </c>
      <c r="AN145">
        <v>0.3</v>
      </c>
      <c r="AO145">
        <v>0.5</v>
      </c>
      <c r="AP145">
        <v>0.2</v>
      </c>
      <c r="AV145">
        <v>403</v>
      </c>
    </row>
    <row r="146" spans="1:48" x14ac:dyDescent="0.25">
      <c r="A146">
        <v>145</v>
      </c>
      <c r="B146" t="s">
        <v>229</v>
      </c>
      <c r="C146">
        <v>0</v>
      </c>
      <c r="D146" t="s">
        <v>37</v>
      </c>
      <c r="F146" s="1" t="s">
        <v>95</v>
      </c>
      <c r="H146" t="s">
        <v>228</v>
      </c>
      <c r="K146">
        <v>73</v>
      </c>
      <c r="L146" t="s">
        <v>38</v>
      </c>
      <c r="M146">
        <f>K146*Sheet1!$I$6</f>
        <v>20.148000000000003</v>
      </c>
      <c r="R146" t="s">
        <v>100</v>
      </c>
      <c r="T146" t="s">
        <v>101</v>
      </c>
      <c r="V146" t="s">
        <v>102</v>
      </c>
      <c r="AI146" t="s">
        <v>215</v>
      </c>
      <c r="AN146">
        <v>0.3</v>
      </c>
      <c r="AO146">
        <v>0.5</v>
      </c>
      <c r="AP146">
        <v>0.2</v>
      </c>
      <c r="AV146">
        <v>403</v>
      </c>
    </row>
    <row r="147" spans="1:48" x14ac:dyDescent="0.25">
      <c r="A147">
        <v>146</v>
      </c>
      <c r="B147" t="s">
        <v>229</v>
      </c>
      <c r="C147">
        <v>0</v>
      </c>
      <c r="D147" t="s">
        <v>37</v>
      </c>
      <c r="F147" s="1" t="s">
        <v>95</v>
      </c>
      <c r="H147" t="s">
        <v>228</v>
      </c>
      <c r="K147">
        <v>73</v>
      </c>
      <c r="L147" t="s">
        <v>38</v>
      </c>
      <c r="M147">
        <f>K147*Sheet1!$I$6</f>
        <v>20.148000000000003</v>
      </c>
      <c r="R147" t="s">
        <v>100</v>
      </c>
      <c r="T147" t="s">
        <v>101</v>
      </c>
      <c r="V147" t="s">
        <v>102</v>
      </c>
      <c r="AI147" t="s">
        <v>215</v>
      </c>
      <c r="AN147">
        <v>0.3</v>
      </c>
      <c r="AO147">
        <v>0.5</v>
      </c>
      <c r="AP147">
        <v>0.2</v>
      </c>
      <c r="AV147">
        <v>403</v>
      </c>
    </row>
    <row r="148" spans="1:48" x14ac:dyDescent="0.25">
      <c r="A148">
        <v>147</v>
      </c>
      <c r="B148" t="s">
        <v>131</v>
      </c>
      <c r="C148">
        <v>0</v>
      </c>
      <c r="D148" t="s">
        <v>37</v>
      </c>
      <c r="F148" s="1" t="s">
        <v>95</v>
      </c>
      <c r="H148" t="s">
        <v>230</v>
      </c>
      <c r="K148">
        <v>84</v>
      </c>
      <c r="L148" t="s">
        <v>38</v>
      </c>
      <c r="M148">
        <f>K148*Sheet1!$I$6</f>
        <v>23.184000000000001</v>
      </c>
      <c r="R148" t="s">
        <v>100</v>
      </c>
      <c r="T148" t="s">
        <v>101</v>
      </c>
      <c r="V148" t="s">
        <v>102</v>
      </c>
      <c r="AI148" t="s">
        <v>141</v>
      </c>
      <c r="AN148">
        <v>0.3</v>
      </c>
      <c r="AO148">
        <v>0.5</v>
      </c>
      <c r="AP148">
        <v>0.2</v>
      </c>
      <c r="AV148">
        <v>401</v>
      </c>
    </row>
    <row r="149" spans="1:48" x14ac:dyDescent="0.25">
      <c r="A149">
        <v>148</v>
      </c>
      <c r="B149" t="s">
        <v>131</v>
      </c>
      <c r="C149">
        <v>0</v>
      </c>
      <c r="D149" t="s">
        <v>37</v>
      </c>
      <c r="F149" s="1" t="s">
        <v>95</v>
      </c>
      <c r="H149" t="s">
        <v>230</v>
      </c>
      <c r="K149">
        <v>84</v>
      </c>
      <c r="L149" t="s">
        <v>38</v>
      </c>
      <c r="M149">
        <f>K149*Sheet1!$I$6</f>
        <v>23.184000000000001</v>
      </c>
      <c r="R149" t="s">
        <v>100</v>
      </c>
      <c r="T149" t="s">
        <v>101</v>
      </c>
      <c r="V149" t="s">
        <v>102</v>
      </c>
      <c r="AI149" t="s">
        <v>141</v>
      </c>
      <c r="AN149">
        <v>0.3</v>
      </c>
      <c r="AO149">
        <v>0.5</v>
      </c>
      <c r="AP149">
        <v>0.2</v>
      </c>
      <c r="AV149">
        <v>401</v>
      </c>
    </row>
    <row r="150" spans="1:48" x14ac:dyDescent="0.25">
      <c r="A150">
        <v>149</v>
      </c>
      <c r="B150" t="s">
        <v>131</v>
      </c>
      <c r="C150">
        <v>0</v>
      </c>
      <c r="D150" t="s">
        <v>37</v>
      </c>
      <c r="F150" s="1" t="s">
        <v>95</v>
      </c>
      <c r="H150" t="s">
        <v>230</v>
      </c>
      <c r="K150">
        <v>84</v>
      </c>
      <c r="L150" t="s">
        <v>38</v>
      </c>
      <c r="M150">
        <f>K150*Sheet1!$I$6</f>
        <v>23.184000000000001</v>
      </c>
      <c r="R150" t="s">
        <v>100</v>
      </c>
      <c r="T150" t="s">
        <v>101</v>
      </c>
      <c r="V150" t="s">
        <v>102</v>
      </c>
      <c r="AI150" t="s">
        <v>141</v>
      </c>
      <c r="AN150">
        <v>0.3</v>
      </c>
      <c r="AO150">
        <v>0.5</v>
      </c>
      <c r="AP150">
        <v>0.2</v>
      </c>
      <c r="AV150">
        <v>401</v>
      </c>
    </row>
    <row r="151" spans="1:48" x14ac:dyDescent="0.25">
      <c r="A151">
        <v>150</v>
      </c>
      <c r="B151" t="s">
        <v>131</v>
      </c>
      <c r="C151">
        <v>0</v>
      </c>
      <c r="D151" t="s">
        <v>37</v>
      </c>
      <c r="F151" s="1" t="s">
        <v>95</v>
      </c>
      <c r="H151" t="s">
        <v>230</v>
      </c>
      <c r="K151">
        <v>84</v>
      </c>
      <c r="L151" t="s">
        <v>38</v>
      </c>
      <c r="M151">
        <f>K151*Sheet1!$I$6</f>
        <v>23.184000000000001</v>
      </c>
      <c r="R151" t="s">
        <v>100</v>
      </c>
      <c r="T151" t="s">
        <v>101</v>
      </c>
      <c r="V151" t="s">
        <v>102</v>
      </c>
      <c r="AI151" t="s">
        <v>141</v>
      </c>
      <c r="AN151">
        <v>0.3</v>
      </c>
      <c r="AO151">
        <v>0.5</v>
      </c>
      <c r="AP151">
        <v>0.2</v>
      </c>
      <c r="AV151">
        <v>401</v>
      </c>
    </row>
    <row r="152" spans="1:48" x14ac:dyDescent="0.25">
      <c r="A152">
        <v>151</v>
      </c>
      <c r="B152" t="s">
        <v>42</v>
      </c>
      <c r="C152">
        <v>0</v>
      </c>
      <c r="D152" t="s">
        <v>37</v>
      </c>
      <c r="F152" s="1" t="s">
        <v>95</v>
      </c>
      <c r="H152" t="s">
        <v>231</v>
      </c>
      <c r="I152" t="s">
        <v>191</v>
      </c>
      <c r="K152">
        <v>18</v>
      </c>
      <c r="L152" t="s">
        <v>38</v>
      </c>
      <c r="M152">
        <f>K152*Sheet1!$I$6</f>
        <v>4.968</v>
      </c>
      <c r="AI152" t="s">
        <v>197</v>
      </c>
      <c r="AN152">
        <v>0.3</v>
      </c>
      <c r="AO152">
        <v>0.5</v>
      </c>
      <c r="AP152">
        <v>0.2</v>
      </c>
      <c r="AV152">
        <v>402</v>
      </c>
    </row>
    <row r="153" spans="1:48" x14ac:dyDescent="0.25">
      <c r="A153">
        <v>152</v>
      </c>
      <c r="B153" t="s">
        <v>42</v>
      </c>
      <c r="C153">
        <v>0</v>
      </c>
      <c r="D153" t="s">
        <v>37</v>
      </c>
      <c r="F153" s="1" t="s">
        <v>95</v>
      </c>
      <c r="H153" t="s">
        <v>232</v>
      </c>
      <c r="I153" t="s">
        <v>192</v>
      </c>
      <c r="K153">
        <v>18</v>
      </c>
      <c r="L153" t="s">
        <v>38</v>
      </c>
      <c r="M153">
        <f>K153*Sheet1!$I$6</f>
        <v>4.968</v>
      </c>
      <c r="AI153" t="s">
        <v>197</v>
      </c>
      <c r="AN153">
        <v>0.3</v>
      </c>
      <c r="AO153">
        <v>0.5</v>
      </c>
      <c r="AP153">
        <v>0.2</v>
      </c>
      <c r="AV153">
        <v>402</v>
      </c>
    </row>
    <row r="154" spans="1:48" x14ac:dyDescent="0.25">
      <c r="A154">
        <v>153</v>
      </c>
      <c r="B154" t="s">
        <v>42</v>
      </c>
      <c r="C154">
        <v>0</v>
      </c>
      <c r="D154" t="s">
        <v>37</v>
      </c>
      <c r="F154" s="1" t="s">
        <v>95</v>
      </c>
      <c r="H154" t="s">
        <v>233</v>
      </c>
      <c r="I154" t="s">
        <v>193</v>
      </c>
      <c r="K154">
        <v>18</v>
      </c>
      <c r="L154" t="s">
        <v>38</v>
      </c>
      <c r="M154">
        <f>K154*Sheet1!$I$6</f>
        <v>4.968</v>
      </c>
      <c r="AI154" t="s">
        <v>197</v>
      </c>
      <c r="AN154">
        <v>0.3</v>
      </c>
      <c r="AO154">
        <v>0.5</v>
      </c>
      <c r="AP154">
        <v>0.2</v>
      </c>
      <c r="AV154">
        <v>402</v>
      </c>
    </row>
    <row r="155" spans="1:48" x14ac:dyDescent="0.25">
      <c r="A155">
        <v>154</v>
      </c>
      <c r="B155" t="s">
        <v>42</v>
      </c>
      <c r="C155">
        <v>0</v>
      </c>
      <c r="D155" t="s">
        <v>37</v>
      </c>
      <c r="F155" s="1" t="s">
        <v>95</v>
      </c>
      <c r="H155" t="s">
        <v>234</v>
      </c>
      <c r="I155" t="s">
        <v>193</v>
      </c>
      <c r="K155">
        <v>18</v>
      </c>
      <c r="L155" t="s">
        <v>38</v>
      </c>
      <c r="M155">
        <f>K155*Sheet1!$I$6</f>
        <v>4.968</v>
      </c>
      <c r="AI155" t="s">
        <v>197</v>
      </c>
      <c r="AN155">
        <v>0.3</v>
      </c>
      <c r="AO155">
        <v>0.5</v>
      </c>
      <c r="AP155">
        <v>0.2</v>
      </c>
      <c r="AV155">
        <v>402</v>
      </c>
    </row>
    <row r="156" spans="1:48" x14ac:dyDescent="0.25">
      <c r="A156">
        <v>155</v>
      </c>
      <c r="B156" t="s">
        <v>42</v>
      </c>
      <c r="C156">
        <v>0</v>
      </c>
      <c r="D156" t="s">
        <v>37</v>
      </c>
      <c r="F156" s="1" t="s">
        <v>95</v>
      </c>
      <c r="H156" t="s">
        <v>235</v>
      </c>
      <c r="I156" t="s">
        <v>191</v>
      </c>
      <c r="K156">
        <v>18</v>
      </c>
      <c r="L156" t="s">
        <v>38</v>
      </c>
      <c r="M156">
        <f>K156*Sheet1!$I$6</f>
        <v>4.968</v>
      </c>
      <c r="AI156" t="s">
        <v>197</v>
      </c>
      <c r="AN156">
        <v>0.3</v>
      </c>
      <c r="AO156">
        <v>0.5</v>
      </c>
      <c r="AP156">
        <v>0.2</v>
      </c>
      <c r="AV156">
        <v>402</v>
      </c>
    </row>
    <row r="157" spans="1:48" x14ac:dyDescent="0.25">
      <c r="A157">
        <v>156</v>
      </c>
      <c r="B157" t="s">
        <v>42</v>
      </c>
      <c r="C157">
        <v>0</v>
      </c>
      <c r="D157" t="s">
        <v>37</v>
      </c>
      <c r="F157" s="1" t="s">
        <v>95</v>
      </c>
      <c r="H157" t="s">
        <v>236</v>
      </c>
      <c r="I157" t="s">
        <v>193</v>
      </c>
      <c r="K157">
        <v>18</v>
      </c>
      <c r="L157" t="s">
        <v>38</v>
      </c>
      <c r="M157">
        <f>K157*Sheet1!$I$6</f>
        <v>4.968</v>
      </c>
      <c r="AI157" t="s">
        <v>197</v>
      </c>
      <c r="AN157">
        <v>0.3</v>
      </c>
      <c r="AO157">
        <v>0.5</v>
      </c>
      <c r="AP157">
        <v>0.2</v>
      </c>
      <c r="AV157">
        <v>402</v>
      </c>
    </row>
    <row r="158" spans="1:48" x14ac:dyDescent="0.25">
      <c r="A158">
        <v>157</v>
      </c>
      <c r="B158" t="s">
        <v>42</v>
      </c>
      <c r="C158">
        <v>0</v>
      </c>
      <c r="D158" t="s">
        <v>37</v>
      </c>
      <c r="F158" s="1" t="s">
        <v>95</v>
      </c>
      <c r="H158" t="s">
        <v>237</v>
      </c>
      <c r="I158" t="s">
        <v>191</v>
      </c>
      <c r="K158">
        <v>18</v>
      </c>
      <c r="L158" t="s">
        <v>38</v>
      </c>
      <c r="M158">
        <f>K158*Sheet1!$I$6</f>
        <v>4.968</v>
      </c>
      <c r="AI158" t="s">
        <v>197</v>
      </c>
      <c r="AN158">
        <v>0.3</v>
      </c>
      <c r="AO158">
        <v>0.5</v>
      </c>
      <c r="AP158">
        <v>0.2</v>
      </c>
      <c r="AV158">
        <v>402</v>
      </c>
    </row>
    <row r="159" spans="1:48" x14ac:dyDescent="0.25">
      <c r="A159">
        <v>158</v>
      </c>
      <c r="B159" t="s">
        <v>42</v>
      </c>
      <c r="C159">
        <v>0</v>
      </c>
      <c r="D159" t="s">
        <v>37</v>
      </c>
      <c r="F159" s="1" t="s">
        <v>95</v>
      </c>
      <c r="H159" t="s">
        <v>238</v>
      </c>
      <c r="I159" t="s">
        <v>192</v>
      </c>
      <c r="K159">
        <v>18</v>
      </c>
      <c r="L159" t="s">
        <v>38</v>
      </c>
      <c r="M159">
        <f>K159*Sheet1!$I$6</f>
        <v>4.968</v>
      </c>
      <c r="AI159" t="s">
        <v>197</v>
      </c>
      <c r="AN159">
        <v>0.3</v>
      </c>
      <c r="AO159">
        <v>0.5</v>
      </c>
      <c r="AP159">
        <v>0.2</v>
      </c>
      <c r="AV159">
        <v>402</v>
      </c>
    </row>
    <row r="160" spans="1:48" x14ac:dyDescent="0.25">
      <c r="A160">
        <v>159</v>
      </c>
      <c r="B160" t="s">
        <v>42</v>
      </c>
      <c r="C160">
        <v>0</v>
      </c>
      <c r="D160" t="s">
        <v>37</v>
      </c>
      <c r="F160" s="1" t="s">
        <v>95</v>
      </c>
      <c r="H160" t="s">
        <v>239</v>
      </c>
      <c r="I160" t="s">
        <v>146</v>
      </c>
      <c r="K160">
        <v>18</v>
      </c>
      <c r="L160" t="s">
        <v>38</v>
      </c>
      <c r="M160">
        <f>K160*Sheet1!$I$6</f>
        <v>4.968</v>
      </c>
      <c r="AI160" t="s">
        <v>197</v>
      </c>
      <c r="AN160">
        <v>0.3</v>
      </c>
      <c r="AO160">
        <v>0.5</v>
      </c>
      <c r="AP160">
        <v>0.2</v>
      </c>
      <c r="AV160">
        <v>402</v>
      </c>
    </row>
    <row r="161" spans="1:48" x14ac:dyDescent="0.25">
      <c r="A161">
        <v>160</v>
      </c>
      <c r="B161" t="s">
        <v>42</v>
      </c>
      <c r="C161">
        <v>0</v>
      </c>
      <c r="D161" t="s">
        <v>37</v>
      </c>
      <c r="F161" s="1" t="s">
        <v>95</v>
      </c>
      <c r="H161" t="s">
        <v>240</v>
      </c>
      <c r="I161" t="s">
        <v>161</v>
      </c>
      <c r="K161">
        <v>18</v>
      </c>
      <c r="L161" t="s">
        <v>38</v>
      </c>
      <c r="M161">
        <f>K161*Sheet1!$I$6</f>
        <v>4.968</v>
      </c>
      <c r="AI161" t="s">
        <v>197</v>
      </c>
      <c r="AN161">
        <v>0.3</v>
      </c>
      <c r="AO161">
        <v>0.5</v>
      </c>
      <c r="AP161">
        <v>0.2</v>
      </c>
      <c r="AV161">
        <v>402</v>
      </c>
    </row>
    <row r="162" spans="1:48" x14ac:dyDescent="0.25">
      <c r="A162">
        <v>161</v>
      </c>
      <c r="B162" t="s">
        <v>42</v>
      </c>
      <c r="C162">
        <v>0</v>
      </c>
      <c r="D162" t="s">
        <v>37</v>
      </c>
      <c r="F162" s="1" t="s">
        <v>95</v>
      </c>
      <c r="H162" t="s">
        <v>241</v>
      </c>
      <c r="I162" t="s">
        <v>191</v>
      </c>
      <c r="K162">
        <v>18</v>
      </c>
      <c r="L162" t="s">
        <v>38</v>
      </c>
      <c r="M162">
        <f>K162*Sheet1!$I$6</f>
        <v>4.968</v>
      </c>
      <c r="AI162" t="s">
        <v>197</v>
      </c>
      <c r="AN162">
        <v>0.3</v>
      </c>
      <c r="AO162">
        <v>0.5</v>
      </c>
      <c r="AP162">
        <v>0.2</v>
      </c>
      <c r="AV162">
        <v>402</v>
      </c>
    </row>
    <row r="163" spans="1:48" x14ac:dyDescent="0.25">
      <c r="A163">
        <v>162</v>
      </c>
      <c r="B163" t="s">
        <v>42</v>
      </c>
      <c r="C163">
        <v>0</v>
      </c>
      <c r="D163" t="s">
        <v>37</v>
      </c>
      <c r="F163" s="1" t="s">
        <v>95</v>
      </c>
      <c r="H163" t="s">
        <v>242</v>
      </c>
      <c r="I163" t="s">
        <v>191</v>
      </c>
      <c r="K163">
        <v>18</v>
      </c>
      <c r="L163" t="s">
        <v>38</v>
      </c>
      <c r="M163">
        <f>K163*Sheet1!$I$6</f>
        <v>4.968</v>
      </c>
      <c r="AI163" t="s">
        <v>197</v>
      </c>
      <c r="AN163">
        <v>0.3</v>
      </c>
      <c r="AO163">
        <v>0.5</v>
      </c>
      <c r="AP163">
        <v>0.2</v>
      </c>
      <c r="AV163">
        <v>402</v>
      </c>
    </row>
    <row r="164" spans="1:48" x14ac:dyDescent="0.25">
      <c r="A164">
        <v>163</v>
      </c>
      <c r="B164" t="s">
        <v>131</v>
      </c>
      <c r="C164">
        <v>0</v>
      </c>
      <c r="D164" t="s">
        <v>37</v>
      </c>
      <c r="F164" s="1" t="s">
        <v>95</v>
      </c>
      <c r="H164" t="s">
        <v>157</v>
      </c>
      <c r="K164">
        <v>30</v>
      </c>
      <c r="L164" t="s">
        <v>38</v>
      </c>
      <c r="M164">
        <f>K164*Sheet1!$I$6</f>
        <v>8.2800000000000011</v>
      </c>
      <c r="AI164" t="s">
        <v>141</v>
      </c>
      <c r="AN164">
        <v>0.3</v>
      </c>
      <c r="AO164">
        <v>0.5</v>
      </c>
      <c r="AP164">
        <v>0.2</v>
      </c>
      <c r="AV164">
        <v>401</v>
      </c>
    </row>
    <row r="165" spans="1:48" x14ac:dyDescent="0.25">
      <c r="A165">
        <v>164</v>
      </c>
      <c r="B165" t="s">
        <v>131</v>
      </c>
      <c r="C165">
        <v>0</v>
      </c>
      <c r="D165" t="s">
        <v>37</v>
      </c>
      <c r="F165" s="1" t="s">
        <v>95</v>
      </c>
      <c r="H165" t="s">
        <v>157</v>
      </c>
      <c r="K165">
        <v>30</v>
      </c>
      <c r="L165" t="s">
        <v>38</v>
      </c>
      <c r="M165">
        <f>K165*Sheet1!$I$6</f>
        <v>8.2800000000000011</v>
      </c>
      <c r="AI165" t="s">
        <v>141</v>
      </c>
      <c r="AN165">
        <v>0.3</v>
      </c>
      <c r="AO165">
        <v>0.5</v>
      </c>
      <c r="AP165">
        <v>0.2</v>
      </c>
      <c r="AV165">
        <v>401</v>
      </c>
    </row>
    <row r="166" spans="1:48" x14ac:dyDescent="0.25">
      <c r="A166">
        <v>165</v>
      </c>
      <c r="B166" t="s">
        <v>131</v>
      </c>
      <c r="C166">
        <v>0</v>
      </c>
      <c r="D166" t="s">
        <v>37</v>
      </c>
      <c r="F166" s="1" t="s">
        <v>95</v>
      </c>
      <c r="H166" t="s">
        <v>157</v>
      </c>
      <c r="K166">
        <v>30</v>
      </c>
      <c r="L166" t="s">
        <v>38</v>
      </c>
      <c r="M166">
        <f>K166*Sheet1!$I$6</f>
        <v>8.2800000000000011</v>
      </c>
      <c r="AI166" t="s">
        <v>141</v>
      </c>
      <c r="AN166">
        <v>0.3</v>
      </c>
      <c r="AO166">
        <v>0.5</v>
      </c>
      <c r="AP166">
        <v>0.2</v>
      </c>
      <c r="AV166">
        <v>401</v>
      </c>
    </row>
    <row r="167" spans="1:48" x14ac:dyDescent="0.25">
      <c r="A167">
        <v>166</v>
      </c>
      <c r="B167" t="s">
        <v>131</v>
      </c>
      <c r="C167">
        <v>0</v>
      </c>
      <c r="D167" t="s">
        <v>37</v>
      </c>
      <c r="F167" s="1" t="s">
        <v>95</v>
      </c>
      <c r="H167" t="s">
        <v>157</v>
      </c>
      <c r="K167">
        <v>30</v>
      </c>
      <c r="L167" t="s">
        <v>38</v>
      </c>
      <c r="M167">
        <f>K167*Sheet1!$I$6</f>
        <v>8.2800000000000011</v>
      </c>
      <c r="AI167" t="s">
        <v>141</v>
      </c>
      <c r="AN167">
        <v>0.3</v>
      </c>
      <c r="AO167">
        <v>0.5</v>
      </c>
      <c r="AP167">
        <v>0.2</v>
      </c>
      <c r="AV167">
        <v>401</v>
      </c>
    </row>
  </sheetData>
  <autoFilter ref="A1:AV167" xr:uid="{2CA80C1A-DC08-4309-9D3D-E4951765EFE0}"/>
  <phoneticPr fontId="18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5DCD-B35E-4686-9985-F0705314322E}">
  <dimension ref="C1:I7"/>
  <sheetViews>
    <sheetView workbookViewId="0">
      <selection activeCell="J27" sqref="J27"/>
    </sheetView>
  </sheetViews>
  <sheetFormatPr defaultRowHeight="15" x14ac:dyDescent="0.25"/>
  <cols>
    <col min="3" max="3" width="14.7109375" customWidth="1"/>
    <col min="4" max="5" width="36.5703125" customWidth="1"/>
    <col min="6" max="6" width="14" customWidth="1"/>
    <col min="8" max="8" width="11.28515625" customWidth="1"/>
    <col min="9" max="9" width="19.5703125" customWidth="1"/>
  </cols>
  <sheetData>
    <row r="1" spans="3:9" x14ac:dyDescent="0.25">
      <c r="D1" t="s">
        <v>49</v>
      </c>
      <c r="E1" t="s">
        <v>55</v>
      </c>
      <c r="F1" t="s">
        <v>50</v>
      </c>
      <c r="G1" t="s">
        <v>52</v>
      </c>
      <c r="H1" t="s">
        <v>53</v>
      </c>
      <c r="I1" t="s">
        <v>54</v>
      </c>
    </row>
    <row r="2" spans="3:9" x14ac:dyDescent="0.25">
      <c r="C2" t="s">
        <v>74</v>
      </c>
      <c r="D2" t="s">
        <v>44</v>
      </c>
      <c r="E2" s="2">
        <v>1</v>
      </c>
      <c r="F2" s="1" t="s">
        <v>51</v>
      </c>
      <c r="G2">
        <v>7.0000000000000007E-2</v>
      </c>
      <c r="H2">
        <v>1.19</v>
      </c>
      <c r="I2">
        <f>G2*H2</f>
        <v>8.3299999999999999E-2</v>
      </c>
    </row>
    <row r="3" spans="3:9" x14ac:dyDescent="0.25">
      <c r="D3" t="s">
        <v>45</v>
      </c>
      <c r="E3" s="2">
        <v>2</v>
      </c>
      <c r="F3" s="1" t="s">
        <v>51</v>
      </c>
      <c r="G3">
        <v>0.09</v>
      </c>
      <c r="H3">
        <v>1.19</v>
      </c>
      <c r="I3">
        <f t="shared" ref="I3:I5" si="0">G3*H3</f>
        <v>0.10709999999999999</v>
      </c>
    </row>
    <row r="4" spans="3:9" x14ac:dyDescent="0.25">
      <c r="D4" t="s">
        <v>46</v>
      </c>
      <c r="E4" s="2">
        <v>4</v>
      </c>
      <c r="F4" s="1" t="s">
        <v>51</v>
      </c>
      <c r="G4">
        <v>0.14000000000000001</v>
      </c>
      <c r="H4">
        <v>1.19</v>
      </c>
      <c r="I4">
        <f t="shared" si="0"/>
        <v>0.1666</v>
      </c>
    </row>
    <row r="5" spans="3:9" x14ac:dyDescent="0.25">
      <c r="D5" t="s">
        <v>47</v>
      </c>
      <c r="E5" s="2">
        <v>6</v>
      </c>
      <c r="F5" s="1" t="s">
        <v>51</v>
      </c>
      <c r="G5">
        <v>0.2</v>
      </c>
      <c r="H5">
        <v>1.19</v>
      </c>
      <c r="I5">
        <f t="shared" si="0"/>
        <v>0.23799999999999999</v>
      </c>
    </row>
    <row r="6" spans="3:9" x14ac:dyDescent="0.25">
      <c r="D6" t="s">
        <v>48</v>
      </c>
      <c r="F6" s="1" t="s">
        <v>95</v>
      </c>
      <c r="I6">
        <v>0.27600000000000002</v>
      </c>
    </row>
    <row r="7" spans="3:9" x14ac:dyDescent="0.25">
      <c r="F7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B254-0709-4F28-8A4E-53B65F72163F}">
  <dimension ref="B1:F25"/>
  <sheetViews>
    <sheetView zoomScale="115" zoomScaleNormal="115" workbookViewId="0">
      <selection activeCell="D32" sqref="D32"/>
    </sheetView>
  </sheetViews>
  <sheetFormatPr defaultRowHeight="15" x14ac:dyDescent="0.25"/>
  <cols>
    <col min="2" max="2" width="18.85546875" customWidth="1"/>
    <col min="3" max="3" width="25" customWidth="1"/>
    <col min="4" max="4" width="18.5703125" customWidth="1"/>
    <col min="5" max="5" width="18.140625" customWidth="1"/>
    <col min="6" max="6" width="28.5703125" customWidth="1"/>
  </cols>
  <sheetData>
    <row r="1" spans="2:6" ht="18.75" x14ac:dyDescent="0.3">
      <c r="B1" s="3" t="s">
        <v>140</v>
      </c>
      <c r="C1" s="3" t="s">
        <v>139</v>
      </c>
      <c r="D1" s="3"/>
      <c r="E1" s="3" t="s">
        <v>76</v>
      </c>
      <c r="F1" s="3" t="s">
        <v>38</v>
      </c>
    </row>
    <row r="2" spans="2:6" ht="15.75" x14ac:dyDescent="0.25">
      <c r="B2" s="4" t="s">
        <v>43</v>
      </c>
      <c r="C2" s="6" t="s">
        <v>132</v>
      </c>
      <c r="D2" s="6" t="s">
        <v>133</v>
      </c>
      <c r="E2" s="4">
        <v>922</v>
      </c>
      <c r="F2" s="5">
        <v>8139</v>
      </c>
    </row>
    <row r="3" spans="2:6" ht="15.75" x14ac:dyDescent="0.25">
      <c r="B3" s="4" t="s">
        <v>75</v>
      </c>
      <c r="C3" s="6" t="s">
        <v>134</v>
      </c>
      <c r="D3" s="6" t="s">
        <v>133</v>
      </c>
      <c r="E3" s="5">
        <v>1527</v>
      </c>
      <c r="F3" s="5">
        <v>10752</v>
      </c>
    </row>
    <row r="4" spans="2:6" ht="15.75" x14ac:dyDescent="0.25">
      <c r="B4" s="4" t="s">
        <v>58</v>
      </c>
      <c r="C4" s="6" t="s">
        <v>134</v>
      </c>
      <c r="D4" s="6" t="s">
        <v>133</v>
      </c>
      <c r="E4" s="4">
        <v>364</v>
      </c>
      <c r="F4" s="5">
        <v>2560</v>
      </c>
    </row>
    <row r="5" spans="2:6" ht="15.75" x14ac:dyDescent="0.25">
      <c r="B5" s="4" t="s">
        <v>60</v>
      </c>
      <c r="C5" s="6" t="s">
        <v>135</v>
      </c>
      <c r="D5" s="6" t="s">
        <v>133</v>
      </c>
      <c r="E5" s="4">
        <v>65</v>
      </c>
      <c r="F5" s="5">
        <v>272</v>
      </c>
    </row>
    <row r="6" spans="2:6" ht="15.75" x14ac:dyDescent="0.25">
      <c r="B6" s="4" t="s">
        <v>62</v>
      </c>
      <c r="C6" s="6" t="s">
        <v>134</v>
      </c>
      <c r="D6" s="6" t="s">
        <v>136</v>
      </c>
      <c r="E6" s="4">
        <v>500</v>
      </c>
      <c r="F6" s="5">
        <v>3520</v>
      </c>
    </row>
    <row r="7" spans="2:6" ht="15.75" x14ac:dyDescent="0.25">
      <c r="B7" s="4" t="s">
        <v>64</v>
      </c>
      <c r="C7" s="6" t="s">
        <v>135</v>
      </c>
      <c r="D7" s="6" t="s">
        <v>136</v>
      </c>
      <c r="E7" s="4">
        <v>65</v>
      </c>
      <c r="F7" s="5">
        <v>272</v>
      </c>
    </row>
    <row r="8" spans="2:6" ht="15.75" x14ac:dyDescent="0.25">
      <c r="B8" s="4" t="s">
        <v>66</v>
      </c>
      <c r="C8" s="6" t="s">
        <v>134</v>
      </c>
      <c r="D8" s="6" t="s">
        <v>137</v>
      </c>
      <c r="E8" s="5">
        <v>774</v>
      </c>
      <c r="F8" s="5">
        <v>5190</v>
      </c>
    </row>
    <row r="9" spans="2:6" ht="15.75" x14ac:dyDescent="0.25">
      <c r="B9" s="4" t="s">
        <v>69</v>
      </c>
      <c r="C9" s="6" t="s">
        <v>134</v>
      </c>
      <c r="D9" s="6" t="s">
        <v>137</v>
      </c>
      <c r="E9" s="4">
        <v>345</v>
      </c>
      <c r="F9" s="5">
        <v>2310</v>
      </c>
    </row>
    <row r="10" spans="2:6" ht="15.75" x14ac:dyDescent="0.25">
      <c r="B10" s="4" t="s">
        <v>70</v>
      </c>
      <c r="C10" s="6" t="s">
        <v>135</v>
      </c>
      <c r="D10" s="6" t="s">
        <v>137</v>
      </c>
      <c r="E10" s="4">
        <v>155</v>
      </c>
      <c r="F10" s="5">
        <v>1088</v>
      </c>
    </row>
    <row r="11" spans="2:6" ht="15.75" x14ac:dyDescent="0.25">
      <c r="B11" s="4" t="s">
        <v>71</v>
      </c>
      <c r="C11" s="6" t="s">
        <v>134</v>
      </c>
      <c r="D11" s="6" t="s">
        <v>138</v>
      </c>
      <c r="E11" s="5">
        <v>318</v>
      </c>
      <c r="F11" s="5">
        <v>2240</v>
      </c>
    </row>
    <row r="12" spans="2:6" ht="15.75" x14ac:dyDescent="0.25">
      <c r="B12" s="7"/>
      <c r="E12" s="8"/>
      <c r="F12" s="8"/>
    </row>
    <row r="13" spans="2:6" ht="15.75" x14ac:dyDescent="0.25">
      <c r="B13" s="7"/>
      <c r="E13" s="8"/>
      <c r="F13" s="8"/>
    </row>
    <row r="15" spans="2:6" ht="18.75" x14ac:dyDescent="0.3">
      <c r="B15" s="3" t="s">
        <v>109</v>
      </c>
      <c r="C15" s="3"/>
      <c r="D15" s="3"/>
      <c r="E15" s="3" t="s">
        <v>76</v>
      </c>
      <c r="F15" s="3" t="s">
        <v>38</v>
      </c>
    </row>
    <row r="16" spans="2:6" ht="15.75" x14ac:dyDescent="0.25">
      <c r="B16" s="4" t="s">
        <v>99</v>
      </c>
      <c r="C16" s="4"/>
      <c r="D16" s="4"/>
      <c r="E16" s="4">
        <v>57</v>
      </c>
      <c r="F16" s="5">
        <v>206</v>
      </c>
    </row>
    <row r="17" spans="2:6" ht="15.75" x14ac:dyDescent="0.25">
      <c r="B17" s="4" t="s">
        <v>103</v>
      </c>
      <c r="C17" s="4"/>
      <c r="D17" s="4"/>
      <c r="E17" s="5">
        <v>201</v>
      </c>
      <c r="F17" s="5">
        <v>728</v>
      </c>
    </row>
    <row r="18" spans="2:6" ht="15.75" x14ac:dyDescent="0.25">
      <c r="B18" s="4" t="s">
        <v>105</v>
      </c>
      <c r="C18" s="4"/>
      <c r="D18" s="4"/>
      <c r="E18" s="4">
        <v>169</v>
      </c>
      <c r="F18" s="5">
        <v>613</v>
      </c>
    </row>
    <row r="19" spans="2:6" ht="15.75" x14ac:dyDescent="0.25">
      <c r="B19" s="4" t="s">
        <v>107</v>
      </c>
      <c r="C19" s="4"/>
      <c r="D19" s="4"/>
      <c r="E19" s="4">
        <v>432</v>
      </c>
      <c r="F19" s="5">
        <v>1564</v>
      </c>
    </row>
    <row r="20" spans="2:6" ht="15.75" x14ac:dyDescent="0.25">
      <c r="B20" s="4" t="s">
        <v>110</v>
      </c>
      <c r="C20" s="4"/>
      <c r="D20" s="4"/>
      <c r="E20" s="6"/>
      <c r="F20" s="5">
        <v>959.92</v>
      </c>
    </row>
    <row r="21" spans="2:6" ht="15.75" x14ac:dyDescent="0.25">
      <c r="B21" s="4" t="s">
        <v>111</v>
      </c>
      <c r="C21" s="4"/>
      <c r="D21" s="4"/>
      <c r="E21" s="6"/>
      <c r="F21" s="5">
        <v>2929.17</v>
      </c>
    </row>
    <row r="22" spans="2:6" ht="15.75" x14ac:dyDescent="0.25">
      <c r="B22" s="4" t="s">
        <v>112</v>
      </c>
      <c r="C22" s="4"/>
      <c r="D22" s="4"/>
      <c r="E22" s="6"/>
      <c r="F22" s="5">
        <v>1026.04</v>
      </c>
    </row>
    <row r="23" spans="2:6" ht="15.75" x14ac:dyDescent="0.25">
      <c r="B23" s="4" t="s">
        <v>116</v>
      </c>
      <c r="C23" s="4"/>
      <c r="D23" s="4"/>
      <c r="E23" s="4"/>
      <c r="F23" s="5"/>
    </row>
    <row r="24" spans="2:6" ht="15.75" x14ac:dyDescent="0.25">
      <c r="B24" s="4" t="s">
        <v>117</v>
      </c>
      <c r="C24" s="4"/>
      <c r="D24" s="4"/>
      <c r="E24" s="4"/>
      <c r="F24" s="5"/>
    </row>
    <row r="25" spans="2:6" ht="15.75" x14ac:dyDescent="0.25">
      <c r="B25" s="4"/>
      <c r="C25" s="4"/>
      <c r="D25" s="4"/>
      <c r="E25" s="5"/>
      <c r="F2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0b62944ed4c2d4a53fbfc42a85277856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803a8de486b0e6b2121886a0f7da93da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AF1CC-F3F6-4C81-8AA9-EB529FFB6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221B73-FCC1-4111-B03B-255F66D49CB0}">
  <ds:schemaRefs>
    <ds:schemaRef ds:uri="http://schemas.microsoft.com/office/2006/metadata/properties"/>
    <ds:schemaRef ds:uri="http://schemas.microsoft.com/office/infopath/2007/PartnerControls"/>
    <ds:schemaRef ds:uri="29a8beaf-1c45-488d-a0c9-23f9e05838b8"/>
    <ds:schemaRef ds:uri="74e96fc0-e434-4b1c-a91d-4b84a454836a"/>
  </ds:schemaRefs>
</ds:datastoreItem>
</file>

<file path=customXml/itemProps3.xml><?xml version="1.0" encoding="utf-8"?>
<ds:datastoreItem xmlns:ds="http://schemas.openxmlformats.org/officeDocument/2006/customXml" ds:itemID="{11CCFBA7-B45E-4C2D-929A-11A75956F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 Audit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Coke, Patty</dc:creator>
  <cp:lastModifiedBy>Jerry Molina</cp:lastModifiedBy>
  <dcterms:created xsi:type="dcterms:W3CDTF">2025-12-10T12:49:46Z</dcterms:created>
  <dcterms:modified xsi:type="dcterms:W3CDTF">2026-01-15T16:14:32Z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