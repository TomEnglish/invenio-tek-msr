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kindredindustrial.sharepoint.com/sites/FERMI_RPS_CONSTRUCTION/Shared Documents/Construction/Progress/Daily Progress/01.13.26/"/>
    </mc:Choice>
  </mc:AlternateContent>
  <xr:revisionPtr revIDLastSave="137" documentId="8_{813E1087-306D-4BCA-903F-36D5B029E569}" xr6:coauthVersionLast="47" xr6:coauthVersionMax="47" xr10:uidLastSave="{2D286AC1-E0CD-412A-849F-89BC2250DC6B}"/>
  <bookViews>
    <workbookView xWindow="53652" yWindow="-108" windowWidth="23256" windowHeight="12456" xr2:uid="{F68CA254-E437-4AB0-A574-974D101FE408}"/>
  </bookViews>
  <sheets>
    <sheet name="Safety" sheetId="10" r:id="rId1"/>
    <sheet name="Field Report" sheetId="16" r:id="rId2"/>
    <sheet name="FCO.RFI" sheetId="15" r:id="rId3"/>
    <sheet name="Cnst Equip" sheetId="14" r:id="rId4"/>
    <sheet name="QAQC" sheetId="13" r:id="rId5"/>
    <sheet name="QTY Progress" sheetId="2" r:id="rId6"/>
    <sheet name="E&amp;H - QTY Plan" sheetId="7" r:id="rId7"/>
    <sheet name="Audubon - QTY Plan" sheetId="8" r:id="rId8"/>
    <sheet name="E&amp;H - Daily Report" sheetId="19" r:id="rId9"/>
    <sheet name="Audubon - Daily Report" sheetId="20" r:id="rId10"/>
    <sheet name="RPS - Daily Report" sheetId="21" r:id="rId11"/>
  </sheets>
  <externalReferences>
    <externalReference r:id="rId12"/>
    <externalReference r:id="rId13"/>
    <externalReference r:id="rId14"/>
    <externalReference r:id="rId15"/>
  </externalReferences>
  <definedNames>
    <definedName name="\M" localSheetId="7">#REF!</definedName>
    <definedName name="\M">#REF!</definedName>
    <definedName name="_Fill" hidden="1">'[1]ISC Equip'!#REF!</definedName>
    <definedName name="_Order1" hidden="1">255</definedName>
    <definedName name="AC" localSheetId="7">#REF!</definedName>
    <definedName name="AC">#REF!</definedName>
    <definedName name="ACC" localSheetId="7">#REF!</definedName>
    <definedName name="ACC">#REF!</definedName>
    <definedName name="ACT" localSheetId="7">#REF!</definedName>
    <definedName name="ACT">#REF!</definedName>
    <definedName name="AQ" localSheetId="7">#REF!</definedName>
    <definedName name="AQ">#REF!</definedName>
    <definedName name="BC" localSheetId="7">#REF!</definedName>
    <definedName name="BC">#REF!</definedName>
    <definedName name="BQ" localSheetId="7">#REF!</definedName>
    <definedName name="BQ">#REF!</definedName>
    <definedName name="CLASS" localSheetId="7">#REF!</definedName>
    <definedName name="CLASS">#REF!</definedName>
    <definedName name="cmc" localSheetId="7">#REF!</definedName>
    <definedName name="cmc">#REF!</definedName>
    <definedName name="cmc_backup" localSheetId="7">#REF!</definedName>
    <definedName name="cmc_backup">#REF!</definedName>
    <definedName name="contingency" localSheetId="7">#REF!</definedName>
    <definedName name="contingency">#REF!</definedName>
    <definedName name="contingency_backup" localSheetId="7">#REF!</definedName>
    <definedName name="contingency_backup">#REF!</definedName>
    <definedName name="CONTRACT" localSheetId="7">#REF!</definedName>
    <definedName name="CONTRACT">#REF!</definedName>
    <definedName name="Cum_Comm">[2]Sheet1!$AP$87:$CD$93</definedName>
    <definedName name="DO_LABOR" localSheetId="7">#REF!</definedName>
    <definedName name="DO_LABOR">#REF!</definedName>
    <definedName name="DO_LABOR_BACKUP" localSheetId="7">#REF!</definedName>
    <definedName name="DO_LABOR_BACKUP">#REF!</definedName>
    <definedName name="DO_MATERIAL" localSheetId="7">#REF!</definedName>
    <definedName name="DO_MATERIAL">#REF!</definedName>
    <definedName name="DO_MATERIAL_BACKUP" localSheetId="7">#REF!</definedName>
    <definedName name="DO_MATERIAL_BACKUP">#REF!</definedName>
    <definedName name="DO_OTHER" localSheetId="7">#REF!</definedName>
    <definedName name="DO_OTHER">#REF!</definedName>
    <definedName name="DO_OTHER_BACKUP" localSheetId="7">#REF!</definedName>
    <definedName name="DO_OTHER_BACKUP">#REF!</definedName>
    <definedName name="DO_PLANTEQUIP" localSheetId="7">#REF!</definedName>
    <definedName name="DO_PLANTEQUIP">#REF!</definedName>
    <definedName name="DO_PLANTEQUIP_BACKUP" localSheetId="7">#REF!</definedName>
    <definedName name="DO_PLANTEQUIP_BACKUP">#REF!</definedName>
    <definedName name="DO_SUBCONTRACTS" localSheetId="7">#REF!</definedName>
    <definedName name="DO_SUBCONTRACTS">#REF!</definedName>
    <definedName name="DO_SUBCONTRACTS_BACKUP" localSheetId="7">#REF!</definedName>
    <definedName name="DO_SUBCONTRACTS_BACKUP">#REF!</definedName>
    <definedName name="errors">[3]WARNINGS!$C$31</definedName>
    <definedName name="escalation" localSheetId="7">#REF!</definedName>
    <definedName name="escalation">#REF!</definedName>
    <definedName name="escalation_backup" localSheetId="7">#REF!</definedName>
    <definedName name="escalation_backup">#REF!</definedName>
    <definedName name="fee" localSheetId="7">#REF!</definedName>
    <definedName name="fee">#REF!</definedName>
    <definedName name="fee_backup" localSheetId="7">#REF!</definedName>
    <definedName name="fee_backup">#REF!</definedName>
    <definedName name="Gasoline_Price">2.1</definedName>
    <definedName name="Incr_Comm">[2]Sheet1!$AP$79:$CD$85</definedName>
    <definedName name="IO_LABOR" localSheetId="7">#REF!</definedName>
    <definedName name="IO_LABOR">#REF!</definedName>
    <definedName name="IO_LABOR_BACKUP" localSheetId="7">#REF!</definedName>
    <definedName name="IO_LABOR_BACKUP">#REF!</definedName>
    <definedName name="IO_MATERIAL" localSheetId="7">#REF!</definedName>
    <definedName name="IO_MATERIAL">#REF!</definedName>
    <definedName name="IO_MATERIAL_BACKUP" localSheetId="7">#REF!</definedName>
    <definedName name="IO_MATERIAL_BACKUP">#REF!</definedName>
    <definedName name="IO_OTHER" localSheetId="7">#REF!</definedName>
    <definedName name="IO_OTHER">#REF!</definedName>
    <definedName name="IO_OTHER_BACKUP" localSheetId="7">#REF!</definedName>
    <definedName name="IO_OTHER_BACKUP">#REF!</definedName>
    <definedName name="IO_PLANTEQUIP" localSheetId="7">#REF!</definedName>
    <definedName name="IO_PLANTEQUIP">#REF!</definedName>
    <definedName name="IO_PLANTEQUIP_BACKUP" localSheetId="7">#REF!</definedName>
    <definedName name="IO_PLANTEQUIP_BACKUP">#REF!</definedName>
    <definedName name="IO_SUBCONTRACTS" localSheetId="7">#REF!</definedName>
    <definedName name="IO_SUBCONTRACTS">#REF!</definedName>
    <definedName name="IO_SUBCONTRACTS_BACKUP" localSheetId="7">#REF!</definedName>
    <definedName name="IO_SUBCONTRACTS_BACKUP">#REF!</definedName>
    <definedName name="LABOR">[4]Labor!#REF!</definedName>
    <definedName name="OD" localSheetId="7">#REF!</definedName>
    <definedName name="OD">#REF!</definedName>
    <definedName name="PABLO" localSheetId="7">#REF!</definedName>
    <definedName name="PABLO">#REF!</definedName>
    <definedName name="PCT" localSheetId="7">#REF!</definedName>
    <definedName name="PCT">#REF!</definedName>
    <definedName name="_xlnm.Print_Area" localSheetId="9">'Audubon - Daily Report'!$A$1:$L$238</definedName>
    <definedName name="_xlnm.Print_Area" localSheetId="3">'Cnst Equip'!$A$1:$L$67</definedName>
    <definedName name="_xlnm.Print_Area" localSheetId="8">'E&amp;H - Daily Report'!$A$1:$L$262</definedName>
    <definedName name="_xlnm.Print_Area" localSheetId="2">FCO.RFI!$A$1:$L$62</definedName>
    <definedName name="_xlnm.Print_Area" localSheetId="1">'Field Report'!$A$1:$L$100</definedName>
    <definedName name="_xlnm.Print_Area" localSheetId="4">QAQC!$A$1:$L$45</definedName>
    <definedName name="_xlnm.Print_Area" localSheetId="5">'QTY Progress'!$A$1:$I$27</definedName>
    <definedName name="_xlnm.Print_Area" localSheetId="10">'RPS - Daily Report'!$A$1:$L$238</definedName>
    <definedName name="_xlnm.Print_Area" localSheetId="0">Safety!$A$1:$L$46</definedName>
    <definedName name="_xlnm.Print_Titles" localSheetId="9">'Audubon - Daily Report'!$2:$5</definedName>
    <definedName name="_xlnm.Print_Titles" localSheetId="3">'Cnst Equip'!$2:$5</definedName>
    <definedName name="_xlnm.Print_Titles" localSheetId="8">'E&amp;H - Daily Report'!$2:$5</definedName>
    <definedName name="_xlnm.Print_Titles" localSheetId="2">FCO.RFI!$2:$5</definedName>
    <definedName name="_xlnm.Print_Titles" localSheetId="1">'Field Report'!$2:$5</definedName>
    <definedName name="_xlnm.Print_Titles" localSheetId="4">QAQC!$2:$5</definedName>
    <definedName name="_xlnm.Print_Titles" localSheetId="10">'RPS - Daily Report'!$2:$5</definedName>
    <definedName name="_xlnm.Print_Titles" localSheetId="0">Safety!$2:$5</definedName>
    <definedName name="Print_Titles_MI" localSheetId="7">#REF!</definedName>
    <definedName name="Print_Titles_MI">#REF!</definedName>
    <definedName name="ramp_distribution" localSheetId="7">#REF!</definedName>
    <definedName name="ramp_distribution">#REF!</definedName>
    <definedName name="RES" localSheetId="7">#REF!</definedName>
    <definedName name="RES">#REF!</definedName>
    <definedName name="RID" localSheetId="7">#REF!</definedName>
    <definedName name="RID">#REF!</definedName>
    <definedName name="RUT" localSheetId="7">#REF!</definedName>
    <definedName name="RUT">#REF!</definedName>
    <definedName name="TA_Riley">[2]Sheet1!$AP$58:$CD$67</definedName>
    <definedName name="TITLE" localSheetId="7">#REF!</definedName>
    <definedName name="TITL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1" i="19" l="1"/>
  <c r="H133" i="19"/>
  <c r="G133" i="19"/>
  <c r="F133" i="19"/>
  <c r="E133" i="19"/>
  <c r="D133" i="19"/>
  <c r="H132" i="19"/>
  <c r="G132" i="19"/>
  <c r="E132" i="19"/>
  <c r="F132" i="19" s="1"/>
  <c r="D132" i="19"/>
  <c r="F131" i="19"/>
  <c r="F130" i="19"/>
  <c r="F129" i="19"/>
  <c r="F128" i="19"/>
  <c r="F127" i="19"/>
  <c r="F126" i="19"/>
  <c r="F122" i="19"/>
  <c r="F121" i="19"/>
  <c r="F120" i="19"/>
  <c r="F119" i="19"/>
  <c r="F118" i="19"/>
  <c r="F117" i="19"/>
  <c r="F116" i="19"/>
  <c r="F115" i="19"/>
  <c r="F114" i="19"/>
  <c r="F113" i="19"/>
  <c r="F112" i="19"/>
  <c r="F110" i="19"/>
  <c r="F109" i="19"/>
  <c r="F108" i="19"/>
  <c r="L93" i="19"/>
  <c r="K93" i="19"/>
  <c r="J93" i="19"/>
  <c r="I93" i="19"/>
  <c r="H93" i="19"/>
  <c r="G93" i="19"/>
  <c r="D85" i="19"/>
  <c r="E70" i="19"/>
  <c r="F70" i="19" s="1"/>
  <c r="G70" i="19" s="1"/>
  <c r="H70" i="19" s="1"/>
  <c r="I70" i="19" s="1"/>
  <c r="J70" i="19" s="1"/>
  <c r="E64" i="19"/>
  <c r="F64" i="19" s="1"/>
  <c r="G64" i="19" s="1"/>
  <c r="H64" i="19" s="1"/>
  <c r="I64" i="19" s="1"/>
  <c r="J64" i="19" s="1"/>
  <c r="E57" i="19"/>
  <c r="D57" i="19"/>
  <c r="I16" i="19"/>
  <c r="H16" i="19"/>
  <c r="G16" i="19"/>
  <c r="F16" i="19"/>
  <c r="E16" i="19"/>
  <c r="D16" i="19"/>
  <c r="K15" i="19"/>
  <c r="K16" i="19" s="1"/>
  <c r="J15" i="19"/>
  <c r="K14" i="19"/>
  <c r="J14" i="19"/>
  <c r="J16" i="19" s="1"/>
  <c r="L14" i="19" l="1"/>
  <c r="L15" i="19"/>
  <c r="L16" i="19" l="1"/>
  <c r="E12" i="2" l="1"/>
  <c r="E11" i="2"/>
  <c r="E10" i="2"/>
  <c r="E9" i="2"/>
  <c r="E8" i="2"/>
  <c r="E7" i="2"/>
  <c r="D12" i="2"/>
  <c r="D11" i="2"/>
  <c r="D10" i="2"/>
  <c r="D9" i="2"/>
  <c r="D8" i="2"/>
  <c r="D7" i="2"/>
  <c r="CT14" i="7"/>
  <c r="I8" i="2"/>
  <c r="H8" i="2"/>
  <c r="CT12" i="7"/>
  <c r="G8" i="2"/>
  <c r="H7" i="2"/>
  <c r="CT13" i="7"/>
  <c r="G12" i="2" l="1"/>
  <c r="G11" i="2"/>
  <c r="G10" i="2"/>
  <c r="G9" i="2"/>
  <c r="G7" i="2"/>
  <c r="I9" i="2" l="1"/>
  <c r="I12" i="2"/>
  <c r="H12" i="2"/>
  <c r="H11" i="2"/>
  <c r="H10" i="2"/>
  <c r="H9" i="2"/>
  <c r="H18" i="2" l="1"/>
  <c r="H17" i="2"/>
  <c r="D17" i="2" l="1"/>
  <c r="CT58" i="7"/>
  <c r="CT56" i="7"/>
  <c r="CT54" i="7"/>
  <c r="CT52" i="7"/>
  <c r="CT50" i="7"/>
  <c r="CT49" i="7"/>
  <c r="CT48" i="7"/>
  <c r="CT46" i="7"/>
  <c r="CT45" i="7"/>
  <c r="CT44" i="7"/>
  <c r="CT42" i="7"/>
  <c r="CT41" i="7"/>
  <c r="CT40" i="7"/>
  <c r="CT38" i="7"/>
  <c r="CT37" i="7"/>
  <c r="CT36" i="7"/>
  <c r="CT34" i="7"/>
  <c r="CT33" i="7"/>
  <c r="CT32" i="7"/>
  <c r="CT30" i="7"/>
  <c r="CT29" i="7"/>
  <c r="CT28" i="7"/>
  <c r="CT26" i="7"/>
  <c r="CT25" i="7"/>
  <c r="CT24" i="7"/>
  <c r="CT22" i="7"/>
  <c r="CT21" i="7"/>
  <c r="CT20" i="7"/>
  <c r="CT16" i="7"/>
  <c r="CT18" i="7"/>
  <c r="CT17" i="7"/>
  <c r="CT9" i="7"/>
  <c r="CT10" i="7"/>
  <c r="CT8" i="7"/>
  <c r="CT6" i="7"/>
  <c r="CT5" i="7"/>
  <c r="CT4" i="7"/>
  <c r="BV3" i="7"/>
  <c r="BW3" i="7" s="1"/>
  <c r="BX3" i="7" s="1"/>
  <c r="BY3" i="7" s="1"/>
  <c r="BZ3" i="7" s="1"/>
  <c r="CA3" i="7" s="1"/>
  <c r="CB3" i="7" s="1"/>
  <c r="CC3" i="7" s="1"/>
  <c r="CD3" i="7" s="1"/>
  <c r="CE3" i="7" s="1"/>
  <c r="CF3" i="7" s="1"/>
  <c r="CG3" i="7" s="1"/>
  <c r="CH3" i="7" s="1"/>
  <c r="CI3" i="7" s="1"/>
  <c r="CJ3" i="7" s="1"/>
  <c r="CK3" i="7" s="1"/>
  <c r="CL3" i="7" s="1"/>
  <c r="CM3" i="7" s="1"/>
  <c r="CN3" i="7" s="1"/>
  <c r="CO3" i="7" s="1"/>
  <c r="CP3" i="7" s="1"/>
  <c r="CQ3" i="7" s="1"/>
  <c r="CR3" i="7" s="1"/>
  <c r="CS3" i="7" s="1"/>
  <c r="E18" i="2"/>
  <c r="E17" i="2"/>
  <c r="D18" i="2"/>
  <c r="AY16" i="8" l="1"/>
  <c r="F160" i="20" l="1"/>
  <c r="H94" i="20"/>
  <c r="G94" i="20"/>
  <c r="E94" i="20"/>
  <c r="D94" i="20"/>
  <c r="F94" i="20" s="1"/>
  <c r="H93" i="20"/>
  <c r="G93" i="20"/>
  <c r="F93" i="20"/>
  <c r="E93" i="20"/>
  <c r="D93" i="20"/>
  <c r="F92" i="20"/>
  <c r="F91" i="20"/>
  <c r="F90" i="20"/>
  <c r="F89" i="20"/>
  <c r="F88" i="20"/>
  <c r="F87" i="20"/>
  <c r="F83" i="20"/>
  <c r="F82" i="20"/>
  <c r="F81" i="20"/>
  <c r="F80" i="20"/>
  <c r="F79" i="20"/>
  <c r="F78" i="20"/>
  <c r="L64" i="20"/>
  <c r="K64" i="20"/>
  <c r="J64" i="20"/>
  <c r="I64" i="20"/>
  <c r="H64" i="20"/>
  <c r="G64" i="20"/>
  <c r="G40" i="20"/>
  <c r="H40" i="20" s="1"/>
  <c r="I40" i="20" s="1"/>
  <c r="J40" i="20" s="1"/>
  <c r="F40" i="20"/>
  <c r="E40" i="20"/>
  <c r="E34" i="20"/>
  <c r="F34" i="20" s="1"/>
  <c r="G34" i="20" s="1"/>
  <c r="H34" i="20" s="1"/>
  <c r="I34" i="20" s="1"/>
  <c r="J34" i="20" s="1"/>
  <c r="J16" i="20"/>
  <c r="I16" i="20"/>
  <c r="H16" i="20"/>
  <c r="G16" i="20"/>
  <c r="F16" i="20"/>
  <c r="E16" i="20"/>
  <c r="D16" i="20"/>
  <c r="K15" i="20"/>
  <c r="K16" i="20" s="1"/>
  <c r="J15" i="20"/>
  <c r="L15" i="20" s="1"/>
  <c r="K14" i="20"/>
  <c r="L14" i="20" s="1"/>
  <c r="L16" i="20" s="1"/>
  <c r="J14" i="20"/>
  <c r="AY12" i="8" l="1"/>
  <c r="AY13" i="8"/>
  <c r="AY14" i="8"/>
  <c r="AY8" i="8"/>
  <c r="AY6" i="8"/>
  <c r="AY5" i="8"/>
  <c r="AY4" i="8"/>
  <c r="AU3" i="8"/>
  <c r="AV3" i="8"/>
  <c r="AW3" i="8" s="1"/>
  <c r="AX3" i="8" s="1"/>
  <c r="F24" i="7" l="1"/>
  <c r="G24" i="7" l="1"/>
  <c r="K24" i="7"/>
  <c r="J24" i="7"/>
  <c r="I24" i="7"/>
  <c r="H24" i="7"/>
  <c r="N24" i="7" l="1"/>
  <c r="V24" i="7"/>
  <c r="G25" i="7"/>
  <c r="O25" i="7"/>
  <c r="W25" i="7"/>
  <c r="S26" i="7"/>
  <c r="AA26" i="7"/>
  <c r="AA25" i="7"/>
  <c r="AA24" i="7"/>
  <c r="X26" i="7"/>
  <c r="U25" i="7"/>
  <c r="U24" i="7"/>
  <c r="R26" i="7"/>
  <c r="O24" i="7"/>
  <c r="W24" i="7"/>
  <c r="H25" i="7"/>
  <c r="P25" i="7"/>
  <c r="X25" i="7"/>
  <c r="T26" i="7"/>
  <c r="AB26" i="7"/>
  <c r="S25" i="7"/>
  <c r="L25" i="7"/>
  <c r="M25" i="7"/>
  <c r="V25" i="7"/>
  <c r="P24" i="7"/>
  <c r="X24" i="7"/>
  <c r="I25" i="7"/>
  <c r="Q25" i="7"/>
  <c r="Y25" i="7"/>
  <c r="U26" i="7"/>
  <c r="W26" i="7"/>
  <c r="T25" i="7"/>
  <c r="AB24" i="7"/>
  <c r="Y26" i="7"/>
  <c r="N25" i="7"/>
  <c r="Q24" i="7"/>
  <c r="Y24" i="7"/>
  <c r="J25" i="7"/>
  <c r="R25" i="7"/>
  <c r="Z25" i="7"/>
  <c r="V26" i="7"/>
  <c r="K25" i="7"/>
  <c r="AB25" i="7"/>
  <c r="T24" i="7"/>
  <c r="Q26" i="7"/>
  <c r="R24" i="7"/>
  <c r="Z24" i="7"/>
  <c r="L24" i="7"/>
  <c r="F25" i="7"/>
  <c r="S24" i="7"/>
  <c r="M24" i="7"/>
  <c r="Z26" i="7"/>
  <c r="G18" i="2" l="1"/>
  <c r="G17" i="2"/>
  <c r="L6" i="16" l="1"/>
  <c r="F14" i="21" l="1"/>
  <c r="E14" i="21"/>
  <c r="D14" i="21"/>
  <c r="F24" i="16" l="1"/>
  <c r="F23" i="16"/>
  <c r="F22" i="16"/>
  <c r="F21" i="16"/>
  <c r="F20" i="16"/>
  <c r="F19" i="16"/>
  <c r="F18" i="16"/>
  <c r="F17" i="16"/>
  <c r="F16" i="16"/>
  <c r="F15" i="16"/>
  <c r="F13" i="16"/>
  <c r="F12" i="16"/>
  <c r="F11" i="16"/>
  <c r="F25" i="16"/>
  <c r="K15" i="21" l="1"/>
  <c r="D16" i="21"/>
  <c r="I3" i="2" l="1"/>
  <c r="F29" i="16" l="1"/>
  <c r="F30" i="16"/>
  <c r="F31" i="16"/>
  <c r="F32" i="16"/>
  <c r="F33" i="16"/>
  <c r="F34" i="16"/>
  <c r="D35" i="16"/>
  <c r="F35" i="16" s="1"/>
  <c r="E35" i="16"/>
  <c r="G35" i="16"/>
  <c r="H35" i="16"/>
  <c r="D36" i="16"/>
  <c r="E36" i="16"/>
  <c r="G36" i="16"/>
  <c r="H36" i="16"/>
  <c r="H46" i="14"/>
  <c r="H45" i="14"/>
  <c r="H44" i="14"/>
  <c r="H43" i="14"/>
  <c r="H42" i="14"/>
  <c r="H41" i="14"/>
  <c r="H40" i="14"/>
  <c r="H39" i="14"/>
  <c r="H38" i="14"/>
  <c r="H37" i="14"/>
  <c r="H36" i="14"/>
  <c r="H35" i="14"/>
  <c r="H34" i="14"/>
  <c r="H33" i="14"/>
  <c r="H32" i="14"/>
  <c r="H31" i="14"/>
  <c r="H30" i="14"/>
  <c r="H29" i="14"/>
  <c r="H28" i="14"/>
  <c r="H27" i="14"/>
  <c r="H26" i="14"/>
  <c r="H25" i="14"/>
  <c r="H24" i="14"/>
  <c r="H23" i="14"/>
  <c r="H22" i="14"/>
  <c r="H21" i="14"/>
  <c r="H20" i="14"/>
  <c r="H19" i="14"/>
  <c r="H18" i="14"/>
  <c r="H17" i="14"/>
  <c r="H16" i="14"/>
  <c r="H15" i="14"/>
  <c r="H14" i="14"/>
  <c r="H13" i="14"/>
  <c r="H11" i="14"/>
  <c r="H12" i="14"/>
  <c r="G46" i="14"/>
  <c r="G45" i="14"/>
  <c r="G44" i="14"/>
  <c r="G43" i="14"/>
  <c r="G42" i="14"/>
  <c r="G41" i="14"/>
  <c r="G40" i="14"/>
  <c r="G39" i="14"/>
  <c r="G38" i="14"/>
  <c r="G37" i="14"/>
  <c r="G36" i="14"/>
  <c r="G35" i="14"/>
  <c r="G34" i="14"/>
  <c r="G33" i="14"/>
  <c r="G32" i="14"/>
  <c r="G31" i="14"/>
  <c r="G30" i="14"/>
  <c r="G29" i="14"/>
  <c r="G28" i="14"/>
  <c r="G27" i="14"/>
  <c r="G26" i="14"/>
  <c r="G25" i="14"/>
  <c r="G24" i="14"/>
  <c r="G23" i="14"/>
  <c r="G22" i="14"/>
  <c r="G21" i="14"/>
  <c r="G20" i="14"/>
  <c r="G19" i="14"/>
  <c r="G18" i="14"/>
  <c r="G17" i="14"/>
  <c r="G16" i="14"/>
  <c r="G15" i="14"/>
  <c r="G14" i="14"/>
  <c r="G13" i="14"/>
  <c r="G12" i="14"/>
  <c r="G11" i="14"/>
  <c r="F46" i="14"/>
  <c r="F45" i="14"/>
  <c r="F44" i="14"/>
  <c r="F43" i="14"/>
  <c r="F42" i="14"/>
  <c r="F41" i="14"/>
  <c r="F40" i="14"/>
  <c r="F39" i="14"/>
  <c r="F38" i="14"/>
  <c r="F37" i="14"/>
  <c r="F36" i="14"/>
  <c r="F35" i="14"/>
  <c r="F34" i="14"/>
  <c r="F33" i="14"/>
  <c r="F32" i="14"/>
  <c r="F31" i="14"/>
  <c r="F30" i="14"/>
  <c r="F29" i="14"/>
  <c r="F28" i="14"/>
  <c r="F27" i="14"/>
  <c r="F26" i="14"/>
  <c r="F25" i="14"/>
  <c r="F24" i="14"/>
  <c r="F23" i="14"/>
  <c r="F22" i="14"/>
  <c r="F21" i="14"/>
  <c r="F20" i="14"/>
  <c r="F19" i="14"/>
  <c r="F18" i="14"/>
  <c r="F17" i="14"/>
  <c r="F16" i="14"/>
  <c r="F15" i="14"/>
  <c r="F14" i="14"/>
  <c r="F13" i="14"/>
  <c r="F12" i="14"/>
  <c r="F11" i="14"/>
  <c r="E36" i="14"/>
  <c r="E35" i="14"/>
  <c r="E34" i="14"/>
  <c r="E32" i="14"/>
  <c r="E31" i="14"/>
  <c r="E30" i="14"/>
  <c r="E29" i="14"/>
  <c r="E28" i="14"/>
  <c r="E26" i="14"/>
  <c r="E25" i="14"/>
  <c r="E24" i="14"/>
  <c r="E23" i="14"/>
  <c r="E22" i="14"/>
  <c r="E21" i="14"/>
  <c r="E20" i="14"/>
  <c r="E19" i="14"/>
  <c r="E18" i="14"/>
  <c r="E17" i="14"/>
  <c r="E16" i="14"/>
  <c r="E14" i="14"/>
  <c r="E13" i="14"/>
  <c r="E11" i="14"/>
  <c r="F36" i="16" l="1"/>
  <c r="L6" i="14"/>
  <c r="L6" i="15"/>
  <c r="F28" i="10"/>
  <c r="F27" i="10"/>
  <c r="F15" i="10"/>
  <c r="E15" i="10"/>
  <c r="D15" i="10"/>
  <c r="F14" i="10"/>
  <c r="E14" i="10"/>
  <c r="D14" i="10"/>
  <c r="J14" i="21"/>
  <c r="K14" i="21"/>
  <c r="F159" i="21"/>
  <c r="H93" i="21"/>
  <c r="G93" i="21"/>
  <c r="E93" i="21"/>
  <c r="D93" i="21"/>
  <c r="H92" i="21"/>
  <c r="G92" i="21"/>
  <c r="E92" i="21"/>
  <c r="D92" i="21"/>
  <c r="F91" i="21"/>
  <c r="F90" i="21"/>
  <c r="F89" i="21"/>
  <c r="F88" i="21"/>
  <c r="F87" i="21"/>
  <c r="F86" i="21"/>
  <c r="F82" i="21"/>
  <c r="F81" i="21"/>
  <c r="F80" i="21"/>
  <c r="F79" i="21"/>
  <c r="F78" i="21"/>
  <c r="F77" i="21"/>
  <c r="L63" i="21"/>
  <c r="K63" i="21"/>
  <c r="J63" i="21"/>
  <c r="I63" i="21"/>
  <c r="H63" i="21"/>
  <c r="G63" i="21"/>
  <c r="E40" i="21"/>
  <c r="F40" i="21" s="1"/>
  <c r="G40" i="21" s="1"/>
  <c r="H40" i="21" s="1"/>
  <c r="I40" i="21" s="1"/>
  <c r="J40" i="21" s="1"/>
  <c r="E34" i="21"/>
  <c r="F34" i="21" s="1"/>
  <c r="G34" i="21" s="1"/>
  <c r="H34" i="21" s="1"/>
  <c r="I34" i="21" s="1"/>
  <c r="J34" i="21" s="1"/>
  <c r="I16" i="21"/>
  <c r="H16" i="21"/>
  <c r="G16" i="21"/>
  <c r="F16" i="21"/>
  <c r="F93" i="21" l="1"/>
  <c r="F92" i="21"/>
  <c r="E16" i="21"/>
  <c r="L14" i="21"/>
  <c r="J15" i="21"/>
  <c r="J16" i="21" s="1"/>
  <c r="K16" i="21"/>
  <c r="L15" i="21" l="1"/>
  <c r="L16" i="21" s="1"/>
  <c r="L29" i="15" l="1"/>
  <c r="K29" i="15"/>
  <c r="J29" i="15"/>
  <c r="I29" i="15"/>
  <c r="H29" i="15"/>
  <c r="G29" i="15"/>
  <c r="F18" i="13"/>
  <c r="I18" i="2" l="1"/>
  <c r="F18" i="2"/>
  <c r="E40" i="10"/>
  <c r="F40" i="10" s="1"/>
  <c r="G40" i="10" s="1"/>
  <c r="H40" i="10" s="1"/>
  <c r="I40" i="10" s="1"/>
  <c r="J40" i="10" s="1"/>
  <c r="E34" i="10"/>
  <c r="F34" i="10" s="1"/>
  <c r="G34" i="10" s="1"/>
  <c r="H34" i="10" s="1"/>
  <c r="I34" i="10" s="1"/>
  <c r="J34" i="10" s="1"/>
  <c r="I16" i="10"/>
  <c r="H16" i="10"/>
  <c r="G16" i="10"/>
  <c r="F16" i="10"/>
  <c r="E16" i="10"/>
  <c r="D16" i="10"/>
  <c r="K15" i="10"/>
  <c r="J15" i="10"/>
  <c r="K14" i="10"/>
  <c r="J14" i="10"/>
  <c r="L14" i="10" l="1"/>
  <c r="L15" i="10"/>
  <c r="K16" i="10"/>
  <c r="J16" i="10"/>
  <c r="L16" i="10" l="1"/>
  <c r="AR10" i="8"/>
  <c r="G3" i="8"/>
  <c r="H3" i="8" s="1"/>
  <c r="I3" i="8" s="1"/>
  <c r="J3" i="8" s="1"/>
  <c r="K3" i="8" s="1"/>
  <c r="L3" i="8" s="1"/>
  <c r="M3" i="8" s="1"/>
  <c r="N3" i="8" s="1"/>
  <c r="O3" i="8" s="1"/>
  <c r="P3" i="8" s="1"/>
  <c r="Q3" i="8" s="1"/>
  <c r="R3" i="8" s="1"/>
  <c r="S3" i="8" s="1"/>
  <c r="T3" i="8" s="1"/>
  <c r="U3" i="8" s="1"/>
  <c r="V3" i="8" s="1"/>
  <c r="W3" i="8" s="1"/>
  <c r="X3" i="8" s="1"/>
  <c r="Y3" i="8" s="1"/>
  <c r="Z3" i="8" s="1"/>
  <c r="AA3" i="8" s="1"/>
  <c r="AB3" i="8" s="1"/>
  <c r="AC3" i="8" s="1"/>
  <c r="AD3" i="8" s="1"/>
  <c r="AE3" i="8" s="1"/>
  <c r="AF3" i="8" s="1"/>
  <c r="AG3" i="8" s="1"/>
  <c r="AH3" i="8" s="1"/>
  <c r="AI3" i="8" s="1"/>
  <c r="AJ3" i="8" s="1"/>
  <c r="AK3" i="8" s="1"/>
  <c r="AL3" i="8" s="1"/>
  <c r="AM3" i="8" s="1"/>
  <c r="AN3" i="8" s="1"/>
  <c r="AO3" i="8" s="1"/>
  <c r="AP3" i="8" s="1"/>
  <c r="AQ3" i="8" s="1"/>
  <c r="AR3" i="8" s="1"/>
  <c r="AS3" i="8" s="1"/>
  <c r="AT3" i="8" s="1"/>
  <c r="AR9" i="8" l="1"/>
  <c r="AP9" i="8"/>
  <c r="AP10" i="8"/>
  <c r="AY18" i="8"/>
  <c r="AQ9" i="8"/>
  <c r="AQ10" i="8"/>
  <c r="AS9" i="8"/>
  <c r="AS10" i="8"/>
  <c r="AT9" i="8"/>
  <c r="AT10" i="8"/>
  <c r="AY17" i="8" l="1"/>
  <c r="AY10" i="8"/>
  <c r="AY9" i="8"/>
  <c r="O58" i="7"/>
  <c r="N58" i="7"/>
  <c r="M58" i="7"/>
  <c r="L58" i="7"/>
  <c r="K58" i="7"/>
  <c r="J58" i="7"/>
  <c r="I58" i="7"/>
  <c r="H58" i="7"/>
  <c r="G58" i="7"/>
  <c r="F58" i="7"/>
  <c r="AO54" i="7"/>
  <c r="AN54" i="7"/>
  <c r="AM54" i="7"/>
  <c r="AL54" i="7"/>
  <c r="AK54" i="7"/>
  <c r="AJ54" i="7"/>
  <c r="AI54" i="7"/>
  <c r="AH54" i="7"/>
  <c r="AG54" i="7"/>
  <c r="AF54" i="7"/>
  <c r="AE54" i="7"/>
  <c r="AD54" i="7"/>
  <c r="AC54" i="7"/>
  <c r="AB54" i="7"/>
  <c r="AA54" i="7"/>
  <c r="Z54" i="7"/>
  <c r="Y54" i="7"/>
  <c r="X54" i="7"/>
  <c r="W54" i="7"/>
  <c r="V54" i="7"/>
  <c r="U54" i="7"/>
  <c r="T54" i="7"/>
  <c r="S54" i="7"/>
  <c r="R54" i="7"/>
  <c r="Q54" i="7"/>
  <c r="P54" i="7"/>
  <c r="O54" i="7"/>
  <c r="N54" i="7"/>
  <c r="M54" i="7"/>
  <c r="L54" i="7"/>
  <c r="K54" i="7"/>
  <c r="J54" i="7"/>
  <c r="I54" i="7"/>
  <c r="H54" i="7"/>
  <c r="G54" i="7"/>
  <c r="F54" i="7"/>
  <c r="AO53" i="7"/>
  <c r="AN53" i="7"/>
  <c r="AM53" i="7"/>
  <c r="AL53" i="7"/>
  <c r="AK53" i="7"/>
  <c r="AJ53" i="7"/>
  <c r="AI53" i="7"/>
  <c r="AH53" i="7"/>
  <c r="AG53" i="7"/>
  <c r="AF53" i="7"/>
  <c r="AE53" i="7"/>
  <c r="AD53" i="7"/>
  <c r="AC53" i="7"/>
  <c r="AB53" i="7"/>
  <c r="AA53" i="7"/>
  <c r="Z53" i="7"/>
  <c r="Y53" i="7"/>
  <c r="X53" i="7"/>
  <c r="W53" i="7"/>
  <c r="V53" i="7"/>
  <c r="U53" i="7"/>
  <c r="T53" i="7"/>
  <c r="S53" i="7"/>
  <c r="R53" i="7"/>
  <c r="Q53" i="7"/>
  <c r="P53" i="7"/>
  <c r="O53" i="7"/>
  <c r="N53" i="7"/>
  <c r="M53" i="7"/>
  <c r="L53" i="7"/>
  <c r="K53" i="7"/>
  <c r="J53" i="7"/>
  <c r="I53" i="7"/>
  <c r="H53" i="7"/>
  <c r="G53" i="7"/>
  <c r="F53" i="7"/>
  <c r="AO52" i="7"/>
  <c r="AN52" i="7"/>
  <c r="AM52" i="7"/>
  <c r="AL52" i="7"/>
  <c r="AK52" i="7"/>
  <c r="AJ52" i="7"/>
  <c r="AI52" i="7"/>
  <c r="AH52" i="7"/>
  <c r="AG52" i="7"/>
  <c r="AF52" i="7"/>
  <c r="AE52" i="7"/>
  <c r="AD52" i="7"/>
  <c r="AC52" i="7"/>
  <c r="AB52" i="7"/>
  <c r="AA52" i="7"/>
  <c r="Z52" i="7"/>
  <c r="Y52" i="7"/>
  <c r="X52" i="7"/>
  <c r="W52" i="7"/>
  <c r="V52" i="7"/>
  <c r="U52" i="7"/>
  <c r="T52" i="7"/>
  <c r="S52" i="7"/>
  <c r="R52" i="7"/>
  <c r="Q52" i="7"/>
  <c r="P52" i="7"/>
  <c r="O52" i="7"/>
  <c r="N52" i="7"/>
  <c r="M52" i="7"/>
  <c r="L52" i="7"/>
  <c r="K52" i="7"/>
  <c r="J52" i="7"/>
  <c r="I52" i="7"/>
  <c r="H52" i="7"/>
  <c r="G52" i="7"/>
  <c r="F52" i="7"/>
  <c r="Z48" i="7"/>
  <c r="S40" i="7"/>
  <c r="AB34" i="7"/>
  <c r="V40" i="7"/>
  <c r="Z49" i="7"/>
  <c r="H3" i="7"/>
  <c r="I3" i="7" s="1"/>
  <c r="J3" i="7" s="1"/>
  <c r="K3" i="7" s="1"/>
  <c r="L3" i="7" s="1"/>
  <c r="M3" i="7" s="1"/>
  <c r="N3" i="7" s="1"/>
  <c r="O3" i="7" s="1"/>
  <c r="P3" i="7" s="1"/>
  <c r="Q3" i="7" s="1"/>
  <c r="R3" i="7" s="1"/>
  <c r="S3" i="7" s="1"/>
  <c r="T3" i="7" s="1"/>
  <c r="U3" i="7" s="1"/>
  <c r="V3" i="7" s="1"/>
  <c r="W3" i="7" s="1"/>
  <c r="X3" i="7" s="1"/>
  <c r="Y3" i="7" s="1"/>
  <c r="Z3" i="7" s="1"/>
  <c r="AA3" i="7" s="1"/>
  <c r="AB3" i="7" s="1"/>
  <c r="AC3" i="7" s="1"/>
  <c r="AD3" i="7" s="1"/>
  <c r="AE3" i="7" s="1"/>
  <c r="AF3" i="7" s="1"/>
  <c r="AG3" i="7" s="1"/>
  <c r="AH3" i="7" s="1"/>
  <c r="AI3" i="7" s="1"/>
  <c r="AJ3" i="7" s="1"/>
  <c r="AK3" i="7" s="1"/>
  <c r="AL3" i="7" s="1"/>
  <c r="AM3" i="7" s="1"/>
  <c r="AN3" i="7" s="1"/>
  <c r="AO3" i="7" s="1"/>
  <c r="AP3" i="7" s="1"/>
  <c r="AQ3" i="7" s="1"/>
  <c r="AR3" i="7" s="1"/>
  <c r="AS3" i="7" s="1"/>
  <c r="AT3" i="7" s="1"/>
  <c r="AU3" i="7" s="1"/>
  <c r="AV3" i="7" s="1"/>
  <c r="AW3" i="7" s="1"/>
  <c r="AX3" i="7" s="1"/>
  <c r="AY3" i="7" s="1"/>
  <c r="AZ3" i="7" s="1"/>
  <c r="BA3" i="7" s="1"/>
  <c r="BB3" i="7" s="1"/>
  <c r="BC3" i="7" s="1"/>
  <c r="BD3" i="7" s="1"/>
  <c r="BE3" i="7" s="1"/>
  <c r="BF3" i="7" s="1"/>
  <c r="BG3" i="7" s="1"/>
  <c r="BH3" i="7" s="1"/>
  <c r="BI3" i="7" s="1"/>
  <c r="BJ3" i="7" s="1"/>
  <c r="BK3" i="7" s="1"/>
  <c r="BL3" i="7" s="1"/>
  <c r="BM3" i="7" s="1"/>
  <c r="BN3" i="7" s="1"/>
  <c r="BO3" i="7" s="1"/>
  <c r="BP3" i="7" s="1"/>
  <c r="BQ3" i="7" s="1"/>
  <c r="BR3" i="7" s="1"/>
  <c r="BS3" i="7" s="1"/>
  <c r="BT3" i="7" s="1"/>
  <c r="BU3" i="7" s="1"/>
  <c r="CT53" i="7" l="1"/>
  <c r="X57" i="7"/>
  <c r="U40" i="7"/>
  <c r="S48" i="7"/>
  <c r="U34" i="7"/>
  <c r="X34" i="7"/>
  <c r="W40" i="7"/>
  <c r="V34" i="7"/>
  <c r="W34" i="7"/>
  <c r="Y34" i="7"/>
  <c r="Z34" i="7"/>
  <c r="AA34" i="7"/>
  <c r="S32" i="7"/>
  <c r="S33" i="7"/>
  <c r="O40" i="7"/>
  <c r="G41" i="7"/>
  <c r="K49" i="7"/>
  <c r="AA49" i="7"/>
  <c r="L32" i="7"/>
  <c r="T32" i="7"/>
  <c r="AB32" i="7"/>
  <c r="L33" i="7"/>
  <c r="T33" i="7"/>
  <c r="AB33" i="7"/>
  <c r="H40" i="7"/>
  <c r="P40" i="7"/>
  <c r="X40" i="7"/>
  <c r="H41" i="7"/>
  <c r="P41" i="7"/>
  <c r="X41" i="7"/>
  <c r="L48" i="7"/>
  <c r="T48" i="7"/>
  <c r="AB48" i="7"/>
  <c r="L49" i="7"/>
  <c r="T49" i="7"/>
  <c r="AB49" i="7"/>
  <c r="K32" i="7"/>
  <c r="AA32" i="7"/>
  <c r="K33" i="7"/>
  <c r="AA33" i="7"/>
  <c r="G40" i="7"/>
  <c r="O41" i="7"/>
  <c r="W41" i="7"/>
  <c r="K48" i="7"/>
  <c r="AA48" i="7"/>
  <c r="S49" i="7"/>
  <c r="M32" i="7"/>
  <c r="U32" i="7"/>
  <c r="M33" i="7"/>
  <c r="U33" i="7"/>
  <c r="I40" i="7"/>
  <c r="Q40" i="7"/>
  <c r="Y40" i="7"/>
  <c r="I41" i="7"/>
  <c r="Q41" i="7"/>
  <c r="Y41" i="7"/>
  <c r="M48" i="7"/>
  <c r="U48" i="7"/>
  <c r="M49" i="7"/>
  <c r="U49" i="7"/>
  <c r="F32" i="7"/>
  <c r="V32" i="7"/>
  <c r="N33" i="7"/>
  <c r="V33" i="7"/>
  <c r="J40" i="7"/>
  <c r="R40" i="7"/>
  <c r="J41" i="7"/>
  <c r="Z41" i="7"/>
  <c r="N48" i="7"/>
  <c r="V48" i="7"/>
  <c r="N49" i="7"/>
  <c r="G32" i="7"/>
  <c r="O32" i="7"/>
  <c r="W32" i="7"/>
  <c r="G33" i="7"/>
  <c r="O33" i="7"/>
  <c r="W33" i="7"/>
  <c r="K40" i="7"/>
  <c r="AA40" i="7"/>
  <c r="K41" i="7"/>
  <c r="S41" i="7"/>
  <c r="AA41" i="7"/>
  <c r="G48" i="7"/>
  <c r="O48" i="7"/>
  <c r="W48" i="7"/>
  <c r="G49" i="7"/>
  <c r="O49" i="7"/>
  <c r="W49" i="7"/>
  <c r="H32" i="7"/>
  <c r="P32" i="7"/>
  <c r="X32" i="7"/>
  <c r="H33" i="7"/>
  <c r="P33" i="7"/>
  <c r="X33" i="7"/>
  <c r="L40" i="7"/>
  <c r="T40" i="7"/>
  <c r="AB40" i="7"/>
  <c r="L41" i="7"/>
  <c r="T41" i="7"/>
  <c r="AB41" i="7"/>
  <c r="H48" i="7"/>
  <c r="P48" i="7"/>
  <c r="X48" i="7"/>
  <c r="H49" i="7"/>
  <c r="P49" i="7"/>
  <c r="X49" i="7"/>
  <c r="N32" i="7"/>
  <c r="F33" i="7"/>
  <c r="Z40" i="7"/>
  <c r="R41" i="7"/>
  <c r="F48" i="7"/>
  <c r="F49" i="7"/>
  <c r="V49" i="7"/>
  <c r="I32" i="7"/>
  <c r="Q32" i="7"/>
  <c r="Y32" i="7"/>
  <c r="I33" i="7"/>
  <c r="Q33" i="7"/>
  <c r="Y33" i="7"/>
  <c r="M40" i="7"/>
  <c r="M41" i="7"/>
  <c r="U41" i="7"/>
  <c r="I48" i="7"/>
  <c r="Q48" i="7"/>
  <c r="Y48" i="7"/>
  <c r="I49" i="7"/>
  <c r="Q49" i="7"/>
  <c r="Y49" i="7"/>
  <c r="J32" i="7"/>
  <c r="R32" i="7"/>
  <c r="Z32" i="7"/>
  <c r="J33" i="7"/>
  <c r="R33" i="7"/>
  <c r="Z33" i="7"/>
  <c r="F40" i="7"/>
  <c r="N40" i="7"/>
  <c r="F41" i="7"/>
  <c r="N41" i="7"/>
  <c r="V41" i="7"/>
  <c r="J48" i="7"/>
  <c r="R48" i="7"/>
  <c r="J49" i="7"/>
  <c r="R49" i="7"/>
  <c r="AN58" i="7" l="1"/>
  <c r="AF56" i="7"/>
  <c r="W58" i="7"/>
  <c r="AI58" i="7"/>
  <c r="AI57" i="7"/>
  <c r="AA58" i="7"/>
  <c r="AN56" i="7"/>
  <c r="AH57" i="7"/>
  <c r="Z57" i="7"/>
  <c r="K57" i="7"/>
  <c r="AG58" i="7"/>
  <c r="O56" i="7"/>
  <c r="H57" i="7"/>
  <c r="J56" i="7"/>
  <c r="I56" i="7"/>
  <c r="G56" i="7"/>
  <c r="AC56" i="7"/>
  <c r="U56" i="7"/>
  <c r="AO58" i="7"/>
  <c r="R57" i="7"/>
  <c r="Y58" i="7"/>
  <c r="AF58" i="7"/>
  <c r="X56" i="7"/>
  <c r="AA57" i="7"/>
  <c r="J57" i="7"/>
  <c r="M56" i="7"/>
  <c r="U57" i="7"/>
  <c r="AB58" i="7"/>
  <c r="AK57" i="7"/>
  <c r="X58" i="7"/>
  <c r="P56" i="7"/>
  <c r="S57" i="7"/>
  <c r="AJ58" i="7"/>
  <c r="T58" i="7"/>
  <c r="Y56" i="7"/>
  <c r="AH56" i="7"/>
  <c r="M57" i="7"/>
  <c r="AB57" i="7"/>
  <c r="AM56" i="7"/>
  <c r="AC58" i="7"/>
  <c r="AF57" i="7"/>
  <c r="AK58" i="7"/>
  <c r="Z56" i="7"/>
  <c r="AG56" i="7"/>
  <c r="T57" i="7"/>
  <c r="AM58" i="7"/>
  <c r="AE56" i="7"/>
  <c r="U58" i="7"/>
  <c r="AH58" i="7"/>
  <c r="Z58" i="7"/>
  <c r="R58" i="7"/>
  <c r="V58" i="7"/>
  <c r="F56" i="7"/>
  <c r="AD58" i="7"/>
  <c r="AO57" i="7"/>
  <c r="AG57" i="7"/>
  <c r="Y57" i="7"/>
  <c r="Q57" i="7"/>
  <c r="I57" i="7"/>
  <c r="AL56" i="7"/>
  <c r="AD56" i="7"/>
  <c r="V56" i="7"/>
  <c r="N56" i="7"/>
  <c r="S58" i="7"/>
  <c r="AL57" i="7"/>
  <c r="AD57" i="7"/>
  <c r="V57" i="7"/>
  <c r="F57" i="7"/>
  <c r="AA56" i="7"/>
  <c r="K56" i="7"/>
  <c r="AM57" i="7"/>
  <c r="AE57" i="7"/>
  <c r="W57" i="7"/>
  <c r="O57" i="7"/>
  <c r="G57" i="7"/>
  <c r="AJ56" i="7"/>
  <c r="AB56" i="7"/>
  <c r="T56" i="7"/>
  <c r="L56" i="7"/>
  <c r="N57" i="7"/>
  <c r="AI56" i="7"/>
  <c r="S56" i="7"/>
  <c r="AO56" i="7"/>
  <c r="AC57" i="7"/>
  <c r="AJ57" i="7"/>
  <c r="H56" i="7"/>
  <c r="AN57" i="7"/>
  <c r="AL58" i="7"/>
  <c r="R56" i="7"/>
  <c r="Q56" i="7"/>
  <c r="L57" i="7"/>
  <c r="AE58" i="7"/>
  <c r="W56" i="7"/>
  <c r="AK56" i="7"/>
  <c r="P57" i="7"/>
  <c r="CT57" i="7" l="1"/>
  <c r="I17" i="2"/>
  <c r="F17" i="2"/>
  <c r="I11" i="2" l="1"/>
  <c r="I10" i="2"/>
  <c r="I7" i="2"/>
  <c r="F12" i="2"/>
  <c r="F11" i="2"/>
  <c r="F10" i="2"/>
  <c r="F9" i="2"/>
  <c r="F8" i="2"/>
  <c r="F7" i="2"/>
</calcChain>
</file>

<file path=xl/sharedStrings.xml><?xml version="1.0" encoding="utf-8"?>
<sst xmlns="http://schemas.openxmlformats.org/spreadsheetml/2006/main" count="1389" uniqueCount="322">
  <si>
    <t xml:space="preserve">FRAME 6B POWER GROUP DAILY REPORT
GENERAL CONSTRUCTION </t>
  </si>
  <si>
    <t>Document No.:</t>
  </si>
  <si>
    <t>Revision No.:</t>
  </si>
  <si>
    <t>Revision Date:</t>
  </si>
  <si>
    <t>DATE:</t>
  </si>
  <si>
    <t>Safety and Personnel</t>
  </si>
  <si>
    <t xml:space="preserve">Safety Topic: </t>
  </si>
  <si>
    <t>Materials handling</t>
  </si>
  <si>
    <t>Safety Statistics:</t>
  </si>
  <si>
    <t>Direct</t>
  </si>
  <si>
    <t>Indirect</t>
  </si>
  <si>
    <t>Subcontractors</t>
  </si>
  <si>
    <t>Total Direct</t>
  </si>
  <si>
    <t>Total Indirect</t>
  </si>
  <si>
    <t>TOTAL</t>
  </si>
  <si>
    <t xml:space="preserve">(Cumm.) Work Hours </t>
  </si>
  <si>
    <t xml:space="preserve">(Period) Safe Work Hours </t>
  </si>
  <si>
    <t>Total Safe Work Hours To-Date</t>
  </si>
  <si>
    <t>Incidents:</t>
  </si>
  <si>
    <t>Period</t>
  </si>
  <si>
    <t>To Date</t>
  </si>
  <si>
    <t>Description</t>
  </si>
  <si>
    <t>First Aids</t>
  </si>
  <si>
    <t>Incidents</t>
  </si>
  <si>
    <t xml:space="preserve">Recordable </t>
  </si>
  <si>
    <t>Lost Time</t>
  </si>
  <si>
    <t>Property Damage</t>
  </si>
  <si>
    <t>Near Misses</t>
  </si>
  <si>
    <t xml:space="preserve">Head Count:     </t>
  </si>
  <si>
    <t>Craft Type</t>
  </si>
  <si>
    <t>Count</t>
  </si>
  <si>
    <t>Subcontrator</t>
  </si>
  <si>
    <t>Total</t>
  </si>
  <si>
    <t>Indirects</t>
  </si>
  <si>
    <t>Directs</t>
  </si>
  <si>
    <t>Request for additional manpower to be mobilized</t>
  </si>
  <si>
    <t>List trade/name, work area</t>
  </si>
  <si>
    <t>N/A</t>
  </si>
  <si>
    <t>Weather Report:     MUST INCLUDE ANY IMPACT TO SCHEDULE, STANDOWNS, ETC.</t>
  </si>
  <si>
    <t>Monday</t>
  </si>
  <si>
    <t>Tuesday</t>
  </si>
  <si>
    <t>Wednesday</t>
  </si>
  <si>
    <t>Thursday</t>
  </si>
  <si>
    <t>Friday</t>
  </si>
  <si>
    <t>Saturday</t>
  </si>
  <si>
    <t>Sunday</t>
  </si>
  <si>
    <t xml:space="preserve"> </t>
  </si>
  <si>
    <t>Date</t>
  </si>
  <si>
    <t>Hi</t>
  </si>
  <si>
    <t>Low</t>
  </si>
  <si>
    <t>Rain Inches</t>
  </si>
  <si>
    <t>Weather:</t>
  </si>
  <si>
    <t>Mon</t>
  </si>
  <si>
    <t>Tue</t>
  </si>
  <si>
    <t>Wed</t>
  </si>
  <si>
    <t>Thu</t>
  </si>
  <si>
    <t>Fri</t>
  </si>
  <si>
    <t>Sat</t>
  </si>
  <si>
    <t>Sun</t>
  </si>
  <si>
    <t>NA</t>
  </si>
  <si>
    <t>Lo</t>
  </si>
  <si>
    <t>Rain</t>
  </si>
  <si>
    <t>Actuals</t>
  </si>
  <si>
    <t>Schedule:</t>
  </si>
  <si>
    <t>Project Completion:</t>
  </si>
  <si>
    <t>BASELINE SCHEDULE</t>
  </si>
  <si>
    <t>CURRENT SCHEDULE</t>
  </si>
  <si>
    <t>VAR FROM SCHD (DAYS +/-)</t>
  </si>
  <si>
    <t>Status</t>
  </si>
  <si>
    <t>Award Contract</t>
  </si>
  <si>
    <t>Mobilization</t>
  </si>
  <si>
    <t>Site Work</t>
  </si>
  <si>
    <t>Laydown Yard Prep</t>
  </si>
  <si>
    <t>Piles Start</t>
  </si>
  <si>
    <t>Piles Finish</t>
  </si>
  <si>
    <t>Electrical Duct Bank Installation</t>
  </si>
  <si>
    <t>Electrical Duct Bank Complete</t>
  </si>
  <si>
    <t>TO DATE SCHEDULED</t>
  </si>
  <si>
    <t>TO DATE ACTUAL</t>
  </si>
  <si>
    <t>VAR FROM TO DATE SCHD PCT</t>
  </si>
  <si>
    <t>PERCENT GAIN FOR WEEK SCHD</t>
  </si>
  <si>
    <t>PERCENT GAIN FOR WEEK ACTUAL</t>
  </si>
  <si>
    <t>UG Piping</t>
  </si>
  <si>
    <t>Duct Banks</t>
  </si>
  <si>
    <t>Civil</t>
  </si>
  <si>
    <t>Piping / Equipment</t>
  </si>
  <si>
    <t>E&amp;I</t>
  </si>
  <si>
    <t>Percent Complete Overall</t>
  </si>
  <si>
    <t>Performance (PF = E / A )</t>
  </si>
  <si>
    <t>Work Schedule:</t>
  </si>
  <si>
    <t>SCHEDULED DAYS LAST WEEK</t>
  </si>
  <si>
    <t>ACTUAL LAST WEEK</t>
  </si>
  <si>
    <t>VAR FROM SCHD (LAST WEEK)</t>
  </si>
  <si>
    <t>VAR FROM SCHD (TO DATE)</t>
  </si>
  <si>
    <t>Number of Work Days</t>
  </si>
  <si>
    <t>Total Work Hours</t>
  </si>
  <si>
    <r>
      <t>Impacts to Schedule</t>
    </r>
    <r>
      <rPr>
        <b/>
        <sz val="16"/>
        <rFont val="Aptos Narrow"/>
        <family val="2"/>
        <scheme val="minor"/>
      </rPr>
      <t>:</t>
    </r>
  </si>
  <si>
    <t>No. HOURS AFFECTED</t>
  </si>
  <si>
    <t>TODAY</t>
  </si>
  <si>
    <t>TO DATE</t>
  </si>
  <si>
    <t>Construction</t>
  </si>
  <si>
    <t>Evacuations/Exclusions</t>
  </si>
  <si>
    <t>Permits</t>
  </si>
  <si>
    <t>Equip/Material</t>
  </si>
  <si>
    <t>Site Conditions/Obstruction</t>
  </si>
  <si>
    <t>Safety Stoppage</t>
  </si>
  <si>
    <t>Weather/Wind Delay</t>
  </si>
  <si>
    <t>Completed and Planned Actvities</t>
  </si>
  <si>
    <t xml:space="preserve">Completed Today:
</t>
  </si>
  <si>
    <t xml:space="preserve">Planned Tomorrow:
</t>
  </si>
  <si>
    <t xml:space="preserve">Issues/Areas of Concerns
</t>
  </si>
  <si>
    <t xml:space="preserve">LIST ANY POTENTIAL IMPACT TO SCHEDULE: </t>
  </si>
  <si>
    <t xml:space="preserve">Materials Required:
</t>
  </si>
  <si>
    <t>Current Procurement and Receiving:</t>
  </si>
  <si>
    <t xml:space="preserve">Deliveries: </t>
  </si>
  <si>
    <t>Next Day Procurement and Receiving:</t>
  </si>
  <si>
    <t xml:space="preserve">Photos 
</t>
  </si>
  <si>
    <t>Attach pictures to the report</t>
  </si>
  <si>
    <t>Engineering:</t>
  </si>
  <si>
    <t>Engineering Issues/RFI's/NCR's</t>
  </si>
  <si>
    <t>Field Change Orders (FCO):</t>
  </si>
  <si>
    <t>Transmitted</t>
  </si>
  <si>
    <t>Approved</t>
  </si>
  <si>
    <t>Rejected</t>
  </si>
  <si>
    <t>Outstanding</t>
  </si>
  <si>
    <t>Contractor</t>
  </si>
  <si>
    <t>Change Order Number</t>
  </si>
  <si>
    <t>Date to Client</t>
  </si>
  <si>
    <t>Hours</t>
  </si>
  <si>
    <t>Labor $</t>
  </si>
  <si>
    <t>Material $</t>
  </si>
  <si>
    <t>Subcontract $</t>
  </si>
  <si>
    <t>Per Diem</t>
  </si>
  <si>
    <t>Approved Totals</t>
  </si>
  <si>
    <t>Audubon</t>
  </si>
  <si>
    <t>Added 19 Piles</t>
  </si>
  <si>
    <t>TBD</t>
  </si>
  <si>
    <t>E&amp;H</t>
  </si>
  <si>
    <t>Seal Slabs</t>
  </si>
  <si>
    <t>Construction Equipment</t>
  </si>
  <si>
    <t>Rental Equipment</t>
  </si>
  <si>
    <t>RPS / Contractor</t>
  </si>
  <si>
    <t>Qty</t>
  </si>
  <si>
    <t>On Rent Date</t>
  </si>
  <si>
    <t>On Rent Finish</t>
  </si>
  <si>
    <t>Forklift</t>
  </si>
  <si>
    <t>12k (55'r each) - laydown</t>
  </si>
  <si>
    <t>12k (55'r each) - field grub</t>
  </si>
  <si>
    <t xml:space="preserve">185CFM Air Compressor </t>
  </si>
  <si>
    <t xml:space="preserve">2000 Gallon Water Truck </t>
  </si>
  <si>
    <t xml:space="preserve">Concrete Mixer </t>
  </si>
  <si>
    <t>Gas Rammer</t>
  </si>
  <si>
    <t>Plate Comp</t>
  </si>
  <si>
    <t>Light Plants</t>
  </si>
  <si>
    <t>Pallet Jack</t>
  </si>
  <si>
    <t>Manlift</t>
  </si>
  <si>
    <t>45' Articulating Boom</t>
  </si>
  <si>
    <t>60' Articulating Boom</t>
  </si>
  <si>
    <t>85' Articulating Boom</t>
  </si>
  <si>
    <t>80' Straight Boom</t>
  </si>
  <si>
    <t>SKID STEER</t>
  </si>
  <si>
    <t>Skid Steer Pallet Forks</t>
  </si>
  <si>
    <t>Mini Ex  (10-11k)</t>
  </si>
  <si>
    <t>10k Track Excavator</t>
  </si>
  <si>
    <t>20k Track Excavator (Cab &amp; Air)</t>
  </si>
  <si>
    <t>3 yard loader</t>
  </si>
  <si>
    <t>84" roller</t>
  </si>
  <si>
    <t>3K W/B Padfoot Roller</t>
  </si>
  <si>
    <t>2500lb Track Loader</t>
  </si>
  <si>
    <t>1900lb Track Loader</t>
  </si>
  <si>
    <t>850P Dozer</t>
  </si>
  <si>
    <t>750L Dozer</t>
  </si>
  <si>
    <t>260E ADT</t>
  </si>
  <si>
    <t>824L Wheel Loader</t>
  </si>
  <si>
    <t>135P Excavator</t>
  </si>
  <si>
    <t>Bomag BW211 Pad Compactor</t>
  </si>
  <si>
    <t>Bomag BW211 Smooth Compactor</t>
  </si>
  <si>
    <t>310E ADT</t>
  </si>
  <si>
    <t>QA/QC:</t>
  </si>
  <si>
    <t>Highlights and Activities:</t>
  </si>
  <si>
    <t>This should list QC activities/inspections. This content should be on "Completed Activities"</t>
  </si>
  <si>
    <t>Welding:</t>
  </si>
  <si>
    <t>Total Field Welds</t>
  </si>
  <si>
    <t xml:space="preserve">Welds Progressed to Date </t>
  </si>
  <si>
    <t>Welds Remaining</t>
  </si>
  <si>
    <t>% Complete</t>
  </si>
  <si>
    <t>Field Weld Count</t>
  </si>
  <si>
    <t>Field Weld VT    Count</t>
  </si>
  <si>
    <t>Field Weld RT Count</t>
  </si>
  <si>
    <t>Total Rejected / Repairs</t>
  </si>
  <si>
    <t>Reject Rate
(Last Week)</t>
  </si>
  <si>
    <t>Reject Rate                      (Current)</t>
  </si>
  <si>
    <t>N.D.E.</t>
  </si>
  <si>
    <t>Non-Conformance Report Status:</t>
  </si>
  <si>
    <t>NCR's to Date</t>
  </si>
  <si>
    <t>NCR's Open</t>
  </si>
  <si>
    <t>NCR's Pending</t>
  </si>
  <si>
    <t>NCR's Closed</t>
  </si>
  <si>
    <t xml:space="preserve">    INSTALLED QUANTITIES REPORT</t>
  </si>
  <si>
    <t>E&amp;H EXCAVATIONS</t>
  </si>
  <si>
    <t>JTD</t>
  </si>
  <si>
    <t>Progress Item</t>
  </si>
  <si>
    <t>UOM</t>
  </si>
  <si>
    <t>Current Budg</t>
  </si>
  <si>
    <t>Plan</t>
  </si>
  <si>
    <t>Actual</t>
  </si>
  <si>
    <t>% Earned</t>
  </si>
  <si>
    <t>Temp Facilities Area</t>
  </si>
  <si>
    <t>CY</t>
  </si>
  <si>
    <t>Pad Site</t>
  </si>
  <si>
    <t>Drill Piers GT</t>
  </si>
  <si>
    <t>EA</t>
  </si>
  <si>
    <t>Drill Piers SCR</t>
  </si>
  <si>
    <t>GT Seal Slab</t>
  </si>
  <si>
    <t>SCR Seal Slab</t>
  </si>
  <si>
    <t>AUDUBON</t>
  </si>
  <si>
    <t>Helical Piers</t>
  </si>
  <si>
    <t>Concrete Pedestals</t>
  </si>
  <si>
    <t>Thru</t>
  </si>
  <si>
    <t>Discipline</t>
  </si>
  <si>
    <t>AREA</t>
  </si>
  <si>
    <t>Sitework</t>
  </si>
  <si>
    <t>Budgeted</t>
  </si>
  <si>
    <t>HR</t>
  </si>
  <si>
    <t>Earned</t>
  </si>
  <si>
    <t>Installed</t>
  </si>
  <si>
    <t>Forecast</t>
  </si>
  <si>
    <t xml:space="preserve">Forecast </t>
  </si>
  <si>
    <t>MH</t>
  </si>
  <si>
    <t>OVERALL</t>
  </si>
  <si>
    <t>PO#</t>
  </si>
  <si>
    <t xml:space="preserve">Previous Safe (Cumm.) Work Hours </t>
  </si>
  <si>
    <t xml:space="preserve">This Week (Period) Safe Work Hours </t>
  </si>
  <si>
    <t>Hrs</t>
  </si>
  <si>
    <t>Per Diem
(Y/N)</t>
  </si>
  <si>
    <t>Sr. Project Management</t>
  </si>
  <si>
    <t>Superintendent - Civil</t>
  </si>
  <si>
    <t>Y</t>
  </si>
  <si>
    <t>Superintendent - Piping</t>
  </si>
  <si>
    <t>Superintendent - Mech</t>
  </si>
  <si>
    <t>Superintendent - E&amp;I</t>
  </si>
  <si>
    <t>Planner</t>
  </si>
  <si>
    <t>Project Scheduler</t>
  </si>
  <si>
    <t>Quality Manager</t>
  </si>
  <si>
    <t>HSE Supervisor</t>
  </si>
  <si>
    <t>Office Manager</t>
  </si>
  <si>
    <t>Timekeeper</t>
  </si>
  <si>
    <t>Warehouseman</t>
  </si>
  <si>
    <t>Warehouse Crew</t>
  </si>
  <si>
    <t>Operators J1</t>
  </si>
  <si>
    <t>Operators J2</t>
  </si>
  <si>
    <t>Tool Room Attendant</t>
  </si>
  <si>
    <t>Civil J1</t>
  </si>
  <si>
    <t>Civil J2</t>
  </si>
  <si>
    <t>Iron J1</t>
  </si>
  <si>
    <t>Procurement and Receiving:</t>
  </si>
  <si>
    <t xml:space="preserve">PO Status and Subcontracts: </t>
  </si>
  <si>
    <t xml:space="preserve">Materials Requiered:
</t>
  </si>
  <si>
    <t>See QTAB for quantities remaining.</t>
  </si>
  <si>
    <t>added 8 piles</t>
  </si>
  <si>
    <t>added 19 piles</t>
  </si>
  <si>
    <t>None</t>
  </si>
  <si>
    <t xml:space="preserve">None </t>
  </si>
  <si>
    <t>Drill Piers Start</t>
  </si>
  <si>
    <t>Drill Pier Finish</t>
  </si>
  <si>
    <t>Momentum</t>
  </si>
  <si>
    <t>Site Work Fill and Compact Start</t>
  </si>
  <si>
    <t>Site Work Fill and Compact Finish</t>
  </si>
  <si>
    <t>Laydown Yard Start</t>
  </si>
  <si>
    <t>Laydown Yard Finish</t>
  </si>
  <si>
    <t>Sill Slab Start</t>
  </si>
  <si>
    <t>Sill Slab Finish</t>
  </si>
  <si>
    <t>BASELINE SCHEDULE 10-1-2025</t>
  </si>
  <si>
    <t>CURRENT SCHEDULE      11-14-2025</t>
  </si>
  <si>
    <t>GT/SCR Foundations Start</t>
  </si>
  <si>
    <t>GT/SCR Foundations Complete</t>
  </si>
  <si>
    <t>250P Excavator</t>
  </si>
  <si>
    <t>Helical Piles Start</t>
  </si>
  <si>
    <t>Helical Piles Finish</t>
  </si>
  <si>
    <t>Y4</t>
  </si>
  <si>
    <t>See impact tickets tab</t>
  </si>
  <si>
    <t>MUSTER POINTS</t>
  </si>
  <si>
    <t>COSMETICS ON SITE GROUNDS, CONTINUED WITH THE EXCAVATION ON THE RETENTION POND</t>
  </si>
  <si>
    <t>-</t>
  </si>
  <si>
    <t>1 CONEX AND 1 REBAR, 2 structures, 1 rebar</t>
  </si>
  <si>
    <t>NOTHING SCHEDULED</t>
  </si>
  <si>
    <t>• Continue Supporting Site Work and Receiving Deliveries
 • Still working on retention ponds, PREP TOOL ROOM</t>
  </si>
  <si>
    <t>Piperack Pile Locations</t>
  </si>
  <si>
    <t>Site Manager</t>
  </si>
  <si>
    <t>See Man Power Req tab</t>
  </si>
  <si>
    <t>changing rebar size in Turbine area</t>
  </si>
  <si>
    <t>Adding 2 piles in the Bent</t>
  </si>
  <si>
    <t xml:space="preserve">
</t>
  </si>
  <si>
    <t>Added 2 Piles</t>
  </si>
  <si>
    <t>Due to the nature of the Piperack moving, the Engineers added two piles on the west end to tie the project together. This 
change order includes all of the labor, material, and time to complete the additional (2).</t>
  </si>
  <si>
    <t>Added 8 Piles</t>
  </si>
  <si>
    <t>Procedure Change to Turbine Piles</t>
  </si>
  <si>
    <t>•See QTAB for quantities remaining.</t>
  </si>
  <si>
    <t>•See impact tickets tab</t>
  </si>
  <si>
    <t>update logs for concrete and density.</t>
  </si>
  <si>
    <t>Pipe J1</t>
  </si>
  <si>
    <t>Helper</t>
  </si>
  <si>
    <t>Backfilling North of piperack, compaction tests for areas north of pipe rack, receive trucks from NJ and materials for new construction.</t>
  </si>
  <si>
    <t>•Backfilling North of piperack, compaction tests for areas north of pipe rack, receive trucks from NJ and materials for new construction.</t>
  </si>
  <si>
    <t>Kubota M5 and Disc</t>
  </si>
  <si>
    <t>.</t>
  </si>
  <si>
    <t>Formed the remaining pedestals to complete entirety of Scope.</t>
  </si>
  <si>
    <t>Completing the forming of the Pedestals.</t>
  </si>
  <si>
    <t>inspection on GTG's for point &amp; patch work is complete.</t>
  </si>
  <si>
    <t>update MTR's documents.</t>
  </si>
  <si>
    <t>Spread fill on pad site North of Piperack 100, setting embeds GT 1 and compaction test on pad sites. Fitting and welding CS UG pipe, building signs for laydown yard. Laying out TM 2500s</t>
  </si>
  <si>
    <t>•Spread fill on pad site North of Piperack 100, setting embeds GT 1 and compaction test on pad sites. Fitting and welding CS UG pipe, building signs for laydown yard. Laying out TM 2500s</t>
  </si>
  <si>
    <t>Cold weather work</t>
  </si>
  <si>
    <t>Warehouse GF</t>
  </si>
  <si>
    <t>Civil GF</t>
  </si>
  <si>
    <t>Pipe GF</t>
  </si>
  <si>
    <t>Pipe Foreman</t>
  </si>
  <si>
    <t>Pipe J2</t>
  </si>
  <si>
    <t>Combo Welder</t>
  </si>
  <si>
    <t>Iron J2</t>
  </si>
  <si>
    <t>Millwright J1</t>
  </si>
  <si>
    <t>Hot work permits,traffic and parking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</si>
</sst>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_(* \(#,##0\);_(* &quot;-&quot;_);_(@_)"/>
    <numFmt numFmtId="44" formatCode="_(&quot;$&quot;* #,##0.00_);_(&quot;$&quot;* \(#,##0.00\);_(&quot;$&quot;* &quot;-&quot;??_);_(@_)"/>
    <numFmt numFmtId="43" formatCode="_(* #,##0.00_);_(* \(#,##0.00\);_(* &quot;-&quot;??_);_(@_)"/>
    <numFmt numFmtId="164" formatCode="_(* #,##0_);_(* \(#,##0\);_(* &quot;-&quot;??_);_(@_)"/>
    <numFmt numFmtId="165" formatCode="0.0%"/>
    <numFmt numFmtId="166" formatCode="_(* #,##0.0_);_(* \(#,##0.0\);_(* &quot;-&quot;?_);_(@_)"/>
    <numFmt numFmtId="167" formatCode="_(* #,##0_);_(* \(#,##0\);_(* &quot;-&quot;?_);_(@_)"/>
    <numFmt numFmtId="168" formatCode="0.0"/>
    <numFmt numFmtId="169" formatCode="[$-409]d\-mmm\-yyyy;@"/>
    <numFmt numFmtId="170" formatCode="[$-409]d\-mmm\-yy;@"/>
    <numFmt numFmtId="171" formatCode="#,##0.0"/>
    <numFmt numFmtId="172" formatCode="_(&quot;$&quot;* #,##0_);_(&quot;$&quot;* \(#,##0\);_(&quot;$&quot;* &quot;-&quot;??_);_(@_)"/>
  </numFmts>
  <fonts count="49" x14ac:knownFonts="1">
    <font>
      <sz val="11"/>
      <color theme="1"/>
      <name val="Aptos Narrow"/>
      <family val="2"/>
      <scheme val="minor"/>
    </font>
    <font>
      <sz val="18"/>
      <color theme="1"/>
      <name val="Aptos Narrow"/>
      <family val="2"/>
      <scheme val="minor"/>
    </font>
    <font>
      <sz val="16"/>
      <color theme="1"/>
      <name val="Aptos Narrow"/>
      <family val="2"/>
      <scheme val="minor"/>
    </font>
    <font>
      <sz val="11"/>
      <color theme="1"/>
      <name val="Aptos Narrow"/>
      <family val="2"/>
      <scheme val="minor"/>
    </font>
    <font>
      <b/>
      <sz val="14"/>
      <color theme="1"/>
      <name val="Aptos Narrow"/>
      <family val="2"/>
      <scheme val="minor"/>
    </font>
    <font>
      <b/>
      <sz val="14"/>
      <color theme="0"/>
      <name val="Aptos Narrow"/>
      <family val="2"/>
      <scheme val="minor"/>
    </font>
    <font>
      <b/>
      <sz val="24"/>
      <color theme="1"/>
      <name val="Aptos Narrow"/>
      <family val="2"/>
      <scheme val="minor"/>
    </font>
    <font>
      <sz val="10"/>
      <name val="Arial"/>
      <family val="2"/>
    </font>
    <font>
      <b/>
      <sz val="10"/>
      <name val="Arial"/>
      <family val="2"/>
    </font>
    <font>
      <b/>
      <sz val="10"/>
      <color theme="0"/>
      <name val="Arial"/>
      <family val="2"/>
    </font>
    <font>
      <b/>
      <sz val="12"/>
      <color theme="0"/>
      <name val="Arial"/>
      <family val="2"/>
    </font>
    <font>
      <i/>
      <sz val="10"/>
      <name val="Arial"/>
      <family val="2"/>
    </font>
    <font>
      <sz val="10"/>
      <color theme="0"/>
      <name val="Arial"/>
      <family val="2"/>
    </font>
    <font>
      <sz val="10"/>
      <color theme="1"/>
      <name val="Arial"/>
      <family val="2"/>
    </font>
    <font>
      <b/>
      <sz val="14"/>
      <color theme="1"/>
      <name val="Arial"/>
      <family val="2"/>
    </font>
    <font>
      <b/>
      <sz val="16"/>
      <color theme="1"/>
      <name val="Aptos Narrow"/>
      <family val="2"/>
      <scheme val="minor"/>
    </font>
    <font>
      <sz val="16"/>
      <name val="Aptos Narrow"/>
      <family val="2"/>
      <scheme val="minor"/>
    </font>
    <font>
      <sz val="16"/>
      <color rgb="FFFF0000"/>
      <name val="Aptos Narrow"/>
      <family val="2"/>
      <scheme val="minor"/>
    </font>
    <font>
      <sz val="16"/>
      <color indexed="8"/>
      <name val="Calibri"/>
      <family val="2"/>
    </font>
    <font>
      <b/>
      <sz val="14"/>
      <name val="Arial"/>
      <family val="2"/>
    </font>
    <font>
      <b/>
      <sz val="16"/>
      <color theme="1"/>
      <name val="Arial"/>
      <family val="2"/>
    </font>
    <font>
      <b/>
      <i/>
      <sz val="14"/>
      <name val="Arial"/>
      <family val="2"/>
    </font>
    <font>
      <sz val="12"/>
      <name val="Arial"/>
      <family val="2"/>
    </font>
    <font>
      <b/>
      <sz val="16"/>
      <name val="Arial"/>
      <family val="2"/>
    </font>
    <font>
      <sz val="16"/>
      <name val="Arial"/>
      <family val="2"/>
    </font>
    <font>
      <b/>
      <sz val="11"/>
      <name val="Arial"/>
      <family val="2"/>
    </font>
    <font>
      <sz val="11"/>
      <name val="Arial"/>
      <family val="2"/>
    </font>
    <font>
      <sz val="11"/>
      <color theme="1"/>
      <name val="Arial"/>
      <family val="2"/>
    </font>
    <font>
      <b/>
      <sz val="12"/>
      <name val="Arial"/>
      <family val="2"/>
    </font>
    <font>
      <b/>
      <sz val="16"/>
      <name val="Aptos Narrow"/>
      <family val="2"/>
      <scheme val="minor"/>
    </font>
    <font>
      <sz val="14"/>
      <name val="Aptos Narrow"/>
      <family val="2"/>
      <scheme val="minor"/>
    </font>
    <font>
      <sz val="14"/>
      <name val="Arial"/>
      <family val="2"/>
    </font>
    <font>
      <b/>
      <i/>
      <sz val="16"/>
      <name val="Aptos Narrow"/>
      <family val="2"/>
      <scheme val="minor"/>
    </font>
    <font>
      <b/>
      <i/>
      <sz val="14"/>
      <name val="Aptos Narrow"/>
      <family val="2"/>
      <scheme val="minor"/>
    </font>
    <font>
      <b/>
      <i/>
      <sz val="11"/>
      <name val="Arial"/>
      <family val="2"/>
    </font>
    <font>
      <b/>
      <sz val="16"/>
      <name val="Calibri"/>
      <family val="2"/>
    </font>
    <font>
      <b/>
      <sz val="12"/>
      <name val="Calibri"/>
      <family val="2"/>
    </font>
    <font>
      <sz val="16"/>
      <name val="Calibri"/>
      <family val="2"/>
    </font>
    <font>
      <sz val="14"/>
      <name val="Calibri"/>
      <family val="2"/>
    </font>
    <font>
      <b/>
      <sz val="14"/>
      <name val="Calibri"/>
      <family val="2"/>
    </font>
    <font>
      <b/>
      <sz val="14"/>
      <name val="Aptos Narrow"/>
      <family val="2"/>
      <scheme val="minor"/>
    </font>
    <font>
      <b/>
      <u/>
      <sz val="12"/>
      <name val="Arial"/>
      <family val="2"/>
    </font>
    <font>
      <b/>
      <sz val="18"/>
      <color theme="0"/>
      <name val="Arial"/>
      <family val="2"/>
    </font>
    <font>
      <sz val="10"/>
      <name val="Arial"/>
      <family val="2"/>
    </font>
    <font>
      <sz val="10"/>
      <name val="Arial"/>
      <family val="2"/>
    </font>
    <font>
      <sz val="10"/>
      <name val="Arial"/>
      <family val="2"/>
    </font>
    <font>
      <sz val="10"/>
      <name val="Arial"/>
      <family val="2"/>
    </font>
    <font>
      <sz val="8"/>
      <name val="Aptos Narrow"/>
      <family val="2"/>
      <scheme val="minor"/>
    </font>
    <font>
      <sz val="10"/>
      <name val="Arial"/>
      <family val="2"/>
    </font>
  </fonts>
  <fills count="17">
    <fill>
      <patternFill patternType="none"/>
    </fill>
    <fill>
      <patternFill patternType="gray125"/>
    </fill>
    <fill>
      <patternFill patternType="solid">
        <fgColor theme="4" tint="-0.499984740745262"/>
        <bgColor indexed="64"/>
      </patternFill>
    </fill>
    <fill>
      <patternFill patternType="solid">
        <fgColor theme="5" tint="0.59999389629810485"/>
        <bgColor indexed="64"/>
      </patternFill>
    </fill>
    <fill>
      <patternFill patternType="solid">
        <fgColor theme="3" tint="0.249977111117893"/>
        <bgColor indexed="64"/>
      </patternFill>
    </fill>
    <fill>
      <patternFill patternType="solid">
        <fgColor rgb="FFFFFFCC"/>
        <bgColor indexed="64"/>
      </patternFill>
    </fill>
    <fill>
      <patternFill patternType="solid">
        <fgColor theme="4" tint="0.59999389629810485"/>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theme="1"/>
        <bgColor indexed="64"/>
      </patternFill>
    </fill>
    <fill>
      <patternFill patternType="solid">
        <fgColor theme="4" tint="0.39997558519241921"/>
        <bgColor indexed="64"/>
      </patternFill>
    </fill>
  </fills>
  <borders count="13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right style="medium">
        <color rgb="FF000000"/>
      </right>
      <top style="medium">
        <color rgb="FF000000"/>
      </top>
      <bottom style="thin">
        <color rgb="FF000000"/>
      </bottom>
      <diagonal/>
    </border>
    <border>
      <left/>
      <right style="thin">
        <color indexed="64"/>
      </right>
      <top style="medium">
        <color rgb="FF000000"/>
      </top>
      <bottom/>
      <diagonal/>
    </border>
    <border>
      <left style="thin">
        <color indexed="64"/>
      </left>
      <right style="thin">
        <color indexed="64"/>
      </right>
      <top style="medium">
        <color rgb="FF000000"/>
      </top>
      <bottom/>
      <diagonal/>
    </border>
    <border>
      <left style="thin">
        <color indexed="64"/>
      </left>
      <right/>
      <top style="medium">
        <color rgb="FF000000"/>
      </top>
      <bottom style="thin">
        <color indexed="64"/>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indexed="64"/>
      </bottom>
      <diagonal/>
    </border>
    <border>
      <left/>
      <right style="medium">
        <color rgb="FF000000"/>
      </right>
      <top style="thin">
        <color rgb="FF000000"/>
      </top>
      <bottom style="thin">
        <color rgb="FF000000"/>
      </bottom>
      <diagonal/>
    </border>
    <border>
      <left/>
      <right style="thin">
        <color indexed="64"/>
      </right>
      <top style="medium">
        <color indexed="64"/>
      </top>
      <bottom/>
      <diagonal/>
    </border>
    <border>
      <left style="thin">
        <color indexed="64"/>
      </left>
      <right/>
      <top style="medium">
        <color indexed="64"/>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thin">
        <color indexed="64"/>
      </top>
      <bottom/>
      <diagonal/>
    </border>
    <border>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style="medium">
        <color indexed="64"/>
      </right>
      <top/>
      <bottom/>
      <diagonal/>
    </border>
    <border>
      <left style="medium">
        <color indexed="64"/>
      </left>
      <right/>
      <top/>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style="medium">
        <color rgb="FF000000"/>
      </right>
      <top style="thin">
        <color rgb="FF000000"/>
      </top>
      <bottom style="medium">
        <color indexed="64"/>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theme="1"/>
      </bottom>
      <diagonal/>
    </border>
    <border>
      <left style="thin">
        <color indexed="64"/>
      </left>
      <right style="thin">
        <color indexed="64"/>
      </right>
      <top style="medium">
        <color indexed="64"/>
      </top>
      <bottom style="thin">
        <color theme="1"/>
      </bottom>
      <diagonal/>
    </border>
    <border>
      <left style="thin">
        <color indexed="64"/>
      </left>
      <right/>
      <top style="medium">
        <color indexed="64"/>
      </top>
      <bottom style="thin">
        <color theme="1"/>
      </bottom>
      <diagonal/>
    </border>
    <border>
      <left style="thin">
        <color indexed="64"/>
      </left>
      <right style="medium">
        <color indexed="64"/>
      </right>
      <top style="medium">
        <color indexed="64"/>
      </top>
      <bottom style="thin">
        <color theme="1"/>
      </bottom>
      <diagonal/>
    </border>
    <border>
      <left style="medium">
        <color indexed="64"/>
      </left>
      <right style="thin">
        <color indexed="64"/>
      </right>
      <top style="thin">
        <color theme="1"/>
      </top>
      <bottom style="thin">
        <color theme="1"/>
      </bottom>
      <diagonal/>
    </border>
    <border>
      <left style="thin">
        <color indexed="64"/>
      </left>
      <right style="thin">
        <color indexed="64"/>
      </right>
      <top style="thin">
        <color theme="1"/>
      </top>
      <bottom style="thin">
        <color theme="1"/>
      </bottom>
      <diagonal/>
    </border>
    <border>
      <left style="thin">
        <color indexed="64"/>
      </left>
      <right/>
      <top style="thin">
        <color theme="1"/>
      </top>
      <bottom style="thin">
        <color theme="1"/>
      </bottom>
      <diagonal/>
    </border>
    <border>
      <left style="thin">
        <color indexed="64"/>
      </left>
      <right style="medium">
        <color indexed="64"/>
      </right>
      <top style="thin">
        <color theme="1"/>
      </top>
      <bottom style="thin">
        <color theme="1"/>
      </bottom>
      <diagonal/>
    </border>
    <border>
      <left style="medium">
        <color indexed="64"/>
      </left>
      <right style="thin">
        <color indexed="64"/>
      </right>
      <top style="thin">
        <color theme="1"/>
      </top>
      <bottom style="medium">
        <color indexed="64"/>
      </bottom>
      <diagonal/>
    </border>
    <border>
      <left style="thin">
        <color indexed="64"/>
      </left>
      <right style="thin">
        <color indexed="64"/>
      </right>
      <top style="thin">
        <color theme="1"/>
      </top>
      <bottom style="medium">
        <color indexed="64"/>
      </bottom>
      <diagonal/>
    </border>
    <border>
      <left style="thin">
        <color indexed="64"/>
      </left>
      <right/>
      <top style="thin">
        <color theme="1"/>
      </top>
      <bottom style="medium">
        <color indexed="64"/>
      </bottom>
      <diagonal/>
    </border>
    <border>
      <left style="thin">
        <color indexed="64"/>
      </left>
      <right style="medium">
        <color indexed="64"/>
      </right>
      <top style="thin">
        <color theme="1"/>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diagonal/>
    </border>
    <border>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style="thin">
        <color indexed="64"/>
      </left>
      <right style="medium">
        <color indexed="64"/>
      </right>
      <top style="double">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bottom style="medium">
        <color indexed="64"/>
      </bottom>
      <diagonal/>
    </border>
    <border>
      <left style="medium">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theme="1"/>
      </top>
      <bottom style="medium">
        <color indexed="64"/>
      </bottom>
      <diagonal/>
    </border>
    <border>
      <left/>
      <right style="thin">
        <color indexed="64"/>
      </right>
      <top style="thin">
        <color theme="1"/>
      </top>
      <bottom style="medium">
        <color indexed="64"/>
      </bottom>
      <diagonal/>
    </border>
    <border>
      <left style="medium">
        <color indexed="64"/>
      </left>
      <right/>
      <top style="thin">
        <color theme="1"/>
      </top>
      <bottom style="thin">
        <color theme="1"/>
      </bottom>
      <diagonal/>
    </border>
    <border>
      <left/>
      <right style="thin">
        <color indexed="64"/>
      </right>
      <top style="thin">
        <color theme="1"/>
      </top>
      <bottom style="thin">
        <color theme="1"/>
      </bottom>
      <diagonal/>
    </border>
    <border>
      <left style="medium">
        <color indexed="64"/>
      </left>
      <right/>
      <top style="medium">
        <color indexed="64"/>
      </top>
      <bottom style="thin">
        <color theme="1"/>
      </bottom>
      <diagonal/>
    </border>
    <border>
      <left/>
      <right style="thin">
        <color indexed="64"/>
      </right>
      <top style="medium">
        <color indexed="64"/>
      </top>
      <bottom style="thin">
        <color theme="1"/>
      </bottom>
      <diagonal/>
    </border>
    <border>
      <left/>
      <right style="thin">
        <color indexed="64"/>
      </right>
      <top/>
      <bottom style="medium">
        <color indexed="64"/>
      </bottom>
      <diagonal/>
    </border>
    <border>
      <left/>
      <right/>
      <top style="medium">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diagonal/>
    </border>
    <border>
      <left style="medium">
        <color rgb="FF000000"/>
      </left>
      <right/>
      <top style="medium">
        <color rgb="FF000000"/>
      </top>
      <bottom/>
      <diagonal/>
    </border>
    <border>
      <left style="thin">
        <color indexed="64"/>
      </left>
      <right style="medium">
        <color indexed="64"/>
      </right>
      <top/>
      <bottom/>
      <diagonal/>
    </border>
  </borders>
  <cellStyleXfs count="29">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xf numFmtId="43" fontId="7" fillId="0" borderId="0" applyFont="0" applyFill="0" applyBorder="0" applyAlignment="0" applyProtection="0"/>
    <xf numFmtId="9" fontId="7" fillId="0" borderId="0" applyFont="0" applyFill="0" applyBorder="0" applyAlignment="0" applyProtection="0"/>
    <xf numFmtId="0" fontId="3" fillId="0" borderId="0"/>
    <xf numFmtId="43" fontId="3" fillId="0" borderId="0" applyFont="0" applyFill="0" applyBorder="0" applyAlignment="0" applyProtection="0"/>
    <xf numFmtId="0" fontId="7"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0" fontId="43" fillId="0" borderId="0"/>
    <xf numFmtId="43" fontId="3" fillId="0" borderId="0" applyFont="0" applyFill="0" applyBorder="0" applyAlignment="0" applyProtection="0"/>
    <xf numFmtId="44" fontId="3" fillId="0" borderId="0" applyFont="0" applyFill="0" applyBorder="0" applyAlignment="0" applyProtection="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44" fillId="0" borderId="0"/>
    <xf numFmtId="9" fontId="3" fillId="0" borderId="0" applyFont="0" applyFill="0" applyBorder="0" applyAlignment="0" applyProtection="0"/>
    <xf numFmtId="9" fontId="3" fillId="0" borderId="0" applyFont="0" applyFill="0" applyBorder="0" applyAlignment="0" applyProtection="0"/>
    <xf numFmtId="44" fontId="3" fillId="0" borderId="0" applyFont="0" applyFill="0" applyBorder="0" applyAlignment="0" applyProtection="0"/>
    <xf numFmtId="0" fontId="45" fillId="0" borderId="0"/>
    <xf numFmtId="0" fontId="46" fillId="0" borderId="0"/>
    <xf numFmtId="0" fontId="48" fillId="0" borderId="0"/>
  </cellStyleXfs>
  <cellXfs count="810">
    <xf numFmtId="0" fontId="0" fillId="0" borderId="0" xfId="0"/>
    <xf numFmtId="0" fontId="0" fillId="0" borderId="0" xfId="0" applyAlignment="1">
      <alignment horizontal="center"/>
    </xf>
    <xf numFmtId="0" fontId="1" fillId="0" borderId="0" xfId="0" applyFont="1"/>
    <xf numFmtId="0" fontId="0" fillId="0" borderId="1" xfId="0" applyBorder="1" applyAlignment="1">
      <alignment horizontal="center"/>
    </xf>
    <xf numFmtId="41" fontId="0" fillId="0" borderId="1" xfId="0" applyNumberFormat="1" applyBorder="1" applyAlignment="1">
      <alignment horizontal="center"/>
    </xf>
    <xf numFmtId="0" fontId="5" fillId="2" borderId="1" xfId="0" applyFont="1" applyFill="1" applyBorder="1" applyAlignment="1">
      <alignment horizontal="center"/>
    </xf>
    <xf numFmtId="164" fontId="0" fillId="0" borderId="1" xfId="1" applyNumberFormat="1" applyFont="1" applyBorder="1" applyAlignment="1">
      <alignment horizontal="center"/>
    </xf>
    <xf numFmtId="0" fontId="5" fillId="4" borderId="1" xfId="0" applyFont="1" applyFill="1" applyBorder="1" applyAlignment="1">
      <alignment horizontal="center"/>
    </xf>
    <xf numFmtId="9" fontId="0" fillId="0" borderId="1" xfId="2" applyFont="1" applyBorder="1" applyAlignment="1">
      <alignment horizontal="center"/>
    </xf>
    <xf numFmtId="0" fontId="7" fillId="0" borderId="0" xfId="3"/>
    <xf numFmtId="0" fontId="7" fillId="0" borderId="8" xfId="3" applyBorder="1"/>
    <xf numFmtId="0" fontId="7" fillId="0" borderId="9" xfId="3" applyBorder="1" applyAlignment="1">
      <alignment horizontal="center"/>
    </xf>
    <xf numFmtId="0" fontId="7" fillId="0" borderId="9" xfId="3" applyBorder="1" applyAlignment="1">
      <alignment horizontal="center" vertical="center"/>
    </xf>
    <xf numFmtId="0" fontId="7" fillId="0" borderId="10" xfId="3" applyBorder="1" applyAlignment="1">
      <alignment horizontal="center"/>
    </xf>
    <xf numFmtId="0" fontId="7" fillId="0" borderId="11" xfId="3" applyBorder="1"/>
    <xf numFmtId="0" fontId="7" fillId="0" borderId="0" xfId="3" applyAlignment="1">
      <alignment textRotation="90"/>
    </xf>
    <xf numFmtId="0" fontId="8" fillId="0" borderId="12" xfId="3" applyFont="1" applyBorder="1" applyAlignment="1">
      <alignment vertical="top" textRotation="90"/>
    </xf>
    <xf numFmtId="0" fontId="8" fillId="0" borderId="13" xfId="3" applyFont="1" applyBorder="1" applyAlignment="1">
      <alignment horizontal="center" vertical="top" textRotation="90"/>
    </xf>
    <xf numFmtId="0" fontId="7" fillId="0" borderId="14" xfId="3" applyBorder="1" applyAlignment="1">
      <alignment vertical="top" textRotation="90"/>
    </xf>
    <xf numFmtId="14" fontId="9" fillId="2" borderId="15" xfId="3" applyNumberFormat="1" applyFont="1" applyFill="1" applyBorder="1" applyAlignment="1">
      <alignment horizontal="center" vertical="center" textRotation="90"/>
    </xf>
    <xf numFmtId="14" fontId="9" fillId="2" borderId="16" xfId="3" applyNumberFormat="1" applyFont="1" applyFill="1" applyBorder="1" applyAlignment="1">
      <alignment horizontal="center" vertical="center" textRotation="90"/>
    </xf>
    <xf numFmtId="14" fontId="9" fillId="2" borderId="17" xfId="3" applyNumberFormat="1" applyFont="1" applyFill="1" applyBorder="1" applyAlignment="1">
      <alignment horizontal="center" vertical="center" textRotation="90"/>
    </xf>
    <xf numFmtId="0" fontId="10" fillId="2" borderId="18" xfId="3" applyFont="1" applyFill="1" applyBorder="1" applyAlignment="1">
      <alignment horizontal="center" textRotation="90"/>
    </xf>
    <xf numFmtId="0" fontId="8" fillId="0" borderId="19" xfId="3" applyFont="1" applyBorder="1"/>
    <xf numFmtId="164" fontId="0" fillId="0" borderId="20" xfId="4" applyNumberFormat="1" applyFont="1" applyBorder="1"/>
    <xf numFmtId="164" fontId="0" fillId="0" borderId="21" xfId="4" applyNumberFormat="1" applyFont="1" applyBorder="1"/>
    <xf numFmtId="164" fontId="0" fillId="0" borderId="21" xfId="4" applyNumberFormat="1" applyFont="1" applyBorder="1" applyAlignment="1">
      <alignment vertical="center"/>
    </xf>
    <xf numFmtId="164" fontId="0" fillId="0" borderId="22" xfId="4" applyNumberFormat="1" applyFont="1" applyBorder="1"/>
    <xf numFmtId="164" fontId="0" fillId="0" borderId="23" xfId="4" applyNumberFormat="1" applyFont="1" applyBorder="1"/>
    <xf numFmtId="43" fontId="0" fillId="0" borderId="23" xfId="4" applyFont="1" applyBorder="1"/>
    <xf numFmtId="164" fontId="0" fillId="6" borderId="19" xfId="4" applyNumberFormat="1" applyFont="1" applyFill="1" applyBorder="1"/>
    <xf numFmtId="0" fontId="7" fillId="0" borderId="24" xfId="3" applyBorder="1"/>
    <xf numFmtId="0" fontId="8" fillId="0" borderId="25" xfId="3" applyFont="1" applyBorder="1"/>
    <xf numFmtId="164" fontId="0" fillId="0" borderId="26" xfId="4" applyNumberFormat="1" applyFont="1" applyBorder="1"/>
    <xf numFmtId="164" fontId="0" fillId="0" borderId="13" xfId="4" applyNumberFormat="1" applyFont="1" applyBorder="1"/>
    <xf numFmtId="164" fontId="0" fillId="0" borderId="13" xfId="4" applyNumberFormat="1" applyFont="1" applyBorder="1" applyAlignment="1">
      <alignment vertical="center"/>
    </xf>
    <xf numFmtId="164" fontId="0" fillId="0" borderId="27" xfId="4" applyNumberFormat="1" applyFont="1" applyBorder="1"/>
    <xf numFmtId="164" fontId="0" fillId="0" borderId="28" xfId="4" applyNumberFormat="1" applyFont="1" applyBorder="1"/>
    <xf numFmtId="43" fontId="0" fillId="0" borderId="28" xfId="4" applyFont="1" applyBorder="1"/>
    <xf numFmtId="164" fontId="0" fillId="6" borderId="25" xfId="4" applyNumberFormat="1" applyFont="1" applyFill="1" applyBorder="1"/>
    <xf numFmtId="0" fontId="7" fillId="0" borderId="29" xfId="3" applyBorder="1"/>
    <xf numFmtId="0" fontId="8" fillId="7" borderId="30" xfId="3" applyFont="1" applyFill="1" applyBorder="1"/>
    <xf numFmtId="164" fontId="7" fillId="7" borderId="31" xfId="3" applyNumberFormat="1" applyFill="1" applyBorder="1"/>
    <xf numFmtId="0" fontId="7" fillId="7" borderId="32" xfId="3" applyFill="1" applyBorder="1"/>
    <xf numFmtId="0" fontId="7" fillId="7" borderId="33" xfId="3" applyFill="1" applyBorder="1"/>
    <xf numFmtId="164" fontId="0" fillId="6" borderId="30" xfId="4" applyNumberFormat="1" applyFont="1" applyFill="1" applyBorder="1"/>
    <xf numFmtId="0" fontId="7" fillId="0" borderId="34" xfId="3" applyBorder="1"/>
    <xf numFmtId="0" fontId="7" fillId="7" borderId="0" xfId="3" applyFill="1"/>
    <xf numFmtId="0" fontId="7" fillId="8" borderId="1" xfId="3" applyFill="1" applyBorder="1"/>
    <xf numFmtId="0" fontId="7" fillId="8" borderId="35" xfId="3" applyFill="1" applyBorder="1"/>
    <xf numFmtId="0" fontId="7" fillId="8" borderId="36" xfId="3" applyFill="1" applyBorder="1"/>
    <xf numFmtId="0" fontId="7" fillId="8" borderId="0" xfId="3" applyFill="1"/>
    <xf numFmtId="0" fontId="7" fillId="8" borderId="0" xfId="3" applyFill="1" applyAlignment="1">
      <alignment vertical="center"/>
    </xf>
    <xf numFmtId="10" fontId="0" fillId="0" borderId="37" xfId="4" applyNumberFormat="1" applyFont="1" applyBorder="1"/>
    <xf numFmtId="10" fontId="0" fillId="0" borderId="23" xfId="4" applyNumberFormat="1" applyFont="1" applyBorder="1"/>
    <xf numFmtId="10" fontId="0" fillId="0" borderId="23" xfId="4" applyNumberFormat="1" applyFont="1" applyBorder="1" applyAlignment="1">
      <alignment vertical="center"/>
    </xf>
    <xf numFmtId="164" fontId="0" fillId="0" borderId="23" xfId="4" applyNumberFormat="1" applyFont="1" applyBorder="1" applyAlignment="1">
      <alignment horizontal="center" vertical="center"/>
    </xf>
    <xf numFmtId="164" fontId="0" fillId="0" borderId="38" xfId="4" applyNumberFormat="1" applyFont="1" applyBorder="1" applyAlignment="1">
      <alignment horizontal="center" vertical="center"/>
    </xf>
    <xf numFmtId="9" fontId="0" fillId="6" borderId="38" xfId="4" applyNumberFormat="1" applyFont="1" applyFill="1" applyBorder="1"/>
    <xf numFmtId="0" fontId="7" fillId="0" borderId="39" xfId="3" applyBorder="1"/>
    <xf numFmtId="10" fontId="0" fillId="0" borderId="40" xfId="4" applyNumberFormat="1" applyFont="1" applyBorder="1"/>
    <xf numFmtId="10" fontId="0" fillId="0" borderId="28" xfId="4" applyNumberFormat="1" applyFont="1" applyBorder="1"/>
    <xf numFmtId="10" fontId="0" fillId="0" borderId="28" xfId="4" applyNumberFormat="1" applyFont="1" applyBorder="1" applyAlignment="1">
      <alignment vertical="center"/>
    </xf>
    <xf numFmtId="43" fontId="0" fillId="0" borderId="41" xfId="4" applyFont="1" applyBorder="1"/>
    <xf numFmtId="9" fontId="0" fillId="6" borderId="41" xfId="4" applyNumberFormat="1" applyFont="1" applyFill="1" applyBorder="1"/>
    <xf numFmtId="0" fontId="7" fillId="0" borderId="42" xfId="3" applyBorder="1"/>
    <xf numFmtId="10" fontId="0" fillId="0" borderId="31" xfId="4" applyNumberFormat="1" applyFont="1" applyBorder="1"/>
    <xf numFmtId="10" fontId="0" fillId="0" borderId="32" xfId="4" applyNumberFormat="1" applyFont="1" applyBorder="1"/>
    <xf numFmtId="10" fontId="0" fillId="0" borderId="32" xfId="4" applyNumberFormat="1" applyFont="1" applyBorder="1" applyAlignment="1">
      <alignment vertical="center"/>
    </xf>
    <xf numFmtId="43" fontId="0" fillId="0" borderId="32" xfId="4" applyFont="1" applyBorder="1"/>
    <xf numFmtId="43" fontId="0" fillId="0" borderId="33" xfId="4" applyFont="1" applyBorder="1"/>
    <xf numFmtId="9" fontId="0" fillId="6" borderId="33" xfId="4" applyNumberFormat="1" applyFont="1" applyFill="1" applyBorder="1"/>
    <xf numFmtId="2" fontId="0" fillId="0" borderId="37" xfId="5" applyNumberFormat="1" applyFont="1" applyBorder="1"/>
    <xf numFmtId="2" fontId="0" fillId="0" borderId="23" xfId="5" applyNumberFormat="1" applyFont="1" applyBorder="1"/>
    <xf numFmtId="2" fontId="0" fillId="0" borderId="23" xfId="5" applyNumberFormat="1" applyFont="1" applyBorder="1" applyAlignment="1">
      <alignment vertical="center"/>
    </xf>
    <xf numFmtId="164" fontId="0" fillId="0" borderId="23" xfId="4" applyNumberFormat="1" applyFont="1" applyFill="1" applyBorder="1"/>
    <xf numFmtId="164" fontId="7" fillId="0" borderId="23" xfId="4" applyNumberFormat="1" applyFont="1" applyFill="1" applyBorder="1"/>
    <xf numFmtId="164" fontId="0" fillId="0" borderId="38" xfId="4" applyNumberFormat="1" applyFont="1" applyFill="1" applyBorder="1"/>
    <xf numFmtId="43" fontId="0" fillId="0" borderId="38" xfId="4" applyFont="1" applyBorder="1"/>
    <xf numFmtId="2" fontId="0" fillId="0" borderId="40" xfId="5" applyNumberFormat="1" applyFont="1" applyBorder="1"/>
    <xf numFmtId="2" fontId="0" fillId="0" borderId="28" xfId="5" applyNumberFormat="1" applyFont="1" applyBorder="1"/>
    <xf numFmtId="2" fontId="0" fillId="0" borderId="28" xfId="5" applyNumberFormat="1" applyFont="1" applyBorder="1" applyAlignment="1">
      <alignment vertical="center"/>
    </xf>
    <xf numFmtId="2" fontId="0" fillId="0" borderId="31" xfId="5" applyNumberFormat="1" applyFont="1" applyBorder="1"/>
    <xf numFmtId="2" fontId="0" fillId="0" borderId="32" xfId="5" applyNumberFormat="1" applyFont="1" applyBorder="1"/>
    <xf numFmtId="2" fontId="0" fillId="0" borderId="32" xfId="5" applyNumberFormat="1" applyFont="1" applyBorder="1" applyAlignment="1">
      <alignment vertical="center"/>
    </xf>
    <xf numFmtId="164" fontId="0" fillId="0" borderId="32" xfId="4" applyNumberFormat="1" applyFont="1" applyBorder="1"/>
    <xf numFmtId="164" fontId="0" fillId="0" borderId="32" xfId="4" applyNumberFormat="1" applyFont="1" applyFill="1" applyBorder="1"/>
    <xf numFmtId="164" fontId="0" fillId="0" borderId="33" xfId="4" applyNumberFormat="1" applyFont="1" applyFill="1" applyBorder="1"/>
    <xf numFmtId="165" fontId="0" fillId="0" borderId="37" xfId="5" applyNumberFormat="1" applyFont="1" applyBorder="1"/>
    <xf numFmtId="165" fontId="0" fillId="0" borderId="23" xfId="5" applyNumberFormat="1" applyFont="1" applyBorder="1"/>
    <xf numFmtId="165" fontId="0" fillId="0" borderId="23" xfId="5" applyNumberFormat="1" applyFont="1" applyBorder="1" applyAlignment="1">
      <alignment vertical="center"/>
    </xf>
    <xf numFmtId="165" fontId="0" fillId="0" borderId="23" xfId="5" applyNumberFormat="1" applyFont="1" applyFill="1" applyBorder="1"/>
    <xf numFmtId="9" fontId="0" fillId="6" borderId="38" xfId="5" applyFont="1" applyFill="1" applyBorder="1"/>
    <xf numFmtId="165" fontId="0" fillId="0" borderId="40" xfId="5" applyNumberFormat="1" applyFont="1" applyBorder="1"/>
    <xf numFmtId="165" fontId="0" fillId="0" borderId="28" xfId="5" applyNumberFormat="1" applyFont="1" applyBorder="1"/>
    <xf numFmtId="165" fontId="0" fillId="0" borderId="28" xfId="5" applyNumberFormat="1" applyFont="1" applyBorder="1" applyAlignment="1">
      <alignment vertical="center"/>
    </xf>
    <xf numFmtId="165" fontId="0" fillId="0" borderId="28" xfId="5" applyNumberFormat="1" applyFont="1" applyFill="1" applyBorder="1"/>
    <xf numFmtId="9" fontId="0" fillId="6" borderId="41" xfId="5" applyFont="1" applyFill="1" applyBorder="1"/>
    <xf numFmtId="2" fontId="0" fillId="0" borderId="32" xfId="5" applyNumberFormat="1" applyFont="1" applyFill="1" applyBorder="1"/>
    <xf numFmtId="2" fontId="7" fillId="0" borderId="32" xfId="3" applyNumberFormat="1" applyBorder="1"/>
    <xf numFmtId="2" fontId="0" fillId="0" borderId="32" xfId="4" applyNumberFormat="1" applyFont="1" applyFill="1" applyBorder="1"/>
    <xf numFmtId="2" fontId="0" fillId="0" borderId="32" xfId="4" applyNumberFormat="1" applyFont="1" applyBorder="1"/>
    <xf numFmtId="165" fontId="0" fillId="0" borderId="43" xfId="5" applyNumberFormat="1" applyFont="1" applyBorder="1"/>
    <xf numFmtId="2" fontId="0" fillId="0" borderId="44" xfId="4" applyNumberFormat="1" applyFont="1" applyBorder="1"/>
    <xf numFmtId="9" fontId="0" fillId="6" borderId="45" xfId="5" applyFont="1" applyFill="1" applyBorder="1"/>
    <xf numFmtId="43" fontId="0" fillId="0" borderId="46" xfId="4" applyFont="1" applyBorder="1"/>
    <xf numFmtId="43" fontId="0" fillId="0" borderId="23" xfId="4" applyFont="1" applyBorder="1" applyAlignment="1">
      <alignment vertical="center"/>
    </xf>
    <xf numFmtId="43" fontId="0" fillId="0" borderId="47" xfId="4" applyFont="1" applyBorder="1"/>
    <xf numFmtId="43" fontId="0" fillId="0" borderId="28" xfId="4" applyFont="1" applyBorder="1" applyAlignment="1">
      <alignment vertical="center"/>
    </xf>
    <xf numFmtId="2" fontId="0" fillId="0" borderId="49" xfId="5" applyNumberFormat="1" applyFont="1" applyBorder="1"/>
    <xf numFmtId="1" fontId="0" fillId="0" borderId="32" xfId="4" applyNumberFormat="1" applyFont="1" applyBorder="1"/>
    <xf numFmtId="165" fontId="0" fillId="0" borderId="46" xfId="5" applyNumberFormat="1" applyFont="1" applyBorder="1"/>
    <xf numFmtId="0" fontId="7" fillId="0" borderId="19" xfId="3" applyBorder="1"/>
    <xf numFmtId="9" fontId="0" fillId="0" borderId="28" xfId="5" applyFont="1" applyBorder="1"/>
    <xf numFmtId="0" fontId="7" fillId="0" borderId="25" xfId="3" applyBorder="1"/>
    <xf numFmtId="0" fontId="7" fillId="0" borderId="30" xfId="3" applyBorder="1"/>
    <xf numFmtId="164" fontId="0" fillId="6" borderId="42" xfId="4" applyNumberFormat="1" applyFont="1" applyFill="1" applyBorder="1"/>
    <xf numFmtId="9" fontId="0" fillId="0" borderId="47" xfId="5" applyFont="1" applyBorder="1"/>
    <xf numFmtId="9" fontId="0" fillId="0" borderId="28" xfId="5" applyFont="1" applyBorder="1" applyAlignment="1">
      <alignment vertical="center"/>
    </xf>
    <xf numFmtId="165" fontId="0" fillId="0" borderId="32" xfId="4" applyNumberFormat="1" applyFont="1" applyBorder="1"/>
    <xf numFmtId="164" fontId="0" fillId="6" borderId="39" xfId="4" applyNumberFormat="1" applyFont="1" applyFill="1" applyBorder="1"/>
    <xf numFmtId="0" fontId="7" fillId="0" borderId="1" xfId="3" applyBorder="1"/>
    <xf numFmtId="166" fontId="11" fillId="0" borderId="46" xfId="5" applyNumberFormat="1" applyFont="1" applyBorder="1"/>
    <xf numFmtId="166" fontId="11" fillId="0" borderId="23" xfId="5" applyNumberFormat="1" applyFont="1" applyBorder="1"/>
    <xf numFmtId="166" fontId="11" fillId="0" borderId="50" xfId="5" applyNumberFormat="1" applyFont="1" applyBorder="1"/>
    <xf numFmtId="166" fontId="11" fillId="0" borderId="47" xfId="5" applyNumberFormat="1" applyFont="1" applyBorder="1"/>
    <xf numFmtId="166" fontId="11" fillId="0" borderId="28" xfId="5" applyNumberFormat="1" applyFont="1" applyBorder="1"/>
    <xf numFmtId="166" fontId="11" fillId="0" borderId="51" xfId="5" applyNumberFormat="1" applyFont="1" applyBorder="1"/>
    <xf numFmtId="166" fontId="11" fillId="0" borderId="49" xfId="5" applyNumberFormat="1" applyFont="1" applyBorder="1"/>
    <xf numFmtId="166" fontId="11" fillId="0" borderId="32" xfId="5" applyNumberFormat="1" applyFont="1" applyBorder="1"/>
    <xf numFmtId="166" fontId="11" fillId="0" borderId="52" xfId="5" applyNumberFormat="1" applyFont="1" applyBorder="1"/>
    <xf numFmtId="167" fontId="0" fillId="6" borderId="34" xfId="5" applyNumberFormat="1" applyFont="1" applyFill="1" applyBorder="1"/>
    <xf numFmtId="165" fontId="11" fillId="0" borderId="46" xfId="5" applyNumberFormat="1" applyFont="1" applyBorder="1"/>
    <xf numFmtId="165" fontId="11" fillId="0" borderId="47" xfId="5" applyNumberFormat="1" applyFont="1" applyBorder="1"/>
    <xf numFmtId="165" fontId="11" fillId="0" borderId="32" xfId="5" applyNumberFormat="1" applyFont="1" applyBorder="1"/>
    <xf numFmtId="0" fontId="12" fillId="0" borderId="0" xfId="3" applyFont="1"/>
    <xf numFmtId="0" fontId="7" fillId="0" borderId="0" xfId="3" applyAlignment="1">
      <alignment vertical="center"/>
    </xf>
    <xf numFmtId="1" fontId="7" fillId="0" borderId="0" xfId="3" applyNumberFormat="1"/>
    <xf numFmtId="0" fontId="7" fillId="0" borderId="53" xfId="3" applyBorder="1"/>
    <xf numFmtId="0" fontId="7" fillId="0" borderId="54" xfId="3" applyBorder="1"/>
    <xf numFmtId="0" fontId="7" fillId="0" borderId="55" xfId="3" applyBorder="1"/>
    <xf numFmtId="0" fontId="8" fillId="0" borderId="12" xfId="3" applyFont="1" applyBorder="1" applyAlignment="1">
      <alignment vertical="top"/>
    </xf>
    <xf numFmtId="0" fontId="8" fillId="0" borderId="13" xfId="3" applyFont="1" applyBorder="1" applyAlignment="1">
      <alignment horizontal="center" vertical="top"/>
    </xf>
    <xf numFmtId="0" fontId="7" fillId="0" borderId="14" xfId="3" applyBorder="1" applyAlignment="1">
      <alignment vertical="top"/>
    </xf>
    <xf numFmtId="0" fontId="10" fillId="2" borderId="18" xfId="3" applyFont="1" applyFill="1" applyBorder="1" applyAlignment="1">
      <alignment horizontal="center"/>
    </xf>
    <xf numFmtId="0" fontId="7" fillId="0" borderId="35" xfId="3" applyBorder="1"/>
    <xf numFmtId="0" fontId="8" fillId="0" borderId="9" xfId="3" applyFont="1" applyBorder="1"/>
    <xf numFmtId="164" fontId="0" fillId="0" borderId="9" xfId="4" applyNumberFormat="1" applyFont="1" applyBorder="1"/>
    <xf numFmtId="164" fontId="0" fillId="0" borderId="9" xfId="4" applyNumberFormat="1" applyFont="1" applyFill="1" applyBorder="1"/>
    <xf numFmtId="164" fontId="0" fillId="6" borderId="9" xfId="4" applyNumberFormat="1" applyFont="1" applyFill="1" applyBorder="1"/>
    <xf numFmtId="0" fontId="7" fillId="0" borderId="10" xfId="3" applyBorder="1"/>
    <xf numFmtId="0" fontId="8" fillId="0" borderId="1" xfId="3" applyFont="1" applyBorder="1"/>
    <xf numFmtId="164" fontId="0" fillId="0" borderId="1" xfId="4" applyNumberFormat="1" applyFont="1" applyBorder="1"/>
    <xf numFmtId="43" fontId="0" fillId="0" borderId="1" xfId="4" applyFont="1" applyBorder="1"/>
    <xf numFmtId="164" fontId="0" fillId="6" borderId="1" xfId="4" applyNumberFormat="1" applyFont="1" applyFill="1" applyBorder="1"/>
    <xf numFmtId="0" fontId="7" fillId="0" borderId="57" xfId="3" applyBorder="1"/>
    <xf numFmtId="0" fontId="8" fillId="0" borderId="59" xfId="3" applyFont="1" applyBorder="1"/>
    <xf numFmtId="164" fontId="0" fillId="0" borderId="59" xfId="4" applyNumberFormat="1" applyFont="1" applyBorder="1"/>
    <xf numFmtId="43" fontId="0" fillId="0" borderId="59" xfId="4" applyFont="1" applyBorder="1"/>
    <xf numFmtId="43" fontId="0" fillId="0" borderId="59" xfId="4" applyFont="1" applyFill="1" applyBorder="1"/>
    <xf numFmtId="0" fontId="7" fillId="0" borderId="60" xfId="3" applyBorder="1"/>
    <xf numFmtId="165" fontId="0" fillId="0" borderId="9" xfId="5" applyNumberFormat="1" applyFont="1" applyBorder="1"/>
    <xf numFmtId="165" fontId="0" fillId="0" borderId="9" xfId="5" applyNumberFormat="1" applyFont="1" applyFill="1" applyBorder="1"/>
    <xf numFmtId="9" fontId="0" fillId="6" borderId="9" xfId="5" applyFont="1" applyFill="1" applyBorder="1"/>
    <xf numFmtId="165" fontId="0" fillId="0" borderId="1" xfId="5" applyNumberFormat="1" applyFont="1" applyBorder="1"/>
    <xf numFmtId="9" fontId="0" fillId="0" borderId="1" xfId="5" applyFont="1" applyBorder="1"/>
    <xf numFmtId="9" fontId="0" fillId="0" borderId="1" xfId="5" applyFont="1" applyFill="1" applyBorder="1"/>
    <xf numFmtId="165" fontId="0" fillId="0" borderId="1" xfId="5" applyNumberFormat="1" applyFont="1" applyFill="1" applyBorder="1"/>
    <xf numFmtId="165" fontId="7" fillId="0" borderId="1" xfId="3" applyNumberFormat="1" applyBorder="1"/>
    <xf numFmtId="9" fontId="0" fillId="6" borderId="1" xfId="5" applyFont="1" applyFill="1" applyBorder="1"/>
    <xf numFmtId="165" fontId="0" fillId="0" borderId="59" xfId="5" applyNumberFormat="1" applyFont="1" applyBorder="1"/>
    <xf numFmtId="9" fontId="0" fillId="0" borderId="59" xfId="5" applyFont="1" applyBorder="1"/>
    <xf numFmtId="9" fontId="0" fillId="0" borderId="59" xfId="5" applyFont="1" applyFill="1" applyBorder="1"/>
    <xf numFmtId="165" fontId="7" fillId="0" borderId="59" xfId="3" applyNumberFormat="1" applyBorder="1"/>
    <xf numFmtId="9" fontId="0" fillId="6" borderId="59" xfId="5" applyFont="1" applyFill="1" applyBorder="1"/>
    <xf numFmtId="43" fontId="0" fillId="0" borderId="9" xfId="4" applyFont="1" applyBorder="1"/>
    <xf numFmtId="164" fontId="0" fillId="0" borderId="9" xfId="4" applyNumberFormat="1" applyFont="1" applyBorder="1" applyAlignment="1">
      <alignment horizontal="center" vertical="center"/>
    </xf>
    <xf numFmtId="164" fontId="0" fillId="6" borderId="59" xfId="4" applyNumberFormat="1" applyFont="1" applyFill="1" applyBorder="1"/>
    <xf numFmtId="0" fontId="2" fillId="0" borderId="0" xfId="6" applyFont="1"/>
    <xf numFmtId="0" fontId="7" fillId="0" borderId="64" xfId="3" applyBorder="1" applyAlignment="1">
      <alignment horizontal="center" vertical="center"/>
    </xf>
    <xf numFmtId="0" fontId="7" fillId="0" borderId="68" xfId="3" applyBorder="1" applyAlignment="1">
      <alignment horizontal="center" vertical="center"/>
    </xf>
    <xf numFmtId="169" fontId="7" fillId="0" borderId="72" xfId="3" applyNumberFormat="1" applyBorder="1" applyAlignment="1">
      <alignment horizontal="center" vertical="center"/>
    </xf>
    <xf numFmtId="0" fontId="15" fillId="0" borderId="36" xfId="6" applyFont="1" applyBorder="1"/>
    <xf numFmtId="0" fontId="16" fillId="0" borderId="0" xfId="6" applyFont="1"/>
    <xf numFmtId="170" fontId="17" fillId="0" borderId="0" xfId="6" applyNumberFormat="1" applyFont="1" applyAlignment="1">
      <alignment vertical="center"/>
    </xf>
    <xf numFmtId="0" fontId="18" fillId="0" borderId="0" xfId="6" applyFont="1" applyAlignment="1">
      <alignment horizontal="right" vertical="center"/>
    </xf>
    <xf numFmtId="0" fontId="18" fillId="0" borderId="35" xfId="6" applyFont="1" applyBorder="1" applyAlignment="1">
      <alignment horizontal="right" vertical="center"/>
    </xf>
    <xf numFmtId="0" fontId="19" fillId="10" borderId="73" xfId="6" applyFont="1" applyFill="1" applyBorder="1"/>
    <xf numFmtId="14" fontId="19" fillId="10" borderId="74" xfId="6" applyNumberFormat="1" applyFont="1" applyFill="1" applyBorder="1"/>
    <xf numFmtId="0" fontId="20" fillId="0" borderId="0" xfId="6" applyFont="1"/>
    <xf numFmtId="0" fontId="19" fillId="0" borderId="77" xfId="6" applyFont="1" applyBorder="1"/>
    <xf numFmtId="0" fontId="23" fillId="0" borderId="36" xfId="6" applyFont="1" applyBorder="1"/>
    <xf numFmtId="0" fontId="24" fillId="0" borderId="36" xfId="6" applyFont="1" applyBorder="1"/>
    <xf numFmtId="0" fontId="24" fillId="0" borderId="0" xfId="6" applyFont="1"/>
    <xf numFmtId="0" fontId="24" fillId="0" borderId="35" xfId="6" applyFont="1" applyBorder="1"/>
    <xf numFmtId="0" fontId="25" fillId="11" borderId="8" xfId="6" applyFont="1" applyFill="1" applyBorder="1" applyAlignment="1">
      <alignment horizontal="center" vertical="center" wrapText="1"/>
    </xf>
    <xf numFmtId="0" fontId="25" fillId="11" borderId="9" xfId="6" applyFont="1" applyFill="1" applyBorder="1" applyAlignment="1">
      <alignment horizontal="center" vertical="center" wrapText="1"/>
    </xf>
    <xf numFmtId="0" fontId="25" fillId="11" borderId="10" xfId="6" applyFont="1" applyFill="1" applyBorder="1" applyAlignment="1">
      <alignment horizontal="center" vertical="center" wrapText="1"/>
    </xf>
    <xf numFmtId="2" fontId="26" fillId="0" borderId="1" xfId="7" applyNumberFormat="1" applyFont="1" applyFill="1" applyBorder="1" applyAlignment="1">
      <alignment horizontal="center" vertical="center"/>
    </xf>
    <xf numFmtId="2" fontId="27" fillId="0" borderId="1" xfId="6" applyNumberFormat="1" applyFont="1" applyBorder="1" applyAlignment="1">
      <alignment horizontal="center" vertical="center"/>
    </xf>
    <xf numFmtId="2" fontId="26" fillId="0" borderId="1" xfId="6" applyNumberFormat="1" applyFont="1" applyBorder="1" applyAlignment="1">
      <alignment horizontal="center" vertical="center"/>
    </xf>
    <xf numFmtId="171" fontId="26" fillId="0" borderId="57" xfId="6" applyNumberFormat="1" applyFont="1" applyBorder="1" applyAlignment="1">
      <alignment horizontal="center" vertical="center"/>
    </xf>
    <xf numFmtId="2" fontId="26" fillId="0" borderId="84" xfId="6" applyNumberFormat="1" applyFont="1" applyBorder="1" applyAlignment="1">
      <alignment horizontal="center" vertical="center"/>
    </xf>
    <xf numFmtId="2" fontId="27" fillId="0" borderId="84" xfId="6" applyNumberFormat="1" applyFont="1" applyBorder="1" applyAlignment="1">
      <alignment horizontal="center" vertical="center"/>
    </xf>
    <xf numFmtId="2" fontId="25" fillId="0" borderId="86" xfId="6" applyNumberFormat="1" applyFont="1" applyBorder="1" applyAlignment="1">
      <alignment horizontal="center" vertical="center"/>
    </xf>
    <xf numFmtId="171" fontId="25" fillId="0" borderId="87" xfId="6" applyNumberFormat="1" applyFont="1" applyBorder="1" applyAlignment="1">
      <alignment horizontal="center" vertical="center"/>
    </xf>
    <xf numFmtId="0" fontId="25" fillId="11" borderId="88" xfId="6" applyFont="1" applyFill="1" applyBorder="1" applyAlignment="1">
      <alignment horizontal="center" vertical="center" wrapText="1"/>
    </xf>
    <xf numFmtId="0" fontId="25" fillId="11" borderId="89" xfId="6" applyFont="1" applyFill="1" applyBorder="1" applyAlignment="1">
      <alignment horizontal="center" vertical="center" wrapText="1"/>
    </xf>
    <xf numFmtId="0" fontId="26" fillId="0" borderId="36" xfId="6" applyFont="1" applyBorder="1" applyAlignment="1">
      <alignment horizontal="right" vertical="center"/>
    </xf>
    <xf numFmtId="0" fontId="26" fillId="0" borderId="0" xfId="6" applyFont="1" applyAlignment="1">
      <alignment horizontal="right" vertical="center"/>
    </xf>
    <xf numFmtId="0" fontId="26" fillId="0" borderId="56" xfId="6" applyFont="1" applyBorder="1" applyAlignment="1">
      <alignment horizontal="center" vertical="center"/>
    </xf>
    <xf numFmtId="0" fontId="26" fillId="0" borderId="2" xfId="6" applyFont="1" applyBorder="1" applyAlignment="1">
      <alignment horizontal="left" vertical="center" wrapText="1"/>
    </xf>
    <xf numFmtId="0" fontId="26" fillId="0" borderId="4" xfId="6" applyFont="1" applyBorder="1" applyAlignment="1">
      <alignment horizontal="left" vertical="center" wrapText="1"/>
    </xf>
    <xf numFmtId="0" fontId="26" fillId="0" borderId="76" xfId="6" applyFont="1" applyBorder="1" applyAlignment="1">
      <alignment horizontal="left" vertical="center" wrapText="1"/>
    </xf>
    <xf numFmtId="0" fontId="26" fillId="0" borderId="15" xfId="6" applyFont="1" applyBorder="1" applyAlignment="1">
      <alignment horizontal="center" vertical="center"/>
    </xf>
    <xf numFmtId="0" fontId="26" fillId="0" borderId="58" xfId="6" applyFont="1" applyBorder="1" applyAlignment="1">
      <alignment horizontal="center" vertical="center"/>
    </xf>
    <xf numFmtId="0" fontId="26" fillId="0" borderId="1" xfId="6" applyFont="1" applyBorder="1" applyAlignment="1">
      <alignment horizontal="center" vertical="center"/>
    </xf>
    <xf numFmtId="0" fontId="26" fillId="10" borderId="1" xfId="6" applyFont="1" applyFill="1" applyBorder="1" applyAlignment="1">
      <alignment horizontal="center" vertical="center"/>
    </xf>
    <xf numFmtId="0" fontId="26" fillId="10" borderId="57" xfId="6" applyFont="1" applyFill="1" applyBorder="1" applyAlignment="1">
      <alignment horizontal="center" vertical="center"/>
    </xf>
    <xf numFmtId="0" fontId="26" fillId="0" borderId="59" xfId="6" applyFont="1" applyBorder="1" applyAlignment="1">
      <alignment horizontal="center" vertical="center"/>
    </xf>
    <xf numFmtId="0" fontId="26" fillId="10" borderId="59" xfId="6" applyFont="1" applyFill="1" applyBorder="1" applyAlignment="1">
      <alignment horizontal="center" vertical="center"/>
    </xf>
    <xf numFmtId="0" fontId="26" fillId="10" borderId="60" xfId="6" applyFont="1" applyFill="1" applyBorder="1" applyAlignment="1">
      <alignment horizontal="center" vertical="center"/>
    </xf>
    <xf numFmtId="0" fontId="19" fillId="0" borderId="36" xfId="6" applyFont="1" applyBorder="1" applyAlignment="1">
      <alignment vertical="center"/>
    </xf>
    <xf numFmtId="0" fontId="28" fillId="0" borderId="0" xfId="6" applyFont="1" applyAlignment="1">
      <alignment vertical="center"/>
    </xf>
    <xf numFmtId="0" fontId="24" fillId="10" borderId="36" xfId="6" applyFont="1" applyFill="1" applyBorder="1"/>
    <xf numFmtId="0" fontId="2" fillId="10" borderId="0" xfId="6" applyFont="1" applyFill="1"/>
    <xf numFmtId="1" fontId="26" fillId="0" borderId="56" xfId="6" applyNumberFormat="1" applyFont="1" applyBorder="1" applyAlignment="1">
      <alignment horizontal="center" vertical="center"/>
    </xf>
    <xf numFmtId="1" fontId="26" fillId="0" borderId="1" xfId="6" applyNumberFormat="1" applyFont="1" applyBorder="1" applyAlignment="1">
      <alignment horizontal="center" vertical="center"/>
    </xf>
    <xf numFmtId="0" fontId="26" fillId="0" borderId="57" xfId="6" applyFont="1" applyBorder="1" applyAlignment="1">
      <alignment horizontal="center" vertical="center"/>
    </xf>
    <xf numFmtId="1" fontId="26" fillId="0" borderId="58" xfId="6" applyNumberFormat="1" applyFont="1" applyBorder="1" applyAlignment="1">
      <alignment horizontal="center" vertical="center"/>
    </xf>
    <xf numFmtId="1" fontId="26" fillId="0" borderId="59" xfId="6" applyNumberFormat="1" applyFont="1" applyBorder="1" applyAlignment="1">
      <alignment horizontal="center" vertical="center"/>
    </xf>
    <xf numFmtId="0" fontId="26" fillId="0" borderId="0" xfId="8" applyFont="1" applyAlignment="1">
      <alignment horizontal="right"/>
    </xf>
    <xf numFmtId="2" fontId="26" fillId="0" borderId="96" xfId="6" applyNumberFormat="1" applyFont="1" applyBorder="1" applyAlignment="1">
      <alignment horizontal="center" vertical="center"/>
    </xf>
    <xf numFmtId="0" fontId="16" fillId="0" borderId="36" xfId="6" applyFont="1" applyBorder="1" applyAlignment="1">
      <alignment horizontal="right" vertical="center"/>
    </xf>
    <xf numFmtId="0" fontId="24" fillId="0" borderId="0" xfId="8" applyFont="1"/>
    <xf numFmtId="3" fontId="16" fillId="0" borderId="0" xfId="6" applyNumberFormat="1" applyFont="1" applyAlignment="1">
      <alignment horizontal="center" vertical="center"/>
    </xf>
    <xf numFmtId="1" fontId="16" fillId="0" borderId="0" xfId="6" applyNumberFormat="1" applyFont="1" applyAlignment="1">
      <alignment horizontal="center" vertical="center"/>
    </xf>
    <xf numFmtId="0" fontId="16" fillId="0" borderId="0" xfId="6" applyFont="1" applyAlignment="1">
      <alignment horizontal="center" vertical="center"/>
    </xf>
    <xf numFmtId="0" fontId="16" fillId="0" borderId="35" xfId="6" applyFont="1" applyBorder="1" applyAlignment="1">
      <alignment horizontal="center" vertical="center"/>
    </xf>
    <xf numFmtId="0" fontId="29" fillId="0" borderId="36" xfId="6" applyFont="1" applyBorder="1" applyAlignment="1">
      <alignment horizontal="left" vertical="center"/>
    </xf>
    <xf numFmtId="0" fontId="8" fillId="7" borderId="0" xfId="3" applyFont="1" applyFill="1"/>
    <xf numFmtId="0" fontId="19" fillId="7" borderId="0" xfId="3" applyFont="1" applyFill="1" applyAlignment="1">
      <alignment horizontal="center"/>
    </xf>
    <xf numFmtId="0" fontId="19" fillId="7" borderId="0" xfId="3" applyFont="1" applyFill="1" applyAlignment="1">
      <alignment horizontal="center" shrinkToFit="1"/>
    </xf>
    <xf numFmtId="0" fontId="30" fillId="0" borderId="0" xfId="8" applyFont="1" applyAlignment="1">
      <alignment vertical="top" wrapText="1"/>
    </xf>
    <xf numFmtId="0" fontId="30" fillId="0" borderId="35" xfId="8" applyFont="1" applyBorder="1" applyAlignment="1">
      <alignment vertical="top" wrapText="1"/>
    </xf>
    <xf numFmtId="0" fontId="19" fillId="7" borderId="1" xfId="3" applyFont="1" applyFill="1" applyBorder="1" applyAlignment="1">
      <alignment horizontal="right"/>
    </xf>
    <xf numFmtId="16" fontId="19" fillId="8" borderId="1" xfId="3" applyNumberFormat="1" applyFont="1" applyFill="1" applyBorder="1" applyAlignment="1">
      <alignment horizontal="center"/>
    </xf>
    <xf numFmtId="0" fontId="19" fillId="8" borderId="1" xfId="3" applyFont="1" applyFill="1" applyBorder="1" applyAlignment="1">
      <alignment horizontal="center"/>
    </xf>
    <xf numFmtId="0" fontId="19" fillId="8" borderId="1" xfId="3" applyFont="1" applyFill="1" applyBorder="1" applyAlignment="1">
      <alignment horizontal="center" shrinkToFit="1"/>
    </xf>
    <xf numFmtId="9" fontId="19" fillId="8" borderId="1" xfId="3" applyNumberFormat="1" applyFont="1" applyFill="1" applyBorder="1" applyAlignment="1">
      <alignment horizontal="center"/>
    </xf>
    <xf numFmtId="9" fontId="19" fillId="8" borderId="1" xfId="3" applyNumberFormat="1" applyFont="1" applyFill="1" applyBorder="1" applyAlignment="1">
      <alignment horizontal="center" shrinkToFit="1"/>
    </xf>
    <xf numFmtId="0" fontId="16" fillId="0" borderId="1" xfId="6" applyFont="1" applyBorder="1" applyAlignment="1">
      <alignment horizontal="right" vertical="center"/>
    </xf>
    <xf numFmtId="0" fontId="19" fillId="7" borderId="1" xfId="3" applyFont="1" applyFill="1" applyBorder="1" applyAlignment="1">
      <alignment horizontal="center"/>
    </xf>
    <xf numFmtId="0" fontId="19" fillId="7" borderId="1" xfId="3" applyFont="1" applyFill="1" applyBorder="1" applyAlignment="1">
      <alignment horizontal="center" shrinkToFit="1"/>
    </xf>
    <xf numFmtId="0" fontId="28" fillId="0" borderId="77" xfId="6" applyFont="1" applyBorder="1"/>
    <xf numFmtId="0" fontId="25" fillId="0" borderId="0" xfId="8" applyFont="1" applyAlignment="1">
      <alignment vertical="top" wrapText="1"/>
    </xf>
    <xf numFmtId="0" fontId="16" fillId="0" borderId="35" xfId="6" applyFont="1" applyBorder="1"/>
    <xf numFmtId="0" fontId="16" fillId="0" borderId="36" xfId="6" applyFont="1" applyBorder="1"/>
    <xf numFmtId="0" fontId="2" fillId="0" borderId="55" xfId="6" applyFont="1" applyBorder="1"/>
    <xf numFmtId="0" fontId="28" fillId="0" borderId="36" xfId="6" applyFont="1" applyBorder="1"/>
    <xf numFmtId="0" fontId="22" fillId="0" borderId="6" xfId="8" applyFont="1" applyBorder="1" applyAlignment="1">
      <alignment vertical="top" wrapText="1"/>
    </xf>
    <xf numFmtId="0" fontId="22" fillId="0" borderId="0" xfId="8" applyFont="1" applyAlignment="1">
      <alignment vertical="top" wrapText="1"/>
    </xf>
    <xf numFmtId="0" fontId="22" fillId="0" borderId="35" xfId="8" applyFont="1" applyBorder="1" applyAlignment="1">
      <alignment vertical="top" wrapText="1"/>
    </xf>
    <xf numFmtId="0" fontId="24" fillId="0" borderId="35" xfId="8" applyFont="1" applyBorder="1"/>
    <xf numFmtId="0" fontId="16" fillId="0" borderId="36" xfId="6" applyFont="1" applyBorder="1" applyAlignment="1">
      <alignment vertical="center"/>
    </xf>
    <xf numFmtId="0" fontId="26" fillId="0" borderId="0" xfId="6" applyFont="1" applyAlignment="1">
      <alignment horizontal="right"/>
    </xf>
    <xf numFmtId="0" fontId="26" fillId="0" borderId="60" xfId="6" applyFont="1" applyBorder="1" applyAlignment="1">
      <alignment horizontal="center" vertical="center"/>
    </xf>
    <xf numFmtId="14" fontId="28" fillId="0" borderId="36" xfId="6" applyNumberFormat="1" applyFont="1" applyBorder="1" applyAlignment="1">
      <alignment vertical="top" wrapText="1"/>
    </xf>
    <xf numFmtId="0" fontId="26" fillId="0" borderId="56" xfId="9" applyNumberFormat="1" applyFont="1" applyFill="1" applyBorder="1" applyAlignment="1">
      <alignment horizontal="center" vertical="center"/>
    </xf>
    <xf numFmtId="0" fontId="26" fillId="0" borderId="1" xfId="9" applyNumberFormat="1" applyFont="1" applyFill="1" applyBorder="1" applyAlignment="1">
      <alignment horizontal="center" vertical="center" wrapText="1"/>
    </xf>
    <xf numFmtId="14" fontId="26" fillId="0" borderId="1" xfId="9" applyNumberFormat="1" applyFont="1" applyFill="1" applyBorder="1" applyAlignment="1">
      <alignment horizontal="center" vertical="center"/>
    </xf>
    <xf numFmtId="0" fontId="26" fillId="0" borderId="2" xfId="9" applyNumberFormat="1" applyFont="1" applyFill="1" applyBorder="1" applyAlignment="1">
      <alignment horizontal="center" vertical="center"/>
    </xf>
    <xf numFmtId="172" fontId="26" fillId="0" borderId="2" xfId="9" applyNumberFormat="1" applyFont="1" applyFill="1" applyBorder="1" applyAlignment="1">
      <alignment horizontal="center" vertical="center"/>
    </xf>
    <xf numFmtId="44" fontId="26" fillId="0" borderId="2" xfId="9" applyNumberFormat="1" applyFont="1" applyFill="1" applyBorder="1" applyAlignment="1">
      <alignment horizontal="center" vertical="center"/>
    </xf>
    <xf numFmtId="172" fontId="26" fillId="0" borderId="57" xfId="9" applyNumberFormat="1" applyFont="1" applyFill="1" applyBorder="1" applyAlignment="1">
      <alignment horizontal="center" vertical="center"/>
    </xf>
    <xf numFmtId="0" fontId="26" fillId="0" borderId="99" xfId="9" applyNumberFormat="1" applyFont="1" applyFill="1" applyBorder="1" applyAlignment="1">
      <alignment horizontal="center" vertical="center"/>
    </xf>
    <xf numFmtId="0" fontId="26" fillId="0" borderId="100" xfId="9" applyNumberFormat="1" applyFont="1" applyFill="1" applyBorder="1" applyAlignment="1">
      <alignment horizontal="center" vertical="center" wrapText="1"/>
    </xf>
    <xf numFmtId="14" fontId="26" fillId="0" borderId="100" xfId="9" applyNumberFormat="1" applyFont="1" applyFill="1" applyBorder="1" applyAlignment="1">
      <alignment horizontal="center" vertical="center"/>
    </xf>
    <xf numFmtId="0" fontId="26" fillId="0" borderId="5" xfId="9" applyNumberFormat="1" applyFont="1" applyFill="1" applyBorder="1" applyAlignment="1">
      <alignment horizontal="center" vertical="center"/>
    </xf>
    <xf numFmtId="172" fontId="26" fillId="0" borderId="5" xfId="9" applyNumberFormat="1" applyFont="1" applyFill="1" applyBorder="1" applyAlignment="1">
      <alignment horizontal="center" vertical="center"/>
    </xf>
    <xf numFmtId="44" fontId="26" fillId="0" borderId="5" xfId="9" applyNumberFormat="1" applyFont="1" applyFill="1" applyBorder="1" applyAlignment="1">
      <alignment horizontal="center" vertical="center"/>
    </xf>
    <xf numFmtId="172" fontId="26" fillId="0" borderId="101" xfId="9" applyNumberFormat="1" applyFont="1" applyFill="1" applyBorder="1" applyAlignment="1">
      <alignment horizontal="center" vertical="center"/>
    </xf>
    <xf numFmtId="0" fontId="25" fillId="12" borderId="102" xfId="9" applyNumberFormat="1" applyFont="1" applyFill="1" applyBorder="1" applyAlignment="1">
      <alignment horizontal="center" vertical="center"/>
    </xf>
    <xf numFmtId="0" fontId="25" fillId="12" borderId="103" xfId="9" applyNumberFormat="1" applyFont="1" applyFill="1" applyBorder="1" applyAlignment="1">
      <alignment horizontal="center" vertical="center" wrapText="1"/>
    </xf>
    <xf numFmtId="0" fontId="25" fillId="12" borderId="104" xfId="9" applyNumberFormat="1" applyFont="1" applyFill="1" applyBorder="1" applyAlignment="1">
      <alignment horizontal="center" vertical="center"/>
    </xf>
    <xf numFmtId="14" fontId="25" fillId="12" borderId="105" xfId="9" applyNumberFormat="1" applyFont="1" applyFill="1" applyBorder="1" applyAlignment="1">
      <alignment horizontal="center" vertical="center"/>
    </xf>
    <xf numFmtId="0" fontId="25" fillId="12" borderId="106" xfId="9" applyNumberFormat="1" applyFont="1" applyFill="1" applyBorder="1" applyAlignment="1">
      <alignment horizontal="center" vertical="center"/>
    </xf>
    <xf numFmtId="44" fontId="25" fillId="12" borderId="106" xfId="9" applyNumberFormat="1" applyFont="1" applyFill="1" applyBorder="1" applyAlignment="1">
      <alignment horizontal="center" vertical="center"/>
    </xf>
    <xf numFmtId="44" fontId="25" fillId="12" borderId="94" xfId="9" applyNumberFormat="1" applyFont="1" applyFill="1" applyBorder="1" applyAlignment="1">
      <alignment horizontal="center" vertical="center"/>
    </xf>
    <xf numFmtId="0" fontId="26" fillId="0" borderId="6" xfId="6" applyFont="1" applyBorder="1" applyAlignment="1">
      <alignment horizontal="center" vertical="center"/>
    </xf>
    <xf numFmtId="0" fontId="16" fillId="0" borderId="107" xfId="6" applyFont="1" applyBorder="1"/>
    <xf numFmtId="0" fontId="22" fillId="0" borderId="35" xfId="6" applyFont="1" applyBorder="1" applyAlignment="1">
      <alignment horizontal="left"/>
    </xf>
    <xf numFmtId="0" fontId="22" fillId="0" borderId="6" xfId="8" applyFont="1" applyBorder="1" applyAlignment="1">
      <alignment horizontal="left" vertical="top" wrapText="1"/>
    </xf>
    <xf numFmtId="0" fontId="16" fillId="0" borderId="79" xfId="6" applyFont="1" applyBorder="1"/>
    <xf numFmtId="0" fontId="24" fillId="0" borderId="36" xfId="8" applyFont="1" applyBorder="1"/>
    <xf numFmtId="0" fontId="31" fillId="0" borderId="0" xfId="8" applyFont="1"/>
    <xf numFmtId="170" fontId="26" fillId="10" borderId="58" xfId="9" applyNumberFormat="1" applyFont="1" applyFill="1" applyBorder="1" applyAlignment="1">
      <alignment horizontal="center" vertical="center"/>
    </xf>
    <xf numFmtId="170" fontId="26" fillId="0" borderId="58" xfId="9" applyNumberFormat="1" applyFont="1" applyBorder="1" applyAlignment="1">
      <alignment horizontal="center" vertical="center"/>
    </xf>
    <xf numFmtId="1" fontId="26" fillId="11" borderId="60" xfId="9" applyNumberFormat="1" applyFont="1" applyFill="1" applyBorder="1" applyAlignment="1">
      <alignment horizontal="center" vertical="center"/>
    </xf>
    <xf numFmtId="170" fontId="26" fillId="0" borderId="58" xfId="9" applyNumberFormat="1" applyFont="1" applyFill="1" applyBorder="1" applyAlignment="1">
      <alignment horizontal="center" vertical="center"/>
    </xf>
    <xf numFmtId="165" fontId="16" fillId="0" borderId="0" xfId="9" applyNumberFormat="1" applyFont="1" applyBorder="1" applyAlignment="1">
      <alignment horizontal="center" vertical="center"/>
    </xf>
    <xf numFmtId="0" fontId="31" fillId="0" borderId="0" xfId="8" applyFont="1" applyAlignment="1">
      <alignment horizontal="right"/>
    </xf>
    <xf numFmtId="165" fontId="26" fillId="0" borderId="56" xfId="9" applyNumberFormat="1" applyFont="1" applyBorder="1" applyAlignment="1">
      <alignment horizontal="center" vertical="center"/>
    </xf>
    <xf numFmtId="165" fontId="26" fillId="0" borderId="1" xfId="9" applyNumberFormat="1" applyFont="1" applyBorder="1" applyAlignment="1">
      <alignment horizontal="center" vertical="center"/>
    </xf>
    <xf numFmtId="165" fontId="26" fillId="11" borderId="1" xfId="9" applyNumberFormat="1" applyFont="1" applyFill="1" applyBorder="1" applyAlignment="1">
      <alignment horizontal="center" vertical="center"/>
    </xf>
    <xf numFmtId="165" fontId="26" fillId="0" borderId="57" xfId="9" applyNumberFormat="1" applyFont="1" applyBorder="1" applyAlignment="1">
      <alignment horizontal="center" vertical="center"/>
    </xf>
    <xf numFmtId="165" fontId="26" fillId="0" borderId="58" xfId="9" applyNumberFormat="1" applyFont="1" applyFill="1" applyBorder="1" applyAlignment="1">
      <alignment horizontal="center" vertical="center"/>
    </xf>
    <xf numFmtId="165" fontId="26" fillId="0" borderId="59" xfId="9" applyNumberFormat="1" applyFont="1" applyFill="1" applyBorder="1" applyAlignment="1">
      <alignment horizontal="center" vertical="center"/>
    </xf>
    <xf numFmtId="165" fontId="26" fillId="11" borderId="59" xfId="9" applyNumberFormat="1" applyFont="1" applyFill="1" applyBorder="1" applyAlignment="1">
      <alignment horizontal="center" vertical="center"/>
    </xf>
    <xf numFmtId="165" fontId="26" fillId="0" borderId="60" xfId="9" applyNumberFormat="1" applyFont="1" applyFill="1" applyBorder="1" applyAlignment="1">
      <alignment horizontal="center" vertical="center"/>
    </xf>
    <xf numFmtId="165" fontId="26" fillId="0" borderId="0" xfId="8" applyNumberFormat="1" applyFont="1"/>
    <xf numFmtId="165" fontId="24" fillId="0" borderId="0" xfId="5" applyNumberFormat="1" applyFont="1" applyBorder="1"/>
    <xf numFmtId="0" fontId="30" fillId="0" borderId="0" xfId="6" applyFont="1" applyAlignment="1">
      <alignment horizontal="right" vertical="center"/>
    </xf>
    <xf numFmtId="165" fontId="16" fillId="0" borderId="102" xfId="9" applyNumberFormat="1" applyFont="1" applyBorder="1" applyAlignment="1">
      <alignment horizontal="center" vertical="center"/>
    </xf>
    <xf numFmtId="165" fontId="16" fillId="11" borderId="96" xfId="9" applyNumberFormat="1" applyFont="1" applyFill="1" applyBorder="1" applyAlignment="1">
      <alignment horizontal="center" vertical="center"/>
    </xf>
    <xf numFmtId="165" fontId="16" fillId="0" borderId="96" xfId="9" applyNumberFormat="1" applyFont="1" applyBorder="1" applyAlignment="1">
      <alignment horizontal="center" vertical="center"/>
    </xf>
    <xf numFmtId="165" fontId="16" fillId="0" borderId="94" xfId="9" applyNumberFormat="1" applyFont="1" applyBorder="1" applyAlignment="1">
      <alignment horizontal="center" vertical="center"/>
    </xf>
    <xf numFmtId="0" fontId="2" fillId="0" borderId="0" xfId="3" applyFont="1"/>
    <xf numFmtId="165" fontId="16" fillId="0" borderId="15" xfId="9" applyNumberFormat="1" applyFont="1" applyBorder="1" applyAlignment="1">
      <alignment horizontal="center" vertical="center"/>
    </xf>
    <xf numFmtId="165" fontId="16" fillId="11" borderId="16" xfId="9" applyNumberFormat="1" applyFont="1" applyFill="1" applyBorder="1" applyAlignment="1">
      <alignment horizontal="center" vertical="center"/>
    </xf>
    <xf numFmtId="165" fontId="16" fillId="0" borderId="16" xfId="9" applyNumberFormat="1" applyFont="1" applyBorder="1" applyAlignment="1">
      <alignment horizontal="center" vertical="center"/>
    </xf>
    <xf numFmtId="165" fontId="16" fillId="0" borderId="17" xfId="9" applyNumberFormat="1" applyFont="1" applyBorder="1" applyAlignment="1">
      <alignment horizontal="center" vertical="center"/>
    </xf>
    <xf numFmtId="0" fontId="32" fillId="0" borderId="36" xfId="6" applyFont="1" applyBorder="1" applyAlignment="1">
      <alignment horizontal="left" vertical="center"/>
    </xf>
    <xf numFmtId="0" fontId="33" fillId="0" borderId="0" xfId="6" applyFont="1" applyAlignment="1">
      <alignment horizontal="right" vertical="center"/>
    </xf>
    <xf numFmtId="165" fontId="34" fillId="0" borderId="0" xfId="9" applyNumberFormat="1" applyFont="1" applyFill="1" applyBorder="1" applyAlignment="1">
      <alignment horizontal="center" vertical="center"/>
    </xf>
    <xf numFmtId="165" fontId="26" fillId="0" borderId="0" xfId="9" applyNumberFormat="1" applyFont="1" applyFill="1" applyBorder="1" applyAlignment="1">
      <alignment horizontal="center" vertical="center"/>
    </xf>
    <xf numFmtId="0" fontId="16" fillId="0" borderId="36" xfId="6" applyFont="1" applyBorder="1" applyAlignment="1">
      <alignment horizontal="left" vertical="center"/>
    </xf>
    <xf numFmtId="168" fontId="26" fillId="0" borderId="56" xfId="6" applyNumberFormat="1" applyFont="1" applyBorder="1" applyAlignment="1">
      <alignment horizontal="center" vertical="center"/>
    </xf>
    <xf numFmtId="168" fontId="26" fillId="0" borderId="1" xfId="6" applyNumberFormat="1" applyFont="1" applyBorder="1" applyAlignment="1">
      <alignment horizontal="center" vertical="center"/>
    </xf>
    <xf numFmtId="1" fontId="26" fillId="11" borderId="1" xfId="6" applyNumberFormat="1" applyFont="1" applyFill="1" applyBorder="1" applyAlignment="1">
      <alignment horizontal="center" vertical="center"/>
    </xf>
    <xf numFmtId="1" fontId="26" fillId="0" borderId="57" xfId="6" applyNumberFormat="1" applyFont="1" applyBorder="1" applyAlignment="1">
      <alignment horizontal="center" vertical="center"/>
    </xf>
    <xf numFmtId="1" fontId="26" fillId="11" borderId="59" xfId="6" applyNumberFormat="1" applyFont="1" applyFill="1" applyBorder="1" applyAlignment="1">
      <alignment horizontal="center" vertical="center"/>
    </xf>
    <xf numFmtId="1" fontId="26" fillId="0" borderId="60" xfId="6" applyNumberFormat="1" applyFont="1" applyBorder="1" applyAlignment="1">
      <alignment horizontal="center" vertical="center"/>
    </xf>
    <xf numFmtId="0" fontId="16" fillId="0" borderId="0" xfId="6" applyFont="1" applyAlignment="1">
      <alignment horizontal="right" vertical="center"/>
    </xf>
    <xf numFmtId="2" fontId="16" fillId="0" borderId="0" xfId="9" applyNumberFormat="1" applyFont="1" applyBorder="1" applyAlignment="1">
      <alignment horizontal="center" vertical="center"/>
    </xf>
    <xf numFmtId="2" fontId="16" fillId="0" borderId="0" xfId="6" applyNumberFormat="1" applyFont="1" applyAlignment="1">
      <alignment horizontal="center" vertical="center"/>
    </xf>
    <xf numFmtId="0" fontId="16" fillId="0" borderId="36" xfId="6" applyFont="1" applyBorder="1" applyAlignment="1">
      <alignment horizontal="center" vertical="center"/>
    </xf>
    <xf numFmtId="0" fontId="29" fillId="0" borderId="0" xfId="6" applyFont="1" applyAlignment="1">
      <alignment horizontal="center" vertical="center"/>
    </xf>
    <xf numFmtId="0" fontId="25" fillId="0" borderId="0" xfId="6" applyFont="1" applyAlignment="1">
      <alignment horizontal="center" vertical="center" wrapText="1"/>
    </xf>
    <xf numFmtId="0" fontId="25" fillId="11" borderId="56" xfId="6" applyFont="1" applyFill="1" applyBorder="1" applyAlignment="1">
      <alignment horizontal="center" vertical="center" wrapText="1"/>
    </xf>
    <xf numFmtId="0" fontId="25" fillId="11" borderId="57" xfId="6" applyFont="1" applyFill="1" applyBorder="1" applyAlignment="1">
      <alignment horizontal="center" vertical="center" wrapText="1"/>
    </xf>
    <xf numFmtId="1" fontId="26" fillId="0" borderId="0" xfId="6" applyNumberFormat="1" applyFont="1" applyAlignment="1">
      <alignment horizontal="center" vertical="center"/>
    </xf>
    <xf numFmtId="1" fontId="25" fillId="0" borderId="0" xfId="6" applyNumberFormat="1" applyFont="1" applyAlignment="1">
      <alignment horizontal="center" vertical="center"/>
    </xf>
    <xf numFmtId="0" fontId="25" fillId="11" borderId="12" xfId="6" applyFont="1" applyFill="1" applyBorder="1" applyAlignment="1">
      <alignment horizontal="centerContinuous" vertical="center"/>
    </xf>
    <xf numFmtId="170" fontId="26" fillId="14" borderId="110" xfId="9" applyNumberFormat="1" applyFont="1" applyFill="1" applyBorder="1" applyAlignment="1">
      <alignment horizontal="left" vertical="center"/>
    </xf>
    <xf numFmtId="0" fontId="2" fillId="0" borderId="90" xfId="6" applyFont="1" applyBorder="1"/>
    <xf numFmtId="1" fontId="26" fillId="0" borderId="60" xfId="9" applyNumberFormat="1" applyFont="1" applyFill="1" applyBorder="1" applyAlignment="1">
      <alignment horizontal="center" vertical="center"/>
    </xf>
    <xf numFmtId="14" fontId="26" fillId="0" borderId="60" xfId="9" applyNumberFormat="1" applyFont="1" applyFill="1" applyBorder="1" applyAlignment="1">
      <alignment horizontal="center" vertical="center"/>
    </xf>
    <xf numFmtId="170" fontId="26" fillId="14" borderId="75" xfId="9" applyNumberFormat="1" applyFont="1" applyFill="1" applyBorder="1" applyAlignment="1">
      <alignment horizontal="left" vertical="center"/>
    </xf>
    <xf numFmtId="0" fontId="2" fillId="0" borderId="76" xfId="6" applyFont="1" applyBorder="1"/>
    <xf numFmtId="170" fontId="26" fillId="13" borderId="75" xfId="9" applyNumberFormat="1" applyFont="1" applyFill="1" applyBorder="1" applyAlignment="1">
      <alignment horizontal="left" vertical="center"/>
    </xf>
    <xf numFmtId="170" fontId="26" fillId="13" borderId="77" xfId="9" applyNumberFormat="1" applyFont="1" applyFill="1" applyBorder="1" applyAlignment="1">
      <alignment horizontal="left" vertical="center"/>
    </xf>
    <xf numFmtId="0" fontId="2" fillId="0" borderId="80" xfId="6" applyFont="1" applyBorder="1"/>
    <xf numFmtId="170" fontId="26" fillId="13" borderId="111" xfId="9" applyNumberFormat="1" applyFont="1" applyFill="1" applyBorder="1" applyAlignment="1">
      <alignment horizontal="left" vertical="center"/>
    </xf>
    <xf numFmtId="0" fontId="2" fillId="0" borderId="93" xfId="6" applyFont="1" applyBorder="1"/>
    <xf numFmtId="0" fontId="16" fillId="0" borderId="79" xfId="10" applyFont="1" applyBorder="1"/>
    <xf numFmtId="0" fontId="16" fillId="0" borderId="80" xfId="10" applyFont="1" applyBorder="1"/>
    <xf numFmtId="0" fontId="35" fillId="0" borderId="36" xfId="10" applyFont="1" applyBorder="1" applyAlignment="1">
      <alignment horizontal="left" vertical="center"/>
    </xf>
    <xf numFmtId="0" fontId="25" fillId="0" borderId="0" xfId="10" applyFont="1" applyAlignment="1">
      <alignment horizontal="left" vertical="center"/>
    </xf>
    <xf numFmtId="0" fontId="16" fillId="0" borderId="0" xfId="10" applyFont="1"/>
    <xf numFmtId="0" fontId="16" fillId="0" borderId="35" xfId="10" applyFont="1" applyBorder="1"/>
    <xf numFmtId="0" fontId="22" fillId="0" borderId="0" xfId="10" applyFont="1" applyAlignment="1">
      <alignment horizontal="left" vertical="center" wrapText="1" indent="1"/>
    </xf>
    <xf numFmtId="0" fontId="37" fillId="0" borderId="0" xfId="10" applyFont="1" applyAlignment="1">
      <alignment horizontal="left" vertical="top"/>
    </xf>
    <xf numFmtId="0" fontId="38" fillId="0" borderId="36" xfId="10" applyFont="1" applyBorder="1" applyAlignment="1">
      <alignment horizontal="center" vertical="center" wrapText="1"/>
    </xf>
    <xf numFmtId="0" fontId="25" fillId="11" borderId="97" xfId="10" applyFont="1" applyFill="1" applyBorder="1" applyAlignment="1">
      <alignment horizontal="center" vertical="center" wrapText="1"/>
    </xf>
    <xf numFmtId="0" fontId="25" fillId="11" borderId="98" xfId="10" applyFont="1" applyFill="1" applyBorder="1" applyAlignment="1">
      <alignment horizontal="center" vertical="center" wrapText="1"/>
    </xf>
    <xf numFmtId="0" fontId="39" fillId="0" borderId="36" xfId="10" applyFont="1" applyBorder="1" applyAlignment="1">
      <alignment horizontal="right" vertical="center"/>
    </xf>
    <xf numFmtId="0" fontId="35" fillId="0" borderId="96" xfId="10" applyFont="1" applyBorder="1" applyAlignment="1">
      <alignment horizontal="center"/>
    </xf>
    <xf numFmtId="9" fontId="35" fillId="0" borderId="94" xfId="5" applyFont="1" applyFill="1" applyBorder="1" applyAlignment="1">
      <alignment horizontal="center"/>
    </xf>
    <xf numFmtId="0" fontId="37" fillId="0" borderId="0" xfId="10" applyFont="1" applyAlignment="1">
      <alignment horizontal="center"/>
    </xf>
    <xf numFmtId="0" fontId="16" fillId="0" borderId="0" xfId="10" applyFont="1" applyAlignment="1">
      <alignment horizontal="right"/>
    </xf>
    <xf numFmtId="0" fontId="40" fillId="0" borderId="36" xfId="10" applyFont="1" applyBorder="1" applyAlignment="1">
      <alignment horizontal="right"/>
    </xf>
    <xf numFmtId="0" fontId="25" fillId="11" borderId="95" xfId="10" applyFont="1" applyFill="1" applyBorder="1" applyAlignment="1">
      <alignment horizontal="center" vertical="center" wrapText="1"/>
    </xf>
    <xf numFmtId="0" fontId="37" fillId="0" borderId="102" xfId="10" applyFont="1" applyBorder="1" applyAlignment="1">
      <alignment horizontal="center" vertical="center"/>
    </xf>
    <xf numFmtId="0" fontId="35" fillId="0" borderId="96" xfId="11" applyNumberFormat="1" applyFont="1" applyFill="1" applyBorder="1" applyAlignment="1">
      <alignment horizontal="center" vertical="center"/>
    </xf>
    <xf numFmtId="0" fontId="37" fillId="0" borderId="96" xfId="10" applyFont="1" applyBorder="1" applyAlignment="1">
      <alignment horizontal="center" vertical="center"/>
    </xf>
    <xf numFmtId="9" fontId="35" fillId="0" borderId="94" xfId="11" applyFont="1" applyFill="1" applyBorder="1" applyAlignment="1">
      <alignment horizontal="center" vertical="center"/>
    </xf>
    <xf numFmtId="0" fontId="29" fillId="0" borderId="0" xfId="10" applyFont="1" applyAlignment="1">
      <alignment horizontal="center"/>
    </xf>
    <xf numFmtId="0" fontId="37" fillId="0" borderId="0" xfId="10" applyFont="1" applyAlignment="1">
      <alignment horizontal="center" vertical="center"/>
    </xf>
    <xf numFmtId="0" fontId="35" fillId="0" borderId="0" xfId="11" applyNumberFormat="1" applyFont="1" applyFill="1" applyBorder="1" applyAlignment="1">
      <alignment horizontal="center" vertical="center"/>
    </xf>
    <xf numFmtId="10" fontId="35" fillId="0" borderId="0" xfId="11" applyNumberFormat="1" applyFont="1" applyFill="1" applyBorder="1" applyAlignment="1">
      <alignment horizontal="center" vertical="center"/>
    </xf>
    <xf numFmtId="0" fontId="29" fillId="0" borderId="35" xfId="10" applyFont="1" applyBorder="1" applyAlignment="1">
      <alignment horizontal="center"/>
    </xf>
    <xf numFmtId="0" fontId="16" fillId="0" borderId="0" xfId="10" applyFont="1" applyAlignment="1">
      <alignment horizontal="center"/>
    </xf>
    <xf numFmtId="0" fontId="16" fillId="0" borderId="35" xfId="10" applyFont="1" applyBorder="1" applyAlignment="1">
      <alignment horizontal="right"/>
    </xf>
    <xf numFmtId="0" fontId="38" fillId="0" borderId="36" xfId="10" applyFont="1" applyBorder="1" applyAlignment="1">
      <alignment horizontal="right" vertical="center"/>
    </xf>
    <xf numFmtId="0" fontId="25" fillId="11" borderId="8" xfId="10" applyFont="1" applyFill="1" applyBorder="1" applyAlignment="1">
      <alignment horizontal="center" vertical="center" wrapText="1"/>
    </xf>
    <xf numFmtId="0" fontId="25" fillId="11" borderId="9" xfId="10" applyFont="1" applyFill="1" applyBorder="1" applyAlignment="1">
      <alignment horizontal="center" vertical="center" wrapText="1"/>
    </xf>
    <xf numFmtId="0" fontId="25" fillId="11" borderId="10" xfId="10" applyFont="1" applyFill="1" applyBorder="1" applyAlignment="1">
      <alignment horizontal="center" vertical="center" wrapText="1"/>
    </xf>
    <xf numFmtId="0" fontId="37" fillId="0" borderId="0" xfId="10" applyFont="1" applyAlignment="1">
      <alignment vertical="top"/>
    </xf>
    <xf numFmtId="0" fontId="37" fillId="0" borderId="58" xfId="10" applyFont="1" applyBorder="1" applyAlignment="1">
      <alignment horizontal="center" vertical="center"/>
    </xf>
    <xf numFmtId="0" fontId="37" fillId="0" borderId="59" xfId="10" applyFont="1" applyBorder="1" applyAlignment="1">
      <alignment horizontal="center" vertical="center"/>
    </xf>
    <xf numFmtId="0" fontId="37" fillId="0" borderId="60" xfId="10" applyFont="1" applyBorder="1" applyAlignment="1">
      <alignment horizontal="center" vertical="center"/>
    </xf>
    <xf numFmtId="14" fontId="28" fillId="0" borderId="79" xfId="6" applyNumberFormat="1" applyFont="1" applyBorder="1" applyAlignment="1">
      <alignment vertical="top" wrapText="1"/>
    </xf>
    <xf numFmtId="14" fontId="28" fillId="0" borderId="80" xfId="6" applyNumberFormat="1" applyFont="1" applyBorder="1" applyAlignment="1">
      <alignment vertical="top" wrapText="1"/>
    </xf>
    <xf numFmtId="14" fontId="28" fillId="0" borderId="35" xfId="6" applyNumberFormat="1" applyFont="1" applyBorder="1" applyAlignment="1">
      <alignment vertical="top" wrapText="1"/>
    </xf>
    <xf numFmtId="14" fontId="22" fillId="7" borderId="0" xfId="6" applyNumberFormat="1" applyFont="1" applyFill="1" applyAlignment="1">
      <alignment horizontal="left" vertical="top" wrapText="1"/>
    </xf>
    <xf numFmtId="14" fontId="28" fillId="0" borderId="113" xfId="6" applyNumberFormat="1" applyFont="1" applyBorder="1" applyAlignment="1">
      <alignment vertical="top" wrapText="1"/>
    </xf>
    <xf numFmtId="14" fontId="28" fillId="7" borderId="0" xfId="6" applyNumberFormat="1" applyFont="1" applyFill="1" applyAlignment="1">
      <alignment vertical="top" wrapText="1"/>
    </xf>
    <xf numFmtId="14" fontId="28" fillId="0" borderId="82" xfId="6" applyNumberFormat="1" applyFont="1" applyBorder="1" applyAlignment="1">
      <alignment vertical="top" wrapText="1"/>
    </xf>
    <xf numFmtId="14" fontId="41" fillId="10" borderId="79" xfId="6" applyNumberFormat="1" applyFont="1" applyFill="1" applyBorder="1" applyAlignment="1">
      <alignment vertical="top" wrapText="1"/>
    </xf>
    <xf numFmtId="14" fontId="41" fillId="10" borderId="108" xfId="6" applyNumberFormat="1" applyFont="1" applyFill="1" applyBorder="1" applyAlignment="1">
      <alignment vertical="top" wrapText="1"/>
    </xf>
    <xf numFmtId="0" fontId="2" fillId="0" borderId="36" xfId="6" applyFont="1" applyBorder="1"/>
    <xf numFmtId="0" fontId="2" fillId="0" borderId="35" xfId="6" applyFont="1" applyBorder="1"/>
    <xf numFmtId="14" fontId="28" fillId="0" borderId="0" xfId="6" applyNumberFormat="1" applyFont="1" applyAlignment="1">
      <alignment vertical="top" wrapText="1"/>
    </xf>
    <xf numFmtId="0" fontId="2" fillId="10" borderId="114" xfId="6" applyFont="1" applyFill="1" applyBorder="1"/>
    <xf numFmtId="0" fontId="2" fillId="10" borderId="115" xfId="6" applyFont="1" applyFill="1" applyBorder="1"/>
    <xf numFmtId="0" fontId="2" fillId="0" borderId="116" xfId="6" applyFont="1" applyBorder="1"/>
    <xf numFmtId="0" fontId="42" fillId="2" borderId="1" xfId="0" applyFont="1" applyFill="1" applyBorder="1"/>
    <xf numFmtId="14" fontId="28" fillId="5" borderId="1" xfId="0" applyNumberFormat="1" applyFont="1" applyFill="1" applyBorder="1" applyAlignment="1">
      <alignment horizontal="center"/>
    </xf>
    <xf numFmtId="0" fontId="25" fillId="0" borderId="8" xfId="6" applyFont="1" applyBorder="1" applyAlignment="1">
      <alignment horizontal="center" vertical="center" wrapText="1"/>
    </xf>
    <xf numFmtId="0" fontId="25" fillId="0" borderId="9" xfId="6" applyFont="1" applyBorder="1" applyAlignment="1">
      <alignment horizontal="center" vertical="center" wrapText="1"/>
    </xf>
    <xf numFmtId="0" fontId="25" fillId="0" borderId="10" xfId="6" applyFont="1" applyBorder="1" applyAlignment="1">
      <alignment horizontal="center" vertical="center" wrapText="1"/>
    </xf>
    <xf numFmtId="0" fontId="38" fillId="0" borderId="114" xfId="10" applyFont="1" applyBorder="1" applyAlignment="1">
      <alignment horizontal="right" vertical="center"/>
    </xf>
    <xf numFmtId="0" fontId="37" fillId="0" borderId="115" xfId="10" applyFont="1" applyBorder="1" applyAlignment="1">
      <alignment vertical="top"/>
    </xf>
    <xf numFmtId="0" fontId="16" fillId="0" borderId="116" xfId="10" applyFont="1" applyBorder="1" applyAlignment="1">
      <alignment horizontal="right"/>
    </xf>
    <xf numFmtId="0" fontId="28" fillId="0" borderId="53" xfId="6" applyFont="1" applyBorder="1"/>
    <xf numFmtId="0" fontId="25" fillId="0" borderId="54" xfId="8" applyFont="1" applyBorder="1" applyAlignment="1">
      <alignment vertical="top" wrapText="1"/>
    </xf>
    <xf numFmtId="0" fontId="16" fillId="0" borderId="54" xfId="6" applyFont="1" applyBorder="1"/>
    <xf numFmtId="0" fontId="16" fillId="0" borderId="55" xfId="6" applyFont="1" applyBorder="1"/>
    <xf numFmtId="0" fontId="16" fillId="0" borderId="114" xfId="6" applyFont="1" applyBorder="1" applyAlignment="1">
      <alignment vertical="center"/>
    </xf>
    <xf numFmtId="0" fontId="26" fillId="0" borderId="115" xfId="6" applyFont="1" applyBorder="1" applyAlignment="1">
      <alignment horizontal="right"/>
    </xf>
    <xf numFmtId="0" fontId="26" fillId="0" borderId="115" xfId="6" applyFont="1" applyBorder="1" applyAlignment="1">
      <alignment horizontal="center" vertical="center"/>
    </xf>
    <xf numFmtId="0" fontId="24" fillId="0" borderId="115" xfId="8" applyFont="1" applyBorder="1"/>
    <xf numFmtId="0" fontId="24" fillId="0" borderId="116" xfId="8" applyFont="1" applyBorder="1"/>
    <xf numFmtId="0" fontId="16" fillId="0" borderId="114" xfId="6" applyFont="1" applyBorder="1" applyAlignment="1">
      <alignment horizontal="right" vertical="center"/>
    </xf>
    <xf numFmtId="0" fontId="16" fillId="0" borderId="92" xfId="6" applyFont="1" applyBorder="1" applyAlignment="1">
      <alignment horizontal="right" vertical="center"/>
    </xf>
    <xf numFmtId="0" fontId="19" fillId="7" borderId="92" xfId="3" applyFont="1" applyFill="1" applyBorder="1" applyAlignment="1">
      <alignment horizontal="center"/>
    </xf>
    <xf numFmtId="0" fontId="19" fillId="7" borderId="92" xfId="3" applyFont="1" applyFill="1" applyBorder="1" applyAlignment="1">
      <alignment horizontal="center" shrinkToFit="1"/>
    </xf>
    <xf numFmtId="0" fontId="30" fillId="0" borderId="115" xfId="8" applyFont="1" applyBorder="1" applyAlignment="1">
      <alignment vertical="top" wrapText="1"/>
    </xf>
    <xf numFmtId="0" fontId="30" fillId="0" borderId="116" xfId="8" applyFont="1" applyBorder="1" applyAlignment="1">
      <alignment vertical="top" wrapText="1"/>
    </xf>
    <xf numFmtId="14" fontId="28" fillId="0" borderId="115" xfId="6" applyNumberFormat="1" applyFont="1" applyBorder="1" applyAlignment="1">
      <alignment vertical="top" wrapText="1"/>
    </xf>
    <xf numFmtId="3" fontId="16" fillId="0" borderId="115" xfId="6" applyNumberFormat="1" applyFont="1" applyBorder="1" applyAlignment="1">
      <alignment horizontal="center" vertical="center"/>
    </xf>
    <xf numFmtId="1" fontId="16" fillId="0" borderId="115" xfId="6" applyNumberFormat="1" applyFont="1" applyBorder="1" applyAlignment="1">
      <alignment horizontal="center" vertical="center"/>
    </xf>
    <xf numFmtId="0" fontId="16" fillId="0" borderId="115" xfId="6" applyFont="1" applyBorder="1" applyAlignment="1">
      <alignment horizontal="center" vertical="center"/>
    </xf>
    <xf numFmtId="0" fontId="16" fillId="0" borderId="116" xfId="6" applyFont="1" applyBorder="1" applyAlignment="1">
      <alignment horizontal="center" vertical="center"/>
    </xf>
    <xf numFmtId="0" fontId="2" fillId="0" borderId="114" xfId="6" applyFont="1" applyBorder="1"/>
    <xf numFmtId="0" fontId="2" fillId="0" borderId="115" xfId="6" applyFont="1" applyBorder="1"/>
    <xf numFmtId="43" fontId="0" fillId="6" borderId="38" xfId="1" applyFont="1" applyFill="1" applyBorder="1"/>
    <xf numFmtId="43" fontId="0" fillId="6" borderId="41" xfId="1" applyFont="1" applyFill="1" applyBorder="1"/>
    <xf numFmtId="43" fontId="0" fillId="6" borderId="33" xfId="1" applyFont="1" applyFill="1" applyBorder="1"/>
    <xf numFmtId="2" fontId="26" fillId="15" borderId="98" xfId="6" applyNumberFormat="1" applyFont="1" applyFill="1" applyBorder="1" applyAlignment="1">
      <alignment horizontal="center" vertical="center"/>
    </xf>
    <xf numFmtId="2" fontId="26" fillId="15" borderId="97" xfId="6" applyNumberFormat="1" applyFont="1" applyFill="1" applyBorder="1" applyAlignment="1">
      <alignment horizontal="center" vertical="center"/>
    </xf>
    <xf numFmtId="2" fontId="26" fillId="15" borderId="96" xfId="6" applyNumberFormat="1" applyFont="1" applyFill="1" applyBorder="1" applyAlignment="1">
      <alignment horizontal="center" vertical="center"/>
    </xf>
    <xf numFmtId="2" fontId="26" fillId="15" borderId="95" xfId="6" applyNumberFormat="1" applyFont="1" applyFill="1" applyBorder="1" applyAlignment="1">
      <alignment horizontal="center" vertical="center"/>
    </xf>
    <xf numFmtId="0" fontId="26" fillId="15" borderId="0" xfId="8" applyFont="1" applyFill="1" applyAlignment="1">
      <alignment horizontal="right"/>
    </xf>
    <xf numFmtId="0" fontId="26" fillId="15" borderId="36" xfId="6" applyFont="1" applyFill="1" applyBorder="1" applyAlignment="1">
      <alignment horizontal="right" vertical="center"/>
    </xf>
    <xf numFmtId="0" fontId="26" fillId="15" borderId="94" xfId="6" applyFont="1" applyFill="1" applyBorder="1" applyAlignment="1">
      <alignment horizontal="center" vertical="center"/>
    </xf>
    <xf numFmtId="1" fontId="26" fillId="15" borderId="59" xfId="6" applyNumberFormat="1" applyFont="1" applyFill="1" applyBorder="1" applyAlignment="1">
      <alignment horizontal="center" vertical="center"/>
    </xf>
    <xf numFmtId="1" fontId="26" fillId="15" borderId="91" xfId="6" applyNumberFormat="1" applyFont="1" applyFill="1" applyBorder="1" applyAlignment="1">
      <alignment horizontal="center" vertical="center"/>
    </xf>
    <xf numFmtId="1" fontId="26" fillId="15" borderId="92" xfId="6" applyNumberFormat="1" applyFont="1" applyFill="1" applyBorder="1" applyAlignment="1">
      <alignment horizontal="center" vertical="center"/>
    </xf>
    <xf numFmtId="1" fontId="26" fillId="15" borderId="58" xfId="6" applyNumberFormat="1" applyFont="1" applyFill="1" applyBorder="1" applyAlignment="1">
      <alignment horizontal="center" vertical="center"/>
    </xf>
    <xf numFmtId="0" fontId="26" fillId="15" borderId="57" xfId="6" applyFont="1" applyFill="1" applyBorder="1" applyAlignment="1">
      <alignment horizontal="center" vertical="center"/>
    </xf>
    <xf numFmtId="1" fontId="26" fillId="15" borderId="1" xfId="6" applyNumberFormat="1" applyFont="1" applyFill="1" applyBorder="1" applyAlignment="1">
      <alignment horizontal="center" vertical="center"/>
    </xf>
    <xf numFmtId="1" fontId="26" fillId="15" borderId="2" xfId="6" applyNumberFormat="1" applyFont="1" applyFill="1" applyBorder="1" applyAlignment="1">
      <alignment horizontal="center" vertical="center"/>
    </xf>
    <xf numFmtId="1" fontId="26" fillId="15" borderId="4" xfId="6" applyNumberFormat="1" applyFont="1" applyFill="1" applyBorder="1" applyAlignment="1">
      <alignment horizontal="center" vertical="center"/>
    </xf>
    <xf numFmtId="1" fontId="26" fillId="15" borderId="56" xfId="6" applyNumberFormat="1" applyFont="1" applyFill="1" applyBorder="1" applyAlignment="1">
      <alignment horizontal="center" vertical="center"/>
    </xf>
    <xf numFmtId="14" fontId="25" fillId="15" borderId="57" xfId="6" applyNumberFormat="1" applyFont="1" applyFill="1" applyBorder="1" applyAlignment="1">
      <alignment horizontal="center" vertical="center"/>
    </xf>
    <xf numFmtId="14" fontId="25" fillId="15" borderId="1" xfId="6" applyNumberFormat="1" applyFont="1" applyFill="1" applyBorder="1" applyAlignment="1">
      <alignment horizontal="center" vertical="center"/>
    </xf>
    <xf numFmtId="14" fontId="25" fillId="15" borderId="56" xfId="6" applyNumberFormat="1" applyFont="1" applyFill="1" applyBorder="1" applyAlignment="1">
      <alignment horizontal="center" vertical="center"/>
    </xf>
    <xf numFmtId="0" fontId="25" fillId="15" borderId="10" xfId="6" applyFont="1" applyFill="1" applyBorder="1" applyAlignment="1">
      <alignment horizontal="center" vertical="center" wrapText="1"/>
    </xf>
    <xf numFmtId="0" fontId="25" fillId="15" borderId="9" xfId="6" applyFont="1" applyFill="1" applyBorder="1" applyAlignment="1">
      <alignment horizontal="center" vertical="center" wrapText="1"/>
    </xf>
    <xf numFmtId="0" fontId="25" fillId="15" borderId="8" xfId="6" applyFont="1" applyFill="1" applyBorder="1" applyAlignment="1">
      <alignment horizontal="center" vertical="center" wrapText="1"/>
    </xf>
    <xf numFmtId="43" fontId="26" fillId="0" borderId="56" xfId="1" applyFont="1" applyFill="1" applyBorder="1" applyAlignment="1">
      <alignment horizontal="center" vertical="center"/>
    </xf>
    <xf numFmtId="43" fontId="26" fillId="0" borderId="1" xfId="1" applyFont="1" applyFill="1" applyBorder="1" applyAlignment="1">
      <alignment horizontal="center" vertical="center"/>
    </xf>
    <xf numFmtId="43" fontId="26" fillId="0" borderId="83" xfId="1" applyFont="1" applyBorder="1" applyAlignment="1">
      <alignment horizontal="center" vertical="center"/>
    </xf>
    <xf numFmtId="43" fontId="26" fillId="0" borderId="84" xfId="1" applyFont="1" applyBorder="1" applyAlignment="1">
      <alignment horizontal="center" vertical="center"/>
    </xf>
    <xf numFmtId="43" fontId="25" fillId="0" borderId="85" xfId="1" applyFont="1" applyBorder="1" applyAlignment="1">
      <alignment horizontal="center" vertical="center"/>
    </xf>
    <xf numFmtId="43" fontId="25" fillId="0" borderId="86" xfId="1" applyFont="1" applyBorder="1" applyAlignment="1">
      <alignment horizontal="center" vertical="center"/>
    </xf>
    <xf numFmtId="43" fontId="26" fillId="0" borderId="1" xfId="1" applyFont="1" applyBorder="1" applyAlignment="1">
      <alignment horizontal="center" vertical="center"/>
    </xf>
    <xf numFmtId="43" fontId="26" fillId="0" borderId="57" xfId="1" applyFont="1" applyBorder="1" applyAlignment="1">
      <alignment horizontal="center" vertical="center"/>
    </xf>
    <xf numFmtId="0" fontId="2" fillId="0" borderId="0" xfId="0" applyFont="1"/>
    <xf numFmtId="2" fontId="26" fillId="0" borderId="58" xfId="9" applyNumberFormat="1" applyFont="1" applyBorder="1" applyAlignment="1">
      <alignment horizontal="center" vertical="center"/>
    </xf>
    <xf numFmtId="14" fontId="26" fillId="0" borderId="58" xfId="9" applyNumberFormat="1" applyFont="1" applyBorder="1" applyAlignment="1">
      <alignment horizontal="center" vertical="center"/>
    </xf>
    <xf numFmtId="1" fontId="26" fillId="0" borderId="58" xfId="9" applyNumberFormat="1" applyFont="1" applyBorder="1" applyAlignment="1">
      <alignment horizontal="center" vertical="center"/>
    </xf>
    <xf numFmtId="14" fontId="37" fillId="0" borderId="58" xfId="10" applyNumberFormat="1" applyFont="1" applyBorder="1" applyAlignment="1">
      <alignment horizontal="center" vertical="center"/>
    </xf>
    <xf numFmtId="2" fontId="26" fillId="0" borderId="102" xfId="6" applyNumberFormat="1" applyFont="1" applyBorder="1" applyAlignment="1">
      <alignment horizontal="center" vertical="center"/>
    </xf>
    <xf numFmtId="2" fontId="26" fillId="0" borderId="94" xfId="6" applyNumberFormat="1" applyFont="1" applyBorder="1" applyAlignment="1">
      <alignment horizontal="center" vertical="center"/>
    </xf>
    <xf numFmtId="0" fontId="28" fillId="10" borderId="82" xfId="6" applyFont="1" applyFill="1" applyBorder="1" applyAlignment="1">
      <alignment vertical="top" wrapText="1"/>
    </xf>
    <xf numFmtId="9" fontId="0" fillId="0" borderId="1" xfId="2" applyFont="1" applyFill="1" applyBorder="1" applyAlignment="1">
      <alignment horizontal="center"/>
    </xf>
    <xf numFmtId="14" fontId="25" fillId="0" borderId="15" xfId="6" applyNumberFormat="1" applyFont="1" applyBorder="1" applyAlignment="1">
      <alignment horizontal="center" vertical="center"/>
    </xf>
    <xf numFmtId="14" fontId="25" fillId="0" borderId="16" xfId="6" applyNumberFormat="1" applyFont="1" applyBorder="1" applyAlignment="1">
      <alignment horizontal="center" vertical="center"/>
    </xf>
    <xf numFmtId="14" fontId="25" fillId="0" borderId="17" xfId="6" applyNumberFormat="1" applyFont="1" applyBorder="1" applyAlignment="1">
      <alignment horizontal="center" vertical="center"/>
    </xf>
    <xf numFmtId="0" fontId="7" fillId="0" borderId="90" xfId="3" applyBorder="1" applyAlignment="1">
      <alignment horizontal="center"/>
    </xf>
    <xf numFmtId="14" fontId="9" fillId="2" borderId="79" xfId="3" applyNumberFormat="1" applyFont="1" applyFill="1" applyBorder="1" applyAlignment="1">
      <alignment horizontal="center" vertical="center" textRotation="90"/>
    </xf>
    <xf numFmtId="43" fontId="0" fillId="0" borderId="125" xfId="4" applyFont="1" applyBorder="1"/>
    <xf numFmtId="165" fontId="0" fillId="0" borderId="38" xfId="5" applyNumberFormat="1" applyFont="1" applyBorder="1"/>
    <xf numFmtId="165" fontId="0" fillId="0" borderId="41" xfId="5" applyNumberFormat="1" applyFont="1" applyBorder="1"/>
    <xf numFmtId="2" fontId="0" fillId="0" borderId="126" xfId="4" applyNumberFormat="1" applyFont="1" applyBorder="1"/>
    <xf numFmtId="164" fontId="0" fillId="0" borderId="124" xfId="4" applyNumberFormat="1" applyFont="1" applyBorder="1" applyAlignment="1">
      <alignment horizontal="center" vertical="center"/>
    </xf>
    <xf numFmtId="166" fontId="11" fillId="0" borderId="19" xfId="5" applyNumberFormat="1" applyFont="1" applyBorder="1"/>
    <xf numFmtId="166" fontId="11" fillId="0" borderId="25" xfId="5" applyNumberFormat="1" applyFont="1" applyBorder="1"/>
    <xf numFmtId="166" fontId="11" fillId="0" borderId="30" xfId="5" applyNumberFormat="1" applyFont="1" applyBorder="1"/>
    <xf numFmtId="165" fontId="11" fillId="0" borderId="48" xfId="5" applyNumberFormat="1" applyFont="1" applyBorder="1"/>
    <xf numFmtId="0" fontId="7" fillId="7" borderId="1" xfId="3" applyFill="1" applyBorder="1"/>
    <xf numFmtId="2" fontId="0" fillId="0" borderId="33" xfId="4" applyNumberFormat="1" applyFont="1" applyBorder="1"/>
    <xf numFmtId="164" fontId="0" fillId="6" borderId="124" xfId="4" applyNumberFormat="1" applyFont="1" applyFill="1" applyBorder="1"/>
    <xf numFmtId="164" fontId="0" fillId="6" borderId="125" xfId="4" applyNumberFormat="1" applyFont="1" applyFill="1" applyBorder="1"/>
    <xf numFmtId="1" fontId="0" fillId="6" borderId="126" xfId="5" applyNumberFormat="1" applyFont="1" applyFill="1" applyBorder="1"/>
    <xf numFmtId="2" fontId="0" fillId="0" borderId="1" xfId="4" applyNumberFormat="1" applyFont="1" applyBorder="1"/>
    <xf numFmtId="9" fontId="0" fillId="0" borderId="41" xfId="5" applyFont="1" applyBorder="1"/>
    <xf numFmtId="9" fontId="0" fillId="6" borderId="19" xfId="5" applyFont="1" applyFill="1" applyBorder="1"/>
    <xf numFmtId="9" fontId="0" fillId="6" borderId="25" xfId="5" applyFont="1" applyFill="1" applyBorder="1"/>
    <xf numFmtId="9" fontId="0" fillId="6" borderId="127" xfId="5" applyFont="1" applyFill="1" applyBorder="1"/>
    <xf numFmtId="9" fontId="0" fillId="6" borderId="30" xfId="5" applyFont="1" applyFill="1" applyBorder="1"/>
    <xf numFmtId="2" fontId="0" fillId="6" borderId="30" xfId="5" applyNumberFormat="1" applyFont="1" applyFill="1" applyBorder="1"/>
    <xf numFmtId="164" fontId="0" fillId="0" borderId="1" xfId="4" applyNumberFormat="1" applyFont="1" applyBorder="1" applyAlignment="1">
      <alignment horizontal="center" vertical="center"/>
    </xf>
    <xf numFmtId="1" fontId="0" fillId="6" borderId="30" xfId="5" applyNumberFormat="1" applyFont="1" applyFill="1" applyBorder="1"/>
    <xf numFmtId="14" fontId="9" fillId="16" borderId="17" xfId="3" applyNumberFormat="1" applyFont="1" applyFill="1" applyBorder="1" applyAlignment="1">
      <alignment horizontal="center" vertical="center" textRotation="90"/>
    </xf>
    <xf numFmtId="165" fontId="11" fillId="0" borderId="33" xfId="5" applyNumberFormat="1" applyFont="1" applyBorder="1"/>
    <xf numFmtId="10" fontId="0" fillId="6" borderId="25" xfId="4" applyNumberFormat="1" applyFont="1" applyFill="1" applyBorder="1"/>
    <xf numFmtId="166" fontId="0" fillId="6" borderId="30" xfId="5" applyNumberFormat="1" applyFont="1" applyFill="1" applyBorder="1"/>
    <xf numFmtId="165" fontId="11" fillId="0" borderId="128" xfId="5" applyNumberFormat="1" applyFont="1" applyBorder="1"/>
    <xf numFmtId="165" fontId="11" fillId="0" borderId="1" xfId="5" applyNumberFormat="1" applyFont="1" applyBorder="1"/>
    <xf numFmtId="43" fontId="0" fillId="6" borderId="19" xfId="4" applyFont="1" applyFill="1" applyBorder="1"/>
    <xf numFmtId="44" fontId="26" fillId="0" borderId="1" xfId="25" applyFont="1" applyFill="1" applyBorder="1" applyAlignment="1">
      <alignment horizontal="center" vertical="center" wrapText="1"/>
    </xf>
    <xf numFmtId="44" fontId="26" fillId="0" borderId="2" xfId="25" applyFont="1" applyFill="1" applyBorder="1" applyAlignment="1">
      <alignment horizontal="center" vertical="center"/>
    </xf>
    <xf numFmtId="44" fontId="26" fillId="0" borderId="5" xfId="25" applyFont="1" applyFill="1" applyBorder="1" applyAlignment="1">
      <alignment horizontal="center" vertical="center"/>
    </xf>
    <xf numFmtId="44" fontId="26" fillId="0" borderId="57" xfId="25" applyFont="1" applyFill="1" applyBorder="1" applyAlignment="1">
      <alignment horizontal="center" vertical="center"/>
    </xf>
    <xf numFmtId="44" fontId="26" fillId="0" borderId="101" xfId="25" applyFont="1" applyFill="1" applyBorder="1" applyAlignment="1">
      <alignment horizontal="center" vertical="center"/>
    </xf>
    <xf numFmtId="44" fontId="26" fillId="0" borderId="100" xfId="25" applyFont="1" applyFill="1" applyBorder="1" applyAlignment="1">
      <alignment horizontal="center" vertical="center"/>
    </xf>
    <xf numFmtId="0" fontId="26" fillId="0" borderId="107" xfId="9" applyNumberFormat="1" applyFont="1" applyFill="1" applyBorder="1" applyAlignment="1">
      <alignment horizontal="center" vertical="center"/>
    </xf>
    <xf numFmtId="0" fontId="26" fillId="0" borderId="81" xfId="9" applyNumberFormat="1" applyFont="1" applyFill="1" applyBorder="1" applyAlignment="1">
      <alignment horizontal="center" vertical="center" wrapText="1"/>
    </xf>
    <xf numFmtId="0" fontId="26" fillId="0" borderId="0" xfId="9" applyNumberFormat="1" applyFont="1" applyFill="1" applyBorder="1" applyAlignment="1">
      <alignment horizontal="center" vertical="center" wrapText="1"/>
    </xf>
    <xf numFmtId="14" fontId="26" fillId="0" borderId="109" xfId="9" applyNumberFormat="1" applyFont="1" applyFill="1" applyBorder="1" applyAlignment="1">
      <alignment horizontal="center" vertical="center"/>
    </xf>
    <xf numFmtId="14" fontId="26" fillId="0" borderId="81" xfId="9" applyNumberFormat="1" applyFont="1" applyFill="1" applyBorder="1" applyAlignment="1">
      <alignment horizontal="center" vertical="center"/>
    </xf>
    <xf numFmtId="44" fontId="26" fillId="0" borderId="81" xfId="25" applyFont="1" applyFill="1" applyBorder="1" applyAlignment="1">
      <alignment horizontal="center" vertical="center"/>
    </xf>
    <xf numFmtId="0" fontId="22" fillId="10" borderId="5" xfId="6" applyFont="1" applyFill="1" applyBorder="1" applyAlignment="1">
      <alignment vertical="top" wrapText="1"/>
    </xf>
    <xf numFmtId="0" fontId="22" fillId="10" borderId="6" xfId="6" applyFont="1" applyFill="1" applyBorder="1" applyAlignment="1">
      <alignment vertical="top" wrapText="1"/>
    </xf>
    <xf numFmtId="0" fontId="26" fillId="0" borderId="81" xfId="9" applyNumberFormat="1" applyFont="1" applyFill="1" applyBorder="1" applyAlignment="1">
      <alignment horizontal="center" vertical="center"/>
    </xf>
    <xf numFmtId="172" fontId="26" fillId="0" borderId="81" xfId="9" applyNumberFormat="1" applyFont="1" applyFill="1" applyBorder="1" applyAlignment="1">
      <alignment horizontal="center" vertical="center"/>
    </xf>
    <xf numFmtId="44" fontId="26" fillId="0" borderId="81" xfId="9" applyNumberFormat="1" applyFont="1" applyFill="1" applyBorder="1" applyAlignment="1">
      <alignment horizontal="center" vertical="center"/>
    </xf>
    <xf numFmtId="172" fontId="26" fillId="0" borderId="129" xfId="9" applyNumberFormat="1" applyFont="1" applyFill="1" applyBorder="1" applyAlignment="1">
      <alignment horizontal="center" vertical="center"/>
    </xf>
    <xf numFmtId="0" fontId="25" fillId="12" borderId="106" xfId="9" applyNumberFormat="1" applyFont="1" applyFill="1" applyBorder="1" applyAlignment="1">
      <alignment horizontal="center" vertical="center" wrapText="1"/>
    </xf>
    <xf numFmtId="0" fontId="25" fillId="12" borderId="115" xfId="9" applyNumberFormat="1" applyFont="1" applyFill="1" applyBorder="1" applyAlignment="1">
      <alignment horizontal="center" vertical="center"/>
    </xf>
    <xf numFmtId="14" fontId="25" fillId="12" borderId="123" xfId="9" applyNumberFormat="1" applyFont="1" applyFill="1" applyBorder="1" applyAlignment="1">
      <alignment horizontal="center" vertical="center"/>
    </xf>
    <xf numFmtId="14" fontId="22" fillId="10" borderId="78" xfId="6" applyNumberFormat="1" applyFont="1" applyFill="1" applyBorder="1" applyAlignment="1">
      <alignment vertical="top"/>
    </xf>
    <xf numFmtId="14" fontId="22" fillId="10" borderId="79" xfId="6" applyNumberFormat="1" applyFont="1" applyFill="1" applyBorder="1" applyAlignment="1">
      <alignment vertical="top"/>
    </xf>
    <xf numFmtId="14" fontId="22" fillId="10" borderId="108" xfId="6" applyNumberFormat="1" applyFont="1" applyFill="1" applyBorder="1" applyAlignment="1">
      <alignment vertical="top"/>
    </xf>
    <xf numFmtId="14" fontId="22" fillId="10" borderId="81" xfId="6" applyNumberFormat="1" applyFont="1" applyFill="1" applyBorder="1" applyAlignment="1">
      <alignment vertical="top"/>
    </xf>
    <xf numFmtId="14" fontId="22" fillId="10" borderId="0" xfId="6" applyNumberFormat="1" applyFont="1" applyFill="1" applyAlignment="1">
      <alignment vertical="top"/>
    </xf>
    <xf numFmtId="14" fontId="22" fillId="10" borderId="109" xfId="6" applyNumberFormat="1" applyFont="1" applyFill="1" applyBorder="1" applyAlignment="1">
      <alignment vertical="top"/>
    </xf>
    <xf numFmtId="14" fontId="22" fillId="10" borderId="5" xfId="6" applyNumberFormat="1" applyFont="1" applyFill="1" applyBorder="1" applyAlignment="1">
      <alignment vertical="top"/>
    </xf>
    <xf numFmtId="14" fontId="22" fillId="10" borderId="6" xfId="6" applyNumberFormat="1" applyFont="1" applyFill="1" applyBorder="1" applyAlignment="1">
      <alignment vertical="top"/>
    </xf>
    <xf numFmtId="14" fontId="22" fillId="10" borderId="7" xfId="6" applyNumberFormat="1" applyFont="1" applyFill="1" applyBorder="1" applyAlignment="1">
      <alignment vertical="top"/>
    </xf>
    <xf numFmtId="0" fontId="26" fillId="0" borderId="0" xfId="8" applyFont="1"/>
    <xf numFmtId="2" fontId="26" fillId="0" borderId="56" xfId="7" applyNumberFormat="1" applyFont="1" applyFill="1" applyBorder="1" applyAlignment="1">
      <alignment horizontal="center" vertical="center"/>
    </xf>
    <xf numFmtId="2" fontId="25" fillId="0" borderId="85" xfId="6" applyNumberFormat="1" applyFont="1" applyBorder="1" applyAlignment="1">
      <alignment horizontal="center" vertical="center"/>
    </xf>
    <xf numFmtId="14" fontId="25" fillId="0" borderId="56" xfId="6" applyNumberFormat="1" applyFont="1" applyBorder="1" applyAlignment="1">
      <alignment horizontal="center" vertical="center"/>
    </xf>
    <xf numFmtId="14" fontId="25" fillId="0" borderId="1" xfId="6" applyNumberFormat="1" applyFont="1" applyBorder="1" applyAlignment="1">
      <alignment horizontal="center" vertical="center"/>
    </xf>
    <xf numFmtId="14" fontId="25" fillId="0" borderId="57" xfId="6" applyNumberFormat="1" applyFont="1" applyBorder="1" applyAlignment="1">
      <alignment horizontal="center" vertical="center"/>
    </xf>
    <xf numFmtId="2" fontId="26" fillId="0" borderId="95" xfId="6" applyNumberFormat="1" applyFont="1" applyBorder="1" applyAlignment="1">
      <alignment horizontal="center" vertical="center"/>
    </xf>
    <xf numFmtId="0" fontId="26" fillId="0" borderId="94" xfId="6" applyFont="1" applyBorder="1" applyAlignment="1">
      <alignment horizontal="center" vertical="center"/>
    </xf>
    <xf numFmtId="2" fontId="26" fillId="0" borderId="97" xfId="6" applyNumberFormat="1" applyFont="1" applyBorder="1" applyAlignment="1">
      <alignment horizontal="center" vertical="center"/>
    </xf>
    <xf numFmtId="2" fontId="26" fillId="0" borderId="98" xfId="6" applyNumberFormat="1" applyFont="1" applyBorder="1" applyAlignment="1">
      <alignment horizontal="center" vertical="center"/>
    </xf>
    <xf numFmtId="168" fontId="26" fillId="0" borderId="58" xfId="6" applyNumberFormat="1" applyFont="1" applyBorder="1" applyAlignment="1">
      <alignment horizontal="center" vertical="center"/>
    </xf>
    <xf numFmtId="168" fontId="26" fillId="0" borderId="59" xfId="6" applyNumberFormat="1" applyFont="1" applyBorder="1" applyAlignment="1">
      <alignment horizontal="center" vertical="center"/>
    </xf>
    <xf numFmtId="1" fontId="26" fillId="0" borderId="4" xfId="6" applyNumberFormat="1" applyFont="1" applyBorder="1" applyAlignment="1">
      <alignment horizontal="center" vertical="center"/>
    </xf>
    <xf numFmtId="1" fontId="26" fillId="0" borderId="92" xfId="6" applyNumberFormat="1" applyFont="1" applyBorder="1" applyAlignment="1">
      <alignment horizontal="center" vertical="center"/>
    </xf>
    <xf numFmtId="1" fontId="26" fillId="0" borderId="2" xfId="6" applyNumberFormat="1" applyFont="1" applyBorder="1" applyAlignment="1">
      <alignment horizontal="center" vertical="center"/>
    </xf>
    <xf numFmtId="1" fontId="26" fillId="0" borderId="91" xfId="6" applyNumberFormat="1" applyFont="1" applyBorder="1" applyAlignment="1">
      <alignment horizontal="center" vertical="center"/>
    </xf>
    <xf numFmtId="2" fontId="26" fillId="0" borderId="83" xfId="6" applyNumberFormat="1" applyFont="1" applyBorder="1" applyAlignment="1">
      <alignment horizontal="center" vertical="center"/>
    </xf>
    <xf numFmtId="0" fontId="26" fillId="0" borderId="16" xfId="6" applyFont="1" applyBorder="1" applyAlignment="1">
      <alignment horizontal="center" vertical="center"/>
    </xf>
    <xf numFmtId="0" fontId="26" fillId="10" borderId="16" xfId="6" applyFont="1" applyFill="1" applyBorder="1" applyAlignment="1">
      <alignment horizontal="center" vertical="center"/>
    </xf>
    <xf numFmtId="0" fontId="26" fillId="10" borderId="17" xfId="6" applyFont="1" applyFill="1" applyBorder="1" applyAlignment="1">
      <alignment horizontal="center" vertical="center"/>
    </xf>
    <xf numFmtId="0" fontId="16" fillId="0" borderId="0" xfId="8" applyFont="1" applyAlignment="1">
      <alignment vertical="top" wrapText="1"/>
    </xf>
    <xf numFmtId="0" fontId="16" fillId="0" borderId="35" xfId="8" applyFont="1" applyBorder="1" applyAlignment="1">
      <alignment vertical="top" wrapText="1"/>
    </xf>
    <xf numFmtId="0" fontId="26" fillId="0" borderId="36" xfId="6" applyFont="1" applyBorder="1"/>
    <xf numFmtId="0" fontId="22" fillId="0" borderId="0" xfId="6" applyFont="1" applyAlignment="1">
      <alignment horizontal="left"/>
    </xf>
    <xf numFmtId="0" fontId="19" fillId="10" borderId="74" xfId="6" applyFont="1" applyFill="1" applyBorder="1"/>
    <xf numFmtId="14" fontId="41" fillId="10" borderId="0" xfId="6" applyNumberFormat="1" applyFont="1" applyFill="1" applyAlignment="1">
      <alignment vertical="top" wrapText="1"/>
    </xf>
    <xf numFmtId="14" fontId="41" fillId="10" borderId="109" xfId="6" applyNumberFormat="1" applyFont="1" applyFill="1" applyBorder="1" applyAlignment="1">
      <alignment vertical="top" wrapText="1"/>
    </xf>
    <xf numFmtId="14" fontId="41" fillId="10" borderId="6" xfId="6" applyNumberFormat="1" applyFont="1" applyFill="1" applyBorder="1" applyAlignment="1">
      <alignment vertical="top" wrapText="1"/>
    </xf>
    <xf numFmtId="14" fontId="41" fillId="10" borderId="7" xfId="6" applyNumberFormat="1" applyFont="1" applyFill="1" applyBorder="1" applyAlignment="1">
      <alignment vertical="top" wrapText="1"/>
    </xf>
    <xf numFmtId="2" fontId="24" fillId="0" borderId="0" xfId="6" applyNumberFormat="1" applyFont="1"/>
    <xf numFmtId="170" fontId="26" fillId="13" borderId="0" xfId="9" applyNumberFormat="1" applyFont="1" applyFill="1" applyBorder="1" applyAlignment="1">
      <alignment horizontal="left" vertical="center"/>
    </xf>
    <xf numFmtId="0" fontId="7" fillId="0" borderId="64" xfId="0" applyFont="1" applyBorder="1" applyAlignment="1">
      <alignment horizontal="center" vertical="center"/>
    </xf>
    <xf numFmtId="0" fontId="7" fillId="0" borderId="68" xfId="0" applyFont="1" applyBorder="1" applyAlignment="1">
      <alignment horizontal="center" vertical="center"/>
    </xf>
    <xf numFmtId="169" fontId="7" fillId="0" borderId="72" xfId="0" applyNumberFormat="1" applyFont="1" applyBorder="1" applyAlignment="1">
      <alignment horizontal="center" vertical="center"/>
    </xf>
    <xf numFmtId="0" fontId="8" fillId="7" borderId="0" xfId="0" applyFont="1" applyFill="1"/>
    <xf numFmtId="0" fontId="19" fillId="7" borderId="0" xfId="0" applyFont="1" applyFill="1" applyAlignment="1">
      <alignment horizontal="center"/>
    </xf>
    <xf numFmtId="0" fontId="19" fillId="7" borderId="0" xfId="0" applyFont="1" applyFill="1" applyAlignment="1">
      <alignment horizontal="center" shrinkToFit="1"/>
    </xf>
    <xf numFmtId="0" fontId="19" fillId="7" borderId="1" xfId="0" applyFont="1" applyFill="1" applyBorder="1" applyAlignment="1">
      <alignment horizontal="right"/>
    </xf>
    <xf numFmtId="16" fontId="19" fillId="8" borderId="1" xfId="0" applyNumberFormat="1" applyFont="1" applyFill="1" applyBorder="1" applyAlignment="1">
      <alignment horizontal="center"/>
    </xf>
    <xf numFmtId="0" fontId="19" fillId="8" borderId="1" xfId="0" applyFont="1" applyFill="1" applyBorder="1" applyAlignment="1">
      <alignment horizontal="center"/>
    </xf>
    <xf numFmtId="0" fontId="19" fillId="8" borderId="1" xfId="0" applyFont="1" applyFill="1" applyBorder="1" applyAlignment="1">
      <alignment horizontal="center" shrinkToFit="1"/>
    </xf>
    <xf numFmtId="9" fontId="19" fillId="8" borderId="1" xfId="0" applyNumberFormat="1" applyFont="1" applyFill="1" applyBorder="1" applyAlignment="1">
      <alignment horizontal="center"/>
    </xf>
    <xf numFmtId="9" fontId="19" fillId="8" borderId="1" xfId="0" applyNumberFormat="1" applyFont="1" applyFill="1" applyBorder="1" applyAlignment="1">
      <alignment horizontal="center" shrinkToFit="1"/>
    </xf>
    <xf numFmtId="0" fontId="19" fillId="7" borderId="1" xfId="0" applyFont="1" applyFill="1" applyBorder="1" applyAlignment="1">
      <alignment horizontal="center"/>
    </xf>
    <xf numFmtId="0" fontId="19" fillId="7" borderId="1" xfId="0" applyFont="1" applyFill="1" applyBorder="1" applyAlignment="1">
      <alignment horizontal="center" shrinkToFit="1"/>
    </xf>
    <xf numFmtId="165" fontId="11" fillId="0" borderId="2" xfId="5" applyNumberFormat="1" applyFont="1" applyBorder="1"/>
    <xf numFmtId="10" fontId="0" fillId="6" borderId="19" xfId="4" applyNumberFormat="1" applyFont="1" applyFill="1" applyBorder="1"/>
    <xf numFmtId="43" fontId="0" fillId="0" borderId="16" xfId="4" applyFont="1" applyFill="1" applyBorder="1"/>
    <xf numFmtId="9" fontId="0" fillId="0" borderId="16" xfId="5" applyFont="1" applyBorder="1"/>
    <xf numFmtId="2" fontId="0" fillId="0" borderId="38" xfId="5" applyNumberFormat="1" applyFont="1" applyBorder="1"/>
    <xf numFmtId="2" fontId="0" fillId="0" borderId="41" xfId="4" applyNumberFormat="1" applyFont="1" applyBorder="1"/>
    <xf numFmtId="2" fontId="0" fillId="13" borderId="33" xfId="4" applyNumberFormat="1" applyFont="1" applyFill="1" applyBorder="1"/>
    <xf numFmtId="43" fontId="48" fillId="0" borderId="59" xfId="4" applyFont="1" applyBorder="1"/>
    <xf numFmtId="43" fontId="48" fillId="0" borderId="9" xfId="4" applyFont="1" applyBorder="1"/>
    <xf numFmtId="43" fontId="48" fillId="0" borderId="1" xfId="4" applyFont="1" applyBorder="1"/>
    <xf numFmtId="165" fontId="48" fillId="0" borderId="9" xfId="5" applyNumberFormat="1" applyFont="1" applyBorder="1"/>
    <xf numFmtId="9" fontId="48" fillId="0" borderId="59" xfId="5" applyFont="1" applyBorder="1"/>
    <xf numFmtId="9" fontId="48" fillId="0" borderId="1" xfId="5" applyFont="1" applyBorder="1"/>
    <xf numFmtId="1" fontId="0" fillId="13" borderId="28" xfId="5" applyNumberFormat="1" applyFont="1" applyFill="1" applyBorder="1"/>
    <xf numFmtId="1" fontId="0" fillId="13" borderId="28" xfId="0" applyNumberFormat="1" applyFill="1" applyBorder="1"/>
    <xf numFmtId="1" fontId="0" fillId="13" borderId="28" xfId="4" applyNumberFormat="1" applyFont="1" applyFill="1" applyBorder="1"/>
    <xf numFmtId="2" fontId="0" fillId="0" borderId="28" xfId="4" applyNumberFormat="1" applyFont="1" applyBorder="1"/>
    <xf numFmtId="164" fontId="0" fillId="0" borderId="1" xfId="1" applyNumberFormat="1" applyFont="1" applyFill="1" applyBorder="1" applyAlignment="1">
      <alignment horizontal="center"/>
    </xf>
    <xf numFmtId="0" fontId="25" fillId="0" borderId="36" xfId="6" applyFont="1" applyBorder="1" applyAlignment="1">
      <alignment horizontal="left" vertical="center" indent="3"/>
    </xf>
    <xf numFmtId="0" fontId="25" fillId="0" borderId="35" xfId="6" applyFont="1" applyBorder="1" applyAlignment="1">
      <alignment horizontal="left" vertical="center" indent="3"/>
    </xf>
    <xf numFmtId="0" fontId="13" fillId="7" borderId="61" xfId="3" applyFont="1" applyFill="1" applyBorder="1" applyAlignment="1">
      <alignment horizontal="center" vertical="center"/>
    </xf>
    <xf numFmtId="0" fontId="13" fillId="7" borderId="62" xfId="3" applyFont="1" applyFill="1" applyBorder="1" applyAlignment="1">
      <alignment horizontal="center" vertical="center"/>
    </xf>
    <xf numFmtId="0" fontId="13" fillId="7" borderId="65" xfId="3" applyFont="1" applyFill="1" applyBorder="1" applyAlignment="1">
      <alignment horizontal="center" vertical="center"/>
    </xf>
    <xf numFmtId="0" fontId="13" fillId="7" borderId="66" xfId="3" applyFont="1" applyFill="1" applyBorder="1" applyAlignment="1">
      <alignment horizontal="center" vertical="center"/>
    </xf>
    <xf numFmtId="0" fontId="13" fillId="7" borderId="69" xfId="3" applyFont="1" applyFill="1" applyBorder="1" applyAlignment="1">
      <alignment horizontal="center" vertical="center"/>
    </xf>
    <xf numFmtId="0" fontId="13" fillId="7" borderId="70" xfId="3" applyFont="1" applyFill="1" applyBorder="1" applyAlignment="1">
      <alignment horizontal="center" vertical="center"/>
    </xf>
    <xf numFmtId="0" fontId="14" fillId="7" borderId="62" xfId="3" applyFont="1" applyFill="1" applyBorder="1" applyAlignment="1">
      <alignment horizontal="center" vertical="center" wrapText="1"/>
    </xf>
    <xf numFmtId="0" fontId="14" fillId="7" borderId="63" xfId="3" applyFont="1" applyFill="1" applyBorder="1" applyAlignment="1">
      <alignment horizontal="center" vertical="center" wrapText="1"/>
    </xf>
    <xf numFmtId="0" fontId="14" fillId="7" borderId="66" xfId="3" applyFont="1" applyFill="1" applyBorder="1" applyAlignment="1">
      <alignment horizontal="center" vertical="center" wrapText="1"/>
    </xf>
    <xf numFmtId="0" fontId="14" fillId="7" borderId="67" xfId="3" applyFont="1" applyFill="1" applyBorder="1" applyAlignment="1">
      <alignment horizontal="center" vertical="center" wrapText="1"/>
    </xf>
    <xf numFmtId="0" fontId="14" fillId="7" borderId="70" xfId="3" applyFont="1" applyFill="1" applyBorder="1" applyAlignment="1">
      <alignment horizontal="center" vertical="center" wrapText="1"/>
    </xf>
    <xf numFmtId="0" fontId="14" fillId="7" borderId="71" xfId="3" applyFont="1" applyFill="1" applyBorder="1" applyAlignment="1">
      <alignment horizontal="center" vertical="center" wrapText="1"/>
    </xf>
    <xf numFmtId="0" fontId="7" fillId="7" borderId="61" xfId="3" applyFill="1" applyBorder="1" applyAlignment="1">
      <alignment horizontal="center" vertical="center"/>
    </xf>
    <xf numFmtId="0" fontId="7" fillId="7" borderId="62" xfId="3" applyFill="1" applyBorder="1" applyAlignment="1">
      <alignment horizontal="center" vertical="center"/>
    </xf>
    <xf numFmtId="0" fontId="7" fillId="7" borderId="65" xfId="3" applyFill="1" applyBorder="1" applyAlignment="1">
      <alignment horizontal="center" vertical="center"/>
    </xf>
    <xf numFmtId="0" fontId="7" fillId="7" borderId="66" xfId="3" applyFill="1" applyBorder="1" applyAlignment="1">
      <alignment horizontal="center" vertical="center"/>
    </xf>
    <xf numFmtId="0" fontId="7" fillId="7" borderId="69" xfId="3" applyFill="1" applyBorder="1" applyAlignment="1">
      <alignment horizontal="center" vertical="center"/>
    </xf>
    <xf numFmtId="0" fontId="7" fillId="7" borderId="70" xfId="3" applyFill="1" applyBorder="1" applyAlignment="1">
      <alignment horizontal="center" vertical="center"/>
    </xf>
    <xf numFmtId="0" fontId="18" fillId="0" borderId="0" xfId="6" applyFont="1" applyAlignment="1">
      <alignment horizontal="right" vertical="center"/>
    </xf>
    <xf numFmtId="0" fontId="18" fillId="0" borderId="35" xfId="6" applyFont="1" applyBorder="1" applyAlignment="1">
      <alignment horizontal="right" vertical="center"/>
    </xf>
    <xf numFmtId="0" fontId="19" fillId="11" borderId="75" xfId="6" applyFont="1" applyFill="1" applyBorder="1" applyAlignment="1">
      <alignment horizontal="left"/>
    </xf>
    <xf numFmtId="0" fontId="19" fillId="11" borderId="4" xfId="6" applyFont="1" applyFill="1" applyBorder="1" applyAlignment="1">
      <alignment horizontal="left"/>
    </xf>
    <xf numFmtId="0" fontId="19" fillId="11" borderId="76" xfId="6" applyFont="1" applyFill="1" applyBorder="1" applyAlignment="1">
      <alignment horizontal="left"/>
    </xf>
    <xf numFmtId="170" fontId="21" fillId="10" borderId="78" xfId="6" applyNumberFormat="1" applyFont="1" applyFill="1" applyBorder="1" applyAlignment="1">
      <alignment horizontal="left" vertical="top" wrapText="1"/>
    </xf>
    <xf numFmtId="170" fontId="22" fillId="10" borderId="79" xfId="6" applyNumberFormat="1" applyFont="1" applyFill="1" applyBorder="1" applyAlignment="1">
      <alignment horizontal="left" vertical="top" wrapText="1"/>
    </xf>
    <xf numFmtId="170" fontId="22" fillId="10" borderId="80" xfId="6" applyNumberFormat="1" applyFont="1" applyFill="1" applyBorder="1" applyAlignment="1">
      <alignment horizontal="left" vertical="top" wrapText="1"/>
    </xf>
    <xf numFmtId="170" fontId="22" fillId="10" borderId="81" xfId="6" applyNumberFormat="1" applyFont="1" applyFill="1" applyBorder="1" applyAlignment="1">
      <alignment horizontal="left" vertical="top" wrapText="1"/>
    </xf>
    <xf numFmtId="170" fontId="22" fillId="10" borderId="0" xfId="6" applyNumberFormat="1" applyFont="1" applyFill="1" applyAlignment="1">
      <alignment horizontal="left" vertical="top" wrapText="1"/>
    </xf>
    <xf numFmtId="170" fontId="22" fillId="10" borderId="35" xfId="6" applyNumberFormat="1" applyFont="1" applyFill="1" applyBorder="1" applyAlignment="1">
      <alignment horizontal="left" vertical="top" wrapText="1"/>
    </xf>
    <xf numFmtId="170" fontId="22" fillId="10" borderId="5" xfId="6" applyNumberFormat="1" applyFont="1" applyFill="1" applyBorder="1" applyAlignment="1">
      <alignment horizontal="left" vertical="top" wrapText="1"/>
    </xf>
    <xf numFmtId="170" fontId="22" fillId="10" borderId="6" xfId="6" applyNumberFormat="1" applyFont="1" applyFill="1" applyBorder="1" applyAlignment="1">
      <alignment horizontal="left" vertical="top" wrapText="1"/>
    </xf>
    <xf numFmtId="170" fontId="22" fillId="10" borderId="82" xfId="6" applyNumberFormat="1" applyFont="1" applyFill="1" applyBorder="1" applyAlignment="1">
      <alignment horizontal="left" vertical="top" wrapText="1"/>
    </xf>
    <xf numFmtId="0" fontId="19" fillId="0" borderId="36" xfId="6" applyFont="1" applyBorder="1" applyAlignment="1">
      <alignment horizontal="left" vertical="center"/>
    </xf>
    <xf numFmtId="0" fontId="19" fillId="0" borderId="35" xfId="6" applyFont="1" applyBorder="1" applyAlignment="1">
      <alignment horizontal="left" vertical="center"/>
    </xf>
    <xf numFmtId="0" fontId="26" fillId="0" borderId="36" xfId="6" applyFont="1" applyBorder="1" applyAlignment="1">
      <alignment horizontal="left" vertical="center"/>
    </xf>
    <xf numFmtId="0" fontId="26" fillId="0" borderId="35" xfId="6" applyFont="1" applyBorder="1" applyAlignment="1">
      <alignment horizontal="left" vertical="center"/>
    </xf>
    <xf numFmtId="0" fontId="19" fillId="0" borderId="0" xfId="6" applyFont="1" applyAlignment="1">
      <alignment horizontal="left" vertical="center"/>
    </xf>
    <xf numFmtId="0" fontId="25" fillId="11" borderId="88" xfId="6" applyFont="1" applyFill="1" applyBorder="1" applyAlignment="1">
      <alignment horizontal="center" vertical="center" wrapText="1"/>
    </xf>
    <xf numFmtId="0" fontId="25" fillId="11" borderId="89" xfId="6" applyFont="1" applyFill="1" applyBorder="1" applyAlignment="1">
      <alignment horizontal="center" vertical="center" wrapText="1"/>
    </xf>
    <xf numFmtId="0" fontId="25" fillId="11" borderId="90" xfId="6" applyFont="1" applyFill="1" applyBorder="1" applyAlignment="1">
      <alignment horizontal="center" vertical="center" wrapText="1"/>
    </xf>
    <xf numFmtId="0" fontId="26" fillId="0" borderId="36" xfId="6" applyFont="1" applyBorder="1" applyAlignment="1">
      <alignment horizontal="right" vertical="center"/>
    </xf>
    <xf numFmtId="0" fontId="26" fillId="0" borderId="0" xfId="6" applyFont="1" applyAlignment="1">
      <alignment horizontal="right" vertical="center"/>
    </xf>
    <xf numFmtId="0" fontId="26" fillId="0" borderId="2" xfId="6" applyFont="1" applyBorder="1" applyAlignment="1">
      <alignment horizontal="left" vertical="center" wrapText="1"/>
    </xf>
    <xf numFmtId="0" fontId="26" fillId="0" borderId="4" xfId="6" applyFont="1" applyBorder="1" applyAlignment="1">
      <alignment horizontal="left" vertical="center" wrapText="1"/>
    </xf>
    <xf numFmtId="0" fontId="26" fillId="0" borderId="76" xfId="6" applyFont="1" applyBorder="1" applyAlignment="1">
      <alignment horizontal="left" vertical="center" wrapText="1"/>
    </xf>
    <xf numFmtId="0" fontId="26" fillId="0" borderId="91" xfId="6" applyFont="1" applyBorder="1" applyAlignment="1">
      <alignment horizontal="left" vertical="center" wrapText="1"/>
    </xf>
    <xf numFmtId="0" fontId="26" fillId="0" borderId="92" xfId="6" applyFont="1" applyBorder="1" applyAlignment="1">
      <alignment horizontal="left" vertical="center" wrapText="1"/>
    </xf>
    <xf numFmtId="0" fontId="26" fillId="0" borderId="93" xfId="6" applyFont="1" applyBorder="1" applyAlignment="1">
      <alignment horizontal="left" vertical="center" wrapText="1"/>
    </xf>
    <xf numFmtId="0" fontId="26" fillId="0" borderId="0" xfId="8" applyFont="1"/>
    <xf numFmtId="0" fontId="24" fillId="0" borderId="36" xfId="6" applyFont="1" applyBorder="1" applyAlignment="1">
      <alignment horizontal="center"/>
    </xf>
    <xf numFmtId="0" fontId="24" fillId="0" borderId="0" xfId="6" applyFont="1" applyAlignment="1">
      <alignment horizontal="center"/>
    </xf>
    <xf numFmtId="0" fontId="28" fillId="10" borderId="36" xfId="6" applyFont="1" applyFill="1" applyBorder="1" applyAlignment="1">
      <alignment horizontal="left" vertical="center" wrapText="1"/>
    </xf>
    <xf numFmtId="0" fontId="28" fillId="10" borderId="0" xfId="6" applyFont="1" applyFill="1" applyAlignment="1">
      <alignment horizontal="left" vertical="center" wrapText="1"/>
    </xf>
    <xf numFmtId="2" fontId="26" fillId="0" borderId="0" xfId="6" applyNumberFormat="1" applyFont="1" applyAlignment="1">
      <alignment horizontal="left" vertical="center" wrapText="1"/>
    </xf>
    <xf numFmtId="2" fontId="26" fillId="0" borderId="35" xfId="6" applyNumberFormat="1" applyFont="1" applyBorder="1" applyAlignment="1">
      <alignment horizontal="left" vertical="center" wrapText="1"/>
    </xf>
    <xf numFmtId="14" fontId="28" fillId="0" borderId="0" xfId="6" applyNumberFormat="1" applyFont="1" applyAlignment="1">
      <alignment horizontal="center" vertical="top" wrapText="1"/>
    </xf>
    <xf numFmtId="0" fontId="22" fillId="10" borderId="78" xfId="6" applyFont="1" applyFill="1" applyBorder="1" applyAlignment="1">
      <alignment horizontal="left" vertical="top" wrapText="1"/>
    </xf>
    <xf numFmtId="0" fontId="22" fillId="10" borderId="79" xfId="6" applyFont="1" applyFill="1" applyBorder="1" applyAlignment="1">
      <alignment horizontal="left" vertical="top" wrapText="1"/>
    </xf>
    <xf numFmtId="0" fontId="22" fillId="10" borderId="80" xfId="6" applyFont="1" applyFill="1" applyBorder="1" applyAlignment="1">
      <alignment horizontal="left" vertical="top" wrapText="1"/>
    </xf>
    <xf numFmtId="0" fontId="22" fillId="10" borderId="81" xfId="6" applyFont="1" applyFill="1" applyBorder="1" applyAlignment="1">
      <alignment horizontal="left" vertical="top" wrapText="1"/>
    </xf>
    <xf numFmtId="0" fontId="22" fillId="10" borderId="0" xfId="6" applyFont="1" applyFill="1" applyAlignment="1">
      <alignment horizontal="left" vertical="top" wrapText="1"/>
    </xf>
    <xf numFmtId="0" fontId="22" fillId="10" borderId="35" xfId="6" applyFont="1" applyFill="1" applyBorder="1" applyAlignment="1">
      <alignment horizontal="left" vertical="top" wrapText="1"/>
    </xf>
    <xf numFmtId="14" fontId="28" fillId="0" borderId="77" xfId="6" applyNumberFormat="1" applyFont="1" applyBorder="1" applyAlignment="1">
      <alignment horizontal="left" vertical="top" wrapText="1"/>
    </xf>
    <xf numFmtId="14" fontId="28" fillId="0" borderId="79" xfId="6" applyNumberFormat="1" applyFont="1" applyBorder="1" applyAlignment="1">
      <alignment horizontal="left" vertical="top" wrapText="1"/>
    </xf>
    <xf numFmtId="0" fontId="22" fillId="13" borderId="78" xfId="8" applyFont="1" applyFill="1" applyBorder="1" applyAlignment="1">
      <alignment horizontal="left" vertical="top" wrapText="1"/>
    </xf>
    <xf numFmtId="0" fontId="22" fillId="13" borderId="79" xfId="8" applyFont="1" applyFill="1" applyBorder="1" applyAlignment="1">
      <alignment horizontal="left" vertical="top" wrapText="1"/>
    </xf>
    <xf numFmtId="0" fontId="22" fillId="13" borderId="108" xfId="8" applyFont="1" applyFill="1" applyBorder="1" applyAlignment="1">
      <alignment horizontal="left" vertical="top" wrapText="1"/>
    </xf>
    <xf numFmtId="0" fontId="22" fillId="13" borderId="81" xfId="8" applyFont="1" applyFill="1" applyBorder="1" applyAlignment="1">
      <alignment horizontal="left" vertical="top" wrapText="1"/>
    </xf>
    <xf numFmtId="0" fontId="22" fillId="13" borderId="0" xfId="8" applyFont="1" applyFill="1" applyAlignment="1">
      <alignment horizontal="left" vertical="top" wrapText="1"/>
    </xf>
    <xf numFmtId="0" fontId="22" fillId="13" borderId="109" xfId="8" applyFont="1" applyFill="1" applyBorder="1" applyAlignment="1">
      <alignment horizontal="left" vertical="top" wrapText="1"/>
    </xf>
    <xf numFmtId="0" fontId="22" fillId="13" borderId="5" xfId="8" applyFont="1" applyFill="1" applyBorder="1" applyAlignment="1">
      <alignment horizontal="left" vertical="top" wrapText="1"/>
    </xf>
    <xf numFmtId="0" fontId="22" fillId="13" borderId="6" xfId="8" applyFont="1" applyFill="1" applyBorder="1" applyAlignment="1">
      <alignment horizontal="left" vertical="top" wrapText="1"/>
    </xf>
    <xf numFmtId="0" fontId="22" fillId="13" borderId="7" xfId="8" applyFont="1" applyFill="1" applyBorder="1" applyAlignment="1">
      <alignment horizontal="left" vertical="top" wrapText="1"/>
    </xf>
    <xf numFmtId="0" fontId="28" fillId="0" borderId="77" xfId="6" applyFont="1" applyBorder="1" applyAlignment="1">
      <alignment horizontal="left" vertical="center"/>
    </xf>
    <xf numFmtId="0" fontId="28" fillId="0" borderId="79" xfId="6" applyFont="1" applyBorder="1" applyAlignment="1">
      <alignment horizontal="left" vertical="center"/>
    </xf>
    <xf numFmtId="0" fontId="26" fillId="0" borderId="36" xfId="6" applyFont="1" applyBorder="1" applyAlignment="1">
      <alignment horizontal="right" vertical="center" wrapText="1"/>
    </xf>
    <xf numFmtId="0" fontId="26" fillId="0" borderId="35" xfId="6" applyFont="1" applyBorder="1" applyAlignment="1">
      <alignment horizontal="right" vertical="center" wrapText="1"/>
    </xf>
    <xf numFmtId="0" fontId="28" fillId="0" borderId="36" xfId="6" applyFont="1" applyBorder="1" applyAlignment="1">
      <alignment horizontal="left" vertical="center"/>
    </xf>
    <xf numFmtId="0" fontId="28" fillId="0" borderId="35" xfId="6" applyFont="1" applyBorder="1" applyAlignment="1">
      <alignment horizontal="left" vertical="center"/>
    </xf>
    <xf numFmtId="0" fontId="28" fillId="0" borderId="0" xfId="6" applyFont="1" applyAlignment="1">
      <alignment horizontal="left" vertical="center"/>
    </xf>
    <xf numFmtId="0" fontId="25" fillId="11" borderId="110" xfId="6" applyFont="1" applyFill="1" applyBorder="1" applyAlignment="1">
      <alignment horizontal="center" vertical="center" wrapText="1"/>
    </xf>
    <xf numFmtId="0" fontId="25" fillId="0" borderId="0" xfId="6" applyFont="1" applyAlignment="1">
      <alignment horizontal="center" vertical="center" wrapText="1"/>
    </xf>
    <xf numFmtId="14" fontId="41" fillId="10" borderId="78" xfId="6" applyNumberFormat="1" applyFont="1" applyFill="1" applyBorder="1" applyAlignment="1">
      <alignment horizontal="center" vertical="top" wrapText="1"/>
    </xf>
    <xf numFmtId="14" fontId="41" fillId="10" borderId="79" xfId="6" applyNumberFormat="1" applyFont="1" applyFill="1" applyBorder="1" applyAlignment="1">
      <alignment horizontal="center" vertical="top" wrapText="1"/>
    </xf>
    <xf numFmtId="14" fontId="40" fillId="0" borderId="113" xfId="6" applyNumberFormat="1" applyFont="1" applyBorder="1" applyAlignment="1">
      <alignment horizontal="left" vertical="top" wrapText="1"/>
    </xf>
    <xf numFmtId="14" fontId="40" fillId="0" borderId="6" xfId="6" applyNumberFormat="1" applyFont="1" applyBorder="1" applyAlignment="1">
      <alignment horizontal="left" vertical="top" wrapText="1"/>
    </xf>
    <xf numFmtId="14" fontId="40" fillId="0" borderId="82" xfId="6" applyNumberFormat="1" applyFont="1" applyBorder="1" applyAlignment="1">
      <alignment horizontal="left" vertical="top" wrapText="1"/>
    </xf>
    <xf numFmtId="14" fontId="22" fillId="10" borderId="78" xfId="6" applyNumberFormat="1" applyFont="1" applyFill="1" applyBorder="1" applyAlignment="1">
      <alignment horizontal="left" vertical="top" wrapText="1"/>
    </xf>
    <xf numFmtId="14" fontId="22" fillId="10" borderId="79" xfId="6" applyNumberFormat="1" applyFont="1" applyFill="1" applyBorder="1" applyAlignment="1">
      <alignment horizontal="left" vertical="top" wrapText="1"/>
    </xf>
    <xf numFmtId="14" fontId="22" fillId="10" borderId="108" xfId="6" applyNumberFormat="1" applyFont="1" applyFill="1" applyBorder="1" applyAlignment="1">
      <alignment horizontal="left" vertical="top" wrapText="1"/>
    </xf>
    <xf numFmtId="14" fontId="22" fillId="10" borderId="81" xfId="6" applyNumberFormat="1" applyFont="1" applyFill="1" applyBorder="1" applyAlignment="1">
      <alignment horizontal="left" vertical="top" wrapText="1"/>
    </xf>
    <xf numFmtId="14" fontId="22" fillId="10" borderId="0" xfId="6" applyNumberFormat="1" applyFont="1" applyFill="1" applyAlignment="1">
      <alignment horizontal="left" vertical="top" wrapText="1"/>
    </xf>
    <xf numFmtId="14" fontId="22" fillId="10" borderId="109" xfId="6" applyNumberFormat="1" applyFont="1" applyFill="1" applyBorder="1" applyAlignment="1">
      <alignment horizontal="left" vertical="top" wrapText="1"/>
    </xf>
    <xf numFmtId="14" fontId="22" fillId="10" borderId="5" xfId="6" applyNumberFormat="1" applyFont="1" applyFill="1" applyBorder="1" applyAlignment="1">
      <alignment horizontal="left" vertical="top" wrapText="1"/>
    </xf>
    <xf numFmtId="14" fontId="22" fillId="10" borderId="6" xfId="6" applyNumberFormat="1" applyFont="1" applyFill="1" applyBorder="1" applyAlignment="1">
      <alignment horizontal="left" vertical="top" wrapText="1"/>
    </xf>
    <xf numFmtId="14" fontId="22" fillId="10" borderId="7" xfId="6" applyNumberFormat="1" applyFont="1" applyFill="1" applyBorder="1" applyAlignment="1">
      <alignment horizontal="left" vertical="top" wrapText="1"/>
    </xf>
    <xf numFmtId="0" fontId="18" fillId="0" borderId="104" xfId="6" applyFont="1" applyBorder="1" applyAlignment="1">
      <alignment horizontal="right" vertical="center"/>
    </xf>
    <xf numFmtId="0" fontId="18" fillId="0" borderId="74" xfId="6" applyFont="1" applyBorder="1" applyAlignment="1">
      <alignment horizontal="right" vertical="center"/>
    </xf>
    <xf numFmtId="0" fontId="13" fillId="7" borderId="53" xfId="3" applyFont="1" applyFill="1" applyBorder="1" applyAlignment="1">
      <alignment horizontal="center" vertical="center"/>
    </xf>
    <xf numFmtId="0" fontId="13" fillId="7" borderId="26" xfId="3" applyFont="1" applyFill="1" applyBorder="1" applyAlignment="1">
      <alignment horizontal="center" vertical="center"/>
    </xf>
    <xf numFmtId="0" fontId="13" fillId="7" borderId="36" xfId="3" applyFont="1" applyFill="1" applyBorder="1" applyAlignment="1">
      <alignment horizontal="center" vertical="center"/>
    </xf>
    <xf numFmtId="0" fontId="13" fillId="7" borderId="109" xfId="3" applyFont="1" applyFill="1" applyBorder="1" applyAlignment="1">
      <alignment horizontal="center" vertical="center"/>
    </xf>
    <xf numFmtId="0" fontId="13" fillId="7" borderId="114" xfId="3" applyFont="1" applyFill="1" applyBorder="1" applyAlignment="1">
      <alignment horizontal="center" vertical="center"/>
    </xf>
    <xf numFmtId="0" fontId="13" fillId="7" borderId="123" xfId="3" applyFont="1" applyFill="1" applyBorder="1" applyAlignment="1">
      <alignment horizontal="center" vertical="center"/>
    </xf>
    <xf numFmtId="0" fontId="14" fillId="7" borderId="27" xfId="3" applyFont="1" applyFill="1" applyBorder="1" applyAlignment="1">
      <alignment horizontal="center" vertical="center" wrapText="1"/>
    </xf>
    <xf numFmtId="0" fontId="14" fillId="7" borderId="54" xfId="3" applyFont="1" applyFill="1" applyBorder="1" applyAlignment="1">
      <alignment horizontal="center" vertical="center" wrapText="1"/>
    </xf>
    <xf numFmtId="0" fontId="14" fillId="7" borderId="55" xfId="3" applyFont="1" applyFill="1" applyBorder="1" applyAlignment="1">
      <alignment horizontal="center" vertical="center" wrapText="1"/>
    </xf>
    <xf numFmtId="0" fontId="14" fillId="7" borderId="81" xfId="3" applyFont="1" applyFill="1" applyBorder="1" applyAlignment="1">
      <alignment horizontal="center" vertical="center" wrapText="1"/>
    </xf>
    <xf numFmtId="0" fontId="14" fillId="7" borderId="0" xfId="3" applyFont="1" applyFill="1" applyAlignment="1">
      <alignment horizontal="center" vertical="center" wrapText="1"/>
    </xf>
    <xf numFmtId="0" fontId="14" fillId="7" borderId="35" xfId="3" applyFont="1" applyFill="1" applyBorder="1" applyAlignment="1">
      <alignment horizontal="center" vertical="center" wrapText="1"/>
    </xf>
    <xf numFmtId="0" fontId="14" fillId="7" borderId="106" xfId="3" applyFont="1" applyFill="1" applyBorder="1" applyAlignment="1">
      <alignment horizontal="center" vertical="center" wrapText="1"/>
    </xf>
    <xf numFmtId="0" fontId="14" fillId="7" borderId="115" xfId="3" applyFont="1" applyFill="1" applyBorder="1" applyAlignment="1">
      <alignment horizontal="center" vertical="center" wrapText="1"/>
    </xf>
    <xf numFmtId="0" fontId="14" fillId="7" borderId="116" xfId="3" applyFont="1" applyFill="1" applyBorder="1" applyAlignment="1">
      <alignment horizontal="center" vertical="center" wrapText="1"/>
    </xf>
    <xf numFmtId="0" fontId="7" fillId="7" borderId="121" xfId="3" applyFill="1" applyBorder="1" applyAlignment="1">
      <alignment horizontal="center" vertical="center"/>
    </xf>
    <xf numFmtId="0" fontId="7" fillId="7" borderId="122" xfId="3" applyFill="1" applyBorder="1" applyAlignment="1">
      <alignment horizontal="center" vertical="center"/>
    </xf>
    <xf numFmtId="0" fontId="7" fillId="7" borderId="119" xfId="3" applyFill="1" applyBorder="1" applyAlignment="1">
      <alignment horizontal="center" vertical="center"/>
    </xf>
    <xf numFmtId="0" fontId="7" fillId="7" borderId="120" xfId="3" applyFill="1" applyBorder="1" applyAlignment="1">
      <alignment horizontal="center" vertical="center"/>
    </xf>
    <xf numFmtId="0" fontId="7" fillId="7" borderId="117" xfId="3" applyFill="1" applyBorder="1" applyAlignment="1">
      <alignment horizontal="center" vertical="center"/>
    </xf>
    <xf numFmtId="0" fontId="7" fillId="7" borderId="118" xfId="3" applyFill="1" applyBorder="1" applyAlignment="1">
      <alignment horizontal="center" vertical="center"/>
    </xf>
    <xf numFmtId="14" fontId="22" fillId="10" borderId="81" xfId="6" applyNumberFormat="1" applyFont="1" applyFill="1" applyBorder="1" applyAlignment="1">
      <alignment vertical="top" wrapText="1"/>
    </xf>
    <xf numFmtId="14" fontId="22" fillId="10" borderId="0" xfId="6" applyNumberFormat="1" applyFont="1" applyFill="1" applyAlignment="1">
      <alignment vertical="top" wrapText="1"/>
    </xf>
    <xf numFmtId="14" fontId="22" fillId="10" borderId="109" xfId="6" applyNumberFormat="1" applyFont="1" applyFill="1" applyBorder="1" applyAlignment="1">
      <alignment vertical="top" wrapText="1"/>
    </xf>
    <xf numFmtId="14" fontId="41" fillId="10" borderId="81" xfId="6" applyNumberFormat="1" applyFont="1" applyFill="1" applyBorder="1" applyAlignment="1">
      <alignment vertical="top" wrapText="1"/>
    </xf>
    <xf numFmtId="0" fontId="19" fillId="11" borderId="77" xfId="6" applyFont="1" applyFill="1" applyBorder="1" applyAlignment="1">
      <alignment horizontal="left"/>
    </xf>
    <xf numFmtId="0" fontId="19" fillId="11" borderId="79" xfId="6" applyFont="1" applyFill="1" applyBorder="1" applyAlignment="1">
      <alignment horizontal="left"/>
    </xf>
    <xf numFmtId="0" fontId="19" fillId="11" borderId="80" xfId="6" applyFont="1" applyFill="1" applyBorder="1" applyAlignment="1">
      <alignment horizontal="left"/>
    </xf>
    <xf numFmtId="0" fontId="22" fillId="0" borderId="75" xfId="8" applyFont="1" applyBorder="1" applyAlignment="1">
      <alignment horizontal="left" vertical="top" wrapText="1"/>
    </xf>
    <xf numFmtId="0" fontId="22" fillId="0" borderId="4" xfId="8" applyFont="1" applyBorder="1" applyAlignment="1">
      <alignment horizontal="left" vertical="top" wrapText="1"/>
    </xf>
    <xf numFmtId="0" fontId="22" fillId="0" borderId="76" xfId="8" applyFont="1" applyBorder="1" applyAlignment="1">
      <alignment horizontal="left" vertical="top" wrapText="1"/>
    </xf>
    <xf numFmtId="0" fontId="22" fillId="0" borderId="58" xfId="8" applyFont="1" applyBorder="1" applyAlignment="1">
      <alignment horizontal="left" vertical="top" wrapText="1"/>
    </xf>
    <xf numFmtId="0" fontId="22" fillId="0" borderId="59" xfId="8" applyFont="1" applyBorder="1" applyAlignment="1">
      <alignment horizontal="left" vertical="top" wrapText="1"/>
    </xf>
    <xf numFmtId="0" fontId="22" fillId="0" borderId="60" xfId="8" applyFont="1" applyBorder="1" applyAlignment="1">
      <alignment horizontal="left" vertical="top" wrapText="1"/>
    </xf>
    <xf numFmtId="0" fontId="25" fillId="11" borderId="110" xfId="10" applyFont="1" applyFill="1" applyBorder="1" applyAlignment="1">
      <alignment horizontal="center" vertical="center" wrapText="1"/>
    </xf>
    <xf numFmtId="0" fontId="25" fillId="11" borderId="112" xfId="10" applyFont="1" applyFill="1" applyBorder="1" applyAlignment="1">
      <alignment horizontal="center" vertical="center" wrapText="1"/>
    </xf>
    <xf numFmtId="0" fontId="35" fillId="0" borderId="73" xfId="10" applyFont="1" applyBorder="1" applyAlignment="1">
      <alignment horizontal="center"/>
    </xf>
    <xf numFmtId="0" fontId="35" fillId="0" borderId="105" xfId="10" applyFont="1" applyBorder="1" applyAlignment="1">
      <alignment horizontal="center"/>
    </xf>
    <xf numFmtId="0" fontId="16" fillId="0" borderId="0" xfId="6" applyFont="1" applyAlignment="1">
      <alignment horizontal="center"/>
    </xf>
    <xf numFmtId="0" fontId="16" fillId="0" borderId="35" xfId="6" applyFont="1" applyBorder="1" applyAlignment="1">
      <alignment horizontal="center"/>
    </xf>
    <xf numFmtId="0" fontId="19" fillId="11" borderId="1" xfId="6" applyFont="1" applyFill="1" applyBorder="1" applyAlignment="1">
      <alignment horizontal="left"/>
    </xf>
    <xf numFmtId="14" fontId="36" fillId="10" borderId="15" xfId="10" applyNumberFormat="1" applyFont="1" applyFill="1" applyBorder="1" applyAlignment="1">
      <alignment horizontal="center" vertical="center" wrapText="1"/>
    </xf>
    <xf numFmtId="14" fontId="36" fillId="10" borderId="107" xfId="10" applyNumberFormat="1" applyFont="1" applyFill="1" applyBorder="1" applyAlignment="1">
      <alignment horizontal="center" vertical="center" wrapText="1"/>
    </xf>
    <xf numFmtId="14" fontId="36" fillId="10" borderId="99" xfId="10" applyNumberFormat="1" applyFont="1" applyFill="1" applyBorder="1" applyAlignment="1">
      <alignment horizontal="center" vertical="center" wrapText="1"/>
    </xf>
    <xf numFmtId="0" fontId="22" fillId="0" borderId="2" xfId="10" applyFont="1" applyBorder="1" applyAlignment="1">
      <alignment horizontal="left" vertical="center" wrapText="1" indent="1"/>
    </xf>
    <xf numFmtId="0" fontId="22" fillId="0" borderId="4" xfId="10" applyFont="1" applyBorder="1" applyAlignment="1">
      <alignment horizontal="left" vertical="center" wrapText="1" indent="1"/>
    </xf>
    <xf numFmtId="0" fontId="22" fillId="0" borderId="3" xfId="10" applyFont="1" applyBorder="1" applyAlignment="1">
      <alignment horizontal="left" vertical="center" wrapText="1" indent="1"/>
    </xf>
    <xf numFmtId="0" fontId="6" fillId="0" borderId="0" xfId="0" applyFont="1" applyAlignment="1">
      <alignment horizontal="center"/>
    </xf>
    <xf numFmtId="0" fontId="5" fillId="4" borderId="2" xfId="0" applyFont="1" applyFill="1" applyBorder="1" applyAlignment="1">
      <alignment horizontal="center"/>
    </xf>
    <xf numFmtId="0" fontId="5" fillId="4" borderId="4" xfId="0" applyFont="1" applyFill="1" applyBorder="1" applyAlignment="1">
      <alignment horizontal="center"/>
    </xf>
    <xf numFmtId="0" fontId="5" fillId="4" borderId="3" xfId="0" applyFon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7" fillId="0" borderId="1" xfId="3" applyBorder="1" applyAlignment="1">
      <alignment horizontal="center" vertical="center"/>
    </xf>
    <xf numFmtId="0" fontId="7" fillId="5" borderId="1" xfId="3" applyFill="1" applyBorder="1" applyAlignment="1">
      <alignment horizontal="center" vertical="center" wrapText="1"/>
    </xf>
    <xf numFmtId="0" fontId="8" fillId="5" borderId="1" xfId="3" applyFont="1" applyFill="1" applyBorder="1" applyAlignment="1">
      <alignment horizontal="center" vertical="center" wrapText="1"/>
    </xf>
    <xf numFmtId="0" fontId="7" fillId="9" borderId="1" xfId="3" applyFill="1" applyBorder="1" applyAlignment="1">
      <alignment horizontal="center" vertical="center" wrapText="1"/>
    </xf>
    <xf numFmtId="0" fontId="8" fillId="9" borderId="1" xfId="3" applyFont="1" applyFill="1" applyBorder="1" applyAlignment="1">
      <alignment horizontal="center" vertical="center" wrapText="1"/>
    </xf>
    <xf numFmtId="0" fontId="7" fillId="0" borderId="8" xfId="3" applyBorder="1" applyAlignment="1">
      <alignment horizontal="center" vertical="center"/>
    </xf>
    <xf numFmtId="0" fontId="7" fillId="0" borderId="56" xfId="3" applyBorder="1" applyAlignment="1">
      <alignment horizontal="center" vertical="center"/>
    </xf>
    <xf numFmtId="0" fontId="7" fillId="0" borderId="58" xfId="3" applyBorder="1" applyAlignment="1">
      <alignment horizontal="center" vertical="center"/>
    </xf>
    <xf numFmtId="0" fontId="7" fillId="9" borderId="9" xfId="3" applyFill="1" applyBorder="1" applyAlignment="1">
      <alignment horizontal="center" vertical="center" wrapText="1"/>
    </xf>
    <xf numFmtId="0" fontId="7" fillId="9" borderId="59" xfId="3" applyFill="1" applyBorder="1" applyAlignment="1">
      <alignment horizontal="center" vertical="center" wrapText="1"/>
    </xf>
    <xf numFmtId="0" fontId="8" fillId="9" borderId="9" xfId="3" applyFont="1" applyFill="1" applyBorder="1" applyAlignment="1">
      <alignment horizontal="center" vertical="center" wrapText="1"/>
    </xf>
    <xf numFmtId="0" fontId="8" fillId="9" borderId="59" xfId="3" applyFont="1" applyFill="1" applyBorder="1" applyAlignment="1">
      <alignment horizontal="center" vertical="center" wrapText="1"/>
    </xf>
    <xf numFmtId="2" fontId="26" fillId="0" borderId="36" xfId="6" applyNumberFormat="1" applyFont="1" applyBorder="1" applyAlignment="1">
      <alignment horizontal="left" vertical="center" wrapText="1"/>
    </xf>
    <xf numFmtId="0" fontId="28" fillId="10" borderId="81" xfId="6" applyFont="1" applyFill="1" applyBorder="1" applyAlignment="1">
      <alignment horizontal="left" vertical="top" wrapText="1"/>
    </xf>
    <xf numFmtId="0" fontId="19" fillId="11" borderId="6" xfId="6" applyFont="1" applyFill="1" applyBorder="1" applyAlignment="1">
      <alignment horizontal="left"/>
    </xf>
    <xf numFmtId="0" fontId="13" fillId="7" borderId="61" xfId="0" applyFont="1" applyFill="1" applyBorder="1" applyAlignment="1">
      <alignment horizontal="center" vertical="center"/>
    </xf>
    <xf numFmtId="0" fontId="13" fillId="7" borderId="62" xfId="0" applyFont="1" applyFill="1" applyBorder="1" applyAlignment="1">
      <alignment horizontal="center" vertical="center"/>
    </xf>
    <xf numFmtId="0" fontId="13" fillId="7" borderId="65" xfId="0" applyFont="1" applyFill="1" applyBorder="1" applyAlignment="1">
      <alignment horizontal="center" vertical="center"/>
    </xf>
    <xf numFmtId="0" fontId="13" fillId="7" borderId="66" xfId="0" applyFont="1" applyFill="1" applyBorder="1" applyAlignment="1">
      <alignment horizontal="center" vertical="center"/>
    </xf>
    <xf numFmtId="0" fontId="13" fillId="7" borderId="69" xfId="0" applyFont="1" applyFill="1" applyBorder="1" applyAlignment="1">
      <alignment horizontal="center" vertical="center"/>
    </xf>
    <xf numFmtId="0" fontId="13" fillId="7" borderId="70" xfId="0" applyFont="1" applyFill="1" applyBorder="1" applyAlignment="1">
      <alignment horizontal="center" vertical="center"/>
    </xf>
    <xf numFmtId="0" fontId="14" fillId="7" borderId="62" xfId="0" applyFont="1" applyFill="1" applyBorder="1" applyAlignment="1">
      <alignment horizontal="center" vertical="center" wrapText="1"/>
    </xf>
    <xf numFmtId="0" fontId="14" fillId="7" borderId="63" xfId="0" applyFont="1" applyFill="1" applyBorder="1" applyAlignment="1">
      <alignment horizontal="center" vertical="center" wrapText="1"/>
    </xf>
    <xf numFmtId="0" fontId="14" fillId="7" borderId="66" xfId="0" applyFont="1" applyFill="1" applyBorder="1" applyAlignment="1">
      <alignment horizontal="center" vertical="center" wrapText="1"/>
    </xf>
    <xf numFmtId="0" fontId="14" fillId="7" borderId="67" xfId="0" applyFont="1" applyFill="1" applyBorder="1" applyAlignment="1">
      <alignment horizontal="center" vertical="center" wrapText="1"/>
    </xf>
    <xf numFmtId="0" fontId="14" fillId="7" borderId="70" xfId="0" applyFont="1" applyFill="1" applyBorder="1" applyAlignment="1">
      <alignment horizontal="center" vertical="center" wrapText="1"/>
    </xf>
    <xf numFmtId="0" fontId="14" fillId="7" borderId="71" xfId="0" applyFont="1" applyFill="1" applyBorder="1" applyAlignment="1">
      <alignment horizontal="center" vertical="center" wrapText="1"/>
    </xf>
    <xf numFmtId="0" fontId="7" fillId="7" borderId="61" xfId="0" applyFont="1" applyFill="1" applyBorder="1" applyAlignment="1">
      <alignment horizontal="center" vertical="center"/>
    </xf>
    <xf numFmtId="0" fontId="7" fillId="7" borderId="62" xfId="0" applyFont="1" applyFill="1" applyBorder="1" applyAlignment="1">
      <alignment horizontal="center" vertical="center"/>
    </xf>
    <xf numFmtId="0" fontId="7" fillId="7" borderId="65" xfId="0" applyFont="1" applyFill="1" applyBorder="1" applyAlignment="1">
      <alignment horizontal="center" vertical="center"/>
    </xf>
    <xf numFmtId="0" fontId="7" fillId="7" borderId="66" xfId="0" applyFont="1" applyFill="1" applyBorder="1" applyAlignment="1">
      <alignment horizontal="center" vertical="center"/>
    </xf>
    <xf numFmtId="0" fontId="7" fillId="7" borderId="69" xfId="0" applyFont="1" applyFill="1" applyBorder="1" applyAlignment="1">
      <alignment horizontal="center" vertical="center"/>
    </xf>
    <xf numFmtId="0" fontId="7" fillId="7" borderId="70" xfId="0" applyFont="1" applyFill="1" applyBorder="1" applyAlignment="1">
      <alignment horizontal="center" vertical="center"/>
    </xf>
    <xf numFmtId="0" fontId="16" fillId="0" borderId="36" xfId="6" applyFont="1" applyBorder="1" applyAlignment="1">
      <alignment horizontal="center"/>
    </xf>
    <xf numFmtId="0" fontId="25" fillId="11" borderId="8" xfId="6" applyFont="1" applyFill="1" applyBorder="1" applyAlignment="1">
      <alignment horizontal="center" vertical="center" wrapText="1"/>
    </xf>
    <xf numFmtId="0" fontId="25" fillId="11" borderId="10" xfId="6" applyFont="1" applyFill="1" applyBorder="1" applyAlignment="1">
      <alignment horizontal="center" vertical="center" wrapText="1"/>
    </xf>
    <xf numFmtId="14" fontId="41" fillId="10" borderId="81" xfId="6" applyNumberFormat="1" applyFont="1" applyFill="1" applyBorder="1" applyAlignment="1">
      <alignment horizontal="left" vertical="top" wrapText="1"/>
    </xf>
    <xf numFmtId="14" fontId="41" fillId="10" borderId="0" xfId="6" applyNumberFormat="1" applyFont="1" applyFill="1" applyAlignment="1">
      <alignment horizontal="left" vertical="top" wrapText="1"/>
    </xf>
    <xf numFmtId="14" fontId="28" fillId="0" borderId="79" xfId="6" applyNumberFormat="1" applyFont="1" applyBorder="1" applyAlignment="1">
      <alignment horizontal="center" vertical="top" wrapText="1"/>
    </xf>
    <xf numFmtId="14" fontId="28" fillId="10" borderId="81" xfId="6" applyNumberFormat="1" applyFont="1" applyFill="1" applyBorder="1" applyAlignment="1">
      <alignment horizontal="left" vertical="top" wrapText="1"/>
    </xf>
    <xf numFmtId="14" fontId="28" fillId="10" borderId="0" xfId="6" applyNumberFormat="1" applyFont="1" applyFill="1" applyAlignment="1">
      <alignment horizontal="left" vertical="top" wrapText="1"/>
    </xf>
    <xf numFmtId="0" fontId="28" fillId="15" borderId="36" xfId="6" applyFont="1" applyFill="1" applyBorder="1" applyAlignment="1">
      <alignment horizontal="left" vertical="center" wrapText="1"/>
    </xf>
    <xf numFmtId="0" fontId="28" fillId="15" borderId="0" xfId="6" applyFont="1" applyFill="1" applyAlignment="1">
      <alignment horizontal="left" vertical="center" wrapText="1"/>
    </xf>
    <xf numFmtId="0" fontId="26" fillId="15" borderId="36" xfId="6" applyFont="1" applyFill="1" applyBorder="1" applyAlignment="1">
      <alignment horizontal="right" vertical="center"/>
    </xf>
    <xf numFmtId="0" fontId="26" fillId="15" borderId="0" xfId="8" applyFont="1" applyFill="1"/>
    <xf numFmtId="0" fontId="22" fillId="10" borderId="5" xfId="6" applyFont="1" applyFill="1" applyBorder="1" applyAlignment="1">
      <alignment horizontal="left" vertical="top" wrapText="1"/>
    </xf>
    <xf numFmtId="0" fontId="22" fillId="10" borderId="6" xfId="6" applyFont="1" applyFill="1" applyBorder="1" applyAlignment="1">
      <alignment horizontal="left" vertical="top" wrapText="1"/>
    </xf>
    <xf numFmtId="0" fontId="22" fillId="10" borderId="82" xfId="6" applyFont="1" applyFill="1" applyBorder="1" applyAlignment="1">
      <alignment horizontal="left" vertical="top" wrapText="1"/>
    </xf>
  </cellXfs>
  <cellStyles count="29">
    <cellStyle name="Comma" xfId="1" builtinId="3"/>
    <cellStyle name="Comma 2" xfId="4" xr:uid="{B0D24253-28BB-43CD-89D7-D5936CD8B1CB}"/>
    <cellStyle name="Comma 2 2" xfId="7" xr:uid="{65FB6ED5-B7ED-4133-86FA-021E87E727F8}"/>
    <cellStyle name="Comma 3" xfId="13" xr:uid="{69466BA7-AC97-4F34-B15C-AAFA3DDF89D2}"/>
    <cellStyle name="Currency" xfId="25" builtinId="4"/>
    <cellStyle name="Currency 2" xfId="14" xr:uid="{9F0FD587-866B-4CD3-97E2-89397C8B0283}"/>
    <cellStyle name="Normal" xfId="0" builtinId="0"/>
    <cellStyle name="Normal 170" xfId="10" xr:uid="{0CBEF4A8-8F8C-4B4D-A63E-4886DC2322AC}"/>
    <cellStyle name="Normal 170 2" xfId="15" xr:uid="{B9CBD968-EC49-48F2-ACD7-2748FEAAB6E9}"/>
    <cellStyle name="Normal 171" xfId="6" xr:uid="{36C1A8C0-12F2-4384-9EBC-F38A575F1F15}"/>
    <cellStyle name="Normal 173" xfId="8" xr:uid="{8588F259-80C8-4967-8925-41C235B1B5C6}"/>
    <cellStyle name="Normal 2" xfId="3" xr:uid="{3403A1F8-5B2E-47F4-B04C-D8C26853DB87}"/>
    <cellStyle name="Normal 2 2" xfId="16" xr:uid="{507567CC-B1EA-485B-A821-065FD4881015}"/>
    <cellStyle name="Normal 2 3" xfId="17" xr:uid="{63EA6BC3-F17A-4D76-AEBC-132A66A4F3BE}"/>
    <cellStyle name="Normal 3" xfId="12" xr:uid="{784E645C-106B-4AD7-A02E-58023DAAF6EE}"/>
    <cellStyle name="Normal 3 2" xfId="18" xr:uid="{86FCCCE1-B91E-4E36-960D-80790B2F6190}"/>
    <cellStyle name="Normal 4" xfId="19" xr:uid="{CC9989FF-6380-4A78-BD74-D7DDB01C36A7}"/>
    <cellStyle name="Normal 4 2" xfId="20" xr:uid="{94782722-8C42-4417-BDB7-39073956C7EA}"/>
    <cellStyle name="Normal 5" xfId="21" xr:uid="{A0ABBED2-7FF1-431B-8C54-A441F8AD01B9}"/>
    <cellStyle name="Normal 6" xfId="22" xr:uid="{147DD834-9626-4836-A320-B3ACD88CC77B}"/>
    <cellStyle name="Normal 7" xfId="26" xr:uid="{9B8E3252-2B33-43A8-A529-71FCB63B79B2}"/>
    <cellStyle name="Normal 8" xfId="27" xr:uid="{0CDB58C3-6D82-4DF0-BD9A-6E352C0FC0D2}"/>
    <cellStyle name="Normal 9" xfId="28" xr:uid="{D4CAAE7E-7694-4384-8360-EAB080934944}"/>
    <cellStyle name="Percent" xfId="2" builtinId="5"/>
    <cellStyle name="Percent 2" xfId="5" xr:uid="{1A283492-2CA6-4754-BEC0-FF8584C7476F}"/>
    <cellStyle name="Percent 2 2" xfId="23" xr:uid="{03E295D2-6CE4-4210-AAEB-AF6F882AB58F}"/>
    <cellStyle name="Percent 22" xfId="11" xr:uid="{3A992810-B405-4965-879A-ADB305186451}"/>
    <cellStyle name="Percent 23" xfId="9" xr:uid="{68BA2AB3-8B0A-4699-AC88-10408AF54BA3}"/>
    <cellStyle name="Percent 3" xfId="24" xr:uid="{99024591-1498-4996-8A04-AA9CF2A774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142821</xdr:colOff>
      <xdr:row>1</xdr:row>
      <xdr:rowOff>31403</xdr:rowOff>
    </xdr:from>
    <xdr:to>
      <xdr:col>2</xdr:col>
      <xdr:colOff>640474</xdr:colOff>
      <xdr:row>3</xdr:row>
      <xdr:rowOff>254101</xdr:rowOff>
    </xdr:to>
    <xdr:pic>
      <xdr:nvPicPr>
        <xdr:cNvPr id="2" name="Picture 1">
          <a:extLst>
            <a:ext uri="{FF2B5EF4-FFF2-40B4-BE49-F238E27FC236}">
              <a16:creationId xmlns:a16="http://schemas.microsoft.com/office/drawing/2014/main" id="{456A8DE8-76E7-411E-AA45-C41D07A5CCA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6971" y="180628"/>
          <a:ext cx="1885763" cy="8221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142821</xdr:colOff>
      <xdr:row>1</xdr:row>
      <xdr:rowOff>31403</xdr:rowOff>
    </xdr:from>
    <xdr:to>
      <xdr:col>2</xdr:col>
      <xdr:colOff>626504</xdr:colOff>
      <xdr:row>3</xdr:row>
      <xdr:rowOff>246481</xdr:rowOff>
    </xdr:to>
    <xdr:pic>
      <xdr:nvPicPr>
        <xdr:cNvPr id="2" name="Picture 1">
          <a:extLst>
            <a:ext uri="{FF2B5EF4-FFF2-40B4-BE49-F238E27FC236}">
              <a16:creationId xmlns:a16="http://schemas.microsoft.com/office/drawing/2014/main" id="{B8985149-578B-4E98-A396-019F53646D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6971" y="180628"/>
          <a:ext cx="1882588" cy="8221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142821</xdr:colOff>
      <xdr:row>1</xdr:row>
      <xdr:rowOff>31403</xdr:rowOff>
    </xdr:from>
    <xdr:to>
      <xdr:col>2</xdr:col>
      <xdr:colOff>622059</xdr:colOff>
      <xdr:row>3</xdr:row>
      <xdr:rowOff>250291</xdr:rowOff>
    </xdr:to>
    <xdr:pic>
      <xdr:nvPicPr>
        <xdr:cNvPr id="2" name="Picture 1">
          <a:extLst>
            <a:ext uri="{FF2B5EF4-FFF2-40B4-BE49-F238E27FC236}">
              <a16:creationId xmlns:a16="http://schemas.microsoft.com/office/drawing/2014/main" id="{AF58FC58-07D3-46F7-958A-32C5C4C7F2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6971" y="180628"/>
          <a:ext cx="1882588" cy="82213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142821</xdr:colOff>
      <xdr:row>1</xdr:row>
      <xdr:rowOff>31403</xdr:rowOff>
    </xdr:from>
    <xdr:to>
      <xdr:col>2</xdr:col>
      <xdr:colOff>618884</xdr:colOff>
      <xdr:row>3</xdr:row>
      <xdr:rowOff>250291</xdr:rowOff>
    </xdr:to>
    <xdr:pic>
      <xdr:nvPicPr>
        <xdr:cNvPr id="2" name="Picture 1">
          <a:extLst>
            <a:ext uri="{FF2B5EF4-FFF2-40B4-BE49-F238E27FC236}">
              <a16:creationId xmlns:a16="http://schemas.microsoft.com/office/drawing/2014/main" id="{B360CD42-B68D-4FC2-AE0A-5C8385E2B7C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6971" y="180628"/>
          <a:ext cx="1885763" cy="8221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142821</xdr:colOff>
      <xdr:row>1</xdr:row>
      <xdr:rowOff>31403</xdr:rowOff>
    </xdr:from>
    <xdr:to>
      <xdr:col>2</xdr:col>
      <xdr:colOff>631584</xdr:colOff>
      <xdr:row>3</xdr:row>
      <xdr:rowOff>254736</xdr:rowOff>
    </xdr:to>
    <xdr:pic>
      <xdr:nvPicPr>
        <xdr:cNvPr id="2" name="Picture 1">
          <a:extLst>
            <a:ext uri="{FF2B5EF4-FFF2-40B4-BE49-F238E27FC236}">
              <a16:creationId xmlns:a16="http://schemas.microsoft.com/office/drawing/2014/main" id="{AD105B12-08B6-4469-B2A7-A5F485A7B0A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6971" y="180628"/>
          <a:ext cx="1882588" cy="82213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305804</xdr:colOff>
      <xdr:row>0</xdr:row>
      <xdr:rowOff>115303</xdr:rowOff>
    </xdr:from>
    <xdr:to>
      <xdr:col>1</xdr:col>
      <xdr:colOff>1</xdr:colOff>
      <xdr:row>3</xdr:row>
      <xdr:rowOff>107559</xdr:rowOff>
    </xdr:to>
    <xdr:pic>
      <xdr:nvPicPr>
        <xdr:cNvPr id="2" name="Picture 1">
          <a:extLst>
            <a:ext uri="{FF2B5EF4-FFF2-40B4-BE49-F238E27FC236}">
              <a16:creationId xmlns:a16="http://schemas.microsoft.com/office/drawing/2014/main" id="{0E0B5A17-D585-4081-00FD-E79CCE9E72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5804" y="115303"/>
          <a:ext cx="1054601" cy="7315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14</xdr:col>
      <xdr:colOff>518948</xdr:colOff>
      <xdr:row>50</xdr:row>
      <xdr:rowOff>151086</xdr:rowOff>
    </xdr:from>
    <xdr:to>
      <xdr:col>14</xdr:col>
      <xdr:colOff>532086</xdr:colOff>
      <xdr:row>51</xdr:row>
      <xdr:rowOff>0</xdr:rowOff>
    </xdr:to>
    <xdr:cxnSp macro="">
      <xdr:nvCxnSpPr>
        <xdr:cNvPr id="2" name="Straight Connector 1">
          <a:extLst>
            <a:ext uri="{FF2B5EF4-FFF2-40B4-BE49-F238E27FC236}">
              <a16:creationId xmlns:a16="http://schemas.microsoft.com/office/drawing/2014/main" id="{18150E8C-CA8B-4EDC-9916-5A5613326852}"/>
            </a:ext>
          </a:extLst>
        </xdr:cNvPr>
        <xdr:cNvCxnSpPr/>
      </xdr:nvCxnSpPr>
      <xdr:spPr>
        <a:xfrm flipH="1">
          <a:off x="10228098" y="9133161"/>
          <a:ext cx="9963" cy="10839"/>
        </a:xfrm>
        <a:prstGeom prst="line">
          <a:avLst/>
        </a:prstGeom>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78</xdr:col>
      <xdr:colOff>9300</xdr:colOff>
      <xdr:row>0</xdr:row>
      <xdr:rowOff>152400</xdr:rowOff>
    </xdr:from>
    <xdr:to>
      <xdr:col>78</xdr:col>
      <xdr:colOff>26795</xdr:colOff>
      <xdr:row>54</xdr:row>
      <xdr:rowOff>154938</xdr:rowOff>
    </xdr:to>
    <xdr:cxnSp macro="">
      <xdr:nvCxnSpPr>
        <xdr:cNvPr id="4" name="Straight Connector 3">
          <a:extLst>
            <a:ext uri="{FF2B5EF4-FFF2-40B4-BE49-F238E27FC236}">
              <a16:creationId xmlns:a16="http://schemas.microsoft.com/office/drawing/2014/main" id="{4F136C83-3EF3-4DC7-A559-0C01072381EB}"/>
            </a:ext>
          </a:extLst>
        </xdr:cNvPr>
        <xdr:cNvCxnSpPr/>
      </xdr:nvCxnSpPr>
      <xdr:spPr>
        <a:xfrm>
          <a:off x="54863775" y="152400"/>
          <a:ext cx="17495" cy="10346688"/>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518948</xdr:colOff>
      <xdr:row>54</xdr:row>
      <xdr:rowOff>151086</xdr:rowOff>
    </xdr:from>
    <xdr:to>
      <xdr:col>14</xdr:col>
      <xdr:colOff>532086</xdr:colOff>
      <xdr:row>55</xdr:row>
      <xdr:rowOff>0</xdr:rowOff>
    </xdr:to>
    <xdr:cxnSp macro="">
      <xdr:nvCxnSpPr>
        <xdr:cNvPr id="5" name="Straight Connector 4">
          <a:extLst>
            <a:ext uri="{FF2B5EF4-FFF2-40B4-BE49-F238E27FC236}">
              <a16:creationId xmlns:a16="http://schemas.microsoft.com/office/drawing/2014/main" id="{CAF3F637-4CB0-464C-91AE-8C9969B0800E}"/>
            </a:ext>
          </a:extLst>
        </xdr:cNvPr>
        <xdr:cNvCxnSpPr/>
      </xdr:nvCxnSpPr>
      <xdr:spPr>
        <a:xfrm flipH="1">
          <a:off x="10228098" y="9790386"/>
          <a:ext cx="9963" cy="10839"/>
        </a:xfrm>
        <a:prstGeom prst="line">
          <a:avLst/>
        </a:prstGeom>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14</xdr:col>
      <xdr:colOff>518948</xdr:colOff>
      <xdr:row>50</xdr:row>
      <xdr:rowOff>151086</xdr:rowOff>
    </xdr:from>
    <xdr:to>
      <xdr:col>14</xdr:col>
      <xdr:colOff>532086</xdr:colOff>
      <xdr:row>51</xdr:row>
      <xdr:rowOff>0</xdr:rowOff>
    </xdr:to>
    <xdr:cxnSp macro="">
      <xdr:nvCxnSpPr>
        <xdr:cNvPr id="6" name="Straight Connector 5">
          <a:extLst>
            <a:ext uri="{FF2B5EF4-FFF2-40B4-BE49-F238E27FC236}">
              <a16:creationId xmlns:a16="http://schemas.microsoft.com/office/drawing/2014/main" id="{2208A1CD-3C98-4624-9EA5-28731B0E49DD}"/>
            </a:ext>
          </a:extLst>
        </xdr:cNvPr>
        <xdr:cNvCxnSpPr/>
      </xdr:nvCxnSpPr>
      <xdr:spPr>
        <a:xfrm flipH="1">
          <a:off x="10228098" y="9133161"/>
          <a:ext cx="9963" cy="10839"/>
        </a:xfrm>
        <a:prstGeom prst="line">
          <a:avLst/>
        </a:prstGeom>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14</xdr:col>
      <xdr:colOff>518948</xdr:colOff>
      <xdr:row>54</xdr:row>
      <xdr:rowOff>151086</xdr:rowOff>
    </xdr:from>
    <xdr:to>
      <xdr:col>14</xdr:col>
      <xdr:colOff>532086</xdr:colOff>
      <xdr:row>55</xdr:row>
      <xdr:rowOff>0</xdr:rowOff>
    </xdr:to>
    <xdr:cxnSp macro="">
      <xdr:nvCxnSpPr>
        <xdr:cNvPr id="7" name="Straight Connector 6">
          <a:extLst>
            <a:ext uri="{FF2B5EF4-FFF2-40B4-BE49-F238E27FC236}">
              <a16:creationId xmlns:a16="http://schemas.microsoft.com/office/drawing/2014/main" id="{AD9EA790-5E80-41B4-AD04-34516E9351C2}"/>
            </a:ext>
          </a:extLst>
        </xdr:cNvPr>
        <xdr:cNvCxnSpPr/>
      </xdr:nvCxnSpPr>
      <xdr:spPr>
        <a:xfrm flipH="1">
          <a:off x="10228098" y="9790386"/>
          <a:ext cx="9963" cy="10839"/>
        </a:xfrm>
        <a:prstGeom prst="line">
          <a:avLst/>
        </a:prstGeom>
        <a:ln/>
      </xdr:spPr>
      <xdr:style>
        <a:lnRef idx="2">
          <a:schemeClr val="accent2"/>
        </a:lnRef>
        <a:fillRef idx="0">
          <a:schemeClr val="accent2"/>
        </a:fillRef>
        <a:effectRef idx="1">
          <a:schemeClr val="accent2"/>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49</xdr:col>
      <xdr:colOff>678369</xdr:colOff>
      <xdr:row>0</xdr:row>
      <xdr:rowOff>0</xdr:rowOff>
    </xdr:from>
    <xdr:to>
      <xdr:col>49</xdr:col>
      <xdr:colOff>678369</xdr:colOff>
      <xdr:row>47</xdr:row>
      <xdr:rowOff>140493</xdr:rowOff>
    </xdr:to>
    <xdr:cxnSp macro="">
      <xdr:nvCxnSpPr>
        <xdr:cNvPr id="5" name="Straight Connector 1">
          <a:extLst>
            <a:ext uri="{FF2B5EF4-FFF2-40B4-BE49-F238E27FC236}">
              <a16:creationId xmlns:a16="http://schemas.microsoft.com/office/drawing/2014/main" id="{D7C4464F-F264-4C79-BA92-5C198DD8081E}"/>
            </a:ext>
          </a:extLst>
        </xdr:cNvPr>
        <xdr:cNvCxnSpPr/>
      </xdr:nvCxnSpPr>
      <xdr:spPr>
        <a:xfrm flipH="1">
          <a:off x="36858715" y="0"/>
          <a:ext cx="0" cy="8647051"/>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145996</xdr:colOff>
      <xdr:row>1</xdr:row>
      <xdr:rowOff>34578</xdr:rowOff>
    </xdr:from>
    <xdr:to>
      <xdr:col>2</xdr:col>
      <xdr:colOff>630463</xdr:colOff>
      <xdr:row>3</xdr:row>
      <xdr:rowOff>249021</xdr:rowOff>
    </xdr:to>
    <xdr:pic>
      <xdr:nvPicPr>
        <xdr:cNvPr id="2" name="Picture 1">
          <a:extLst>
            <a:ext uri="{FF2B5EF4-FFF2-40B4-BE49-F238E27FC236}">
              <a16:creationId xmlns:a16="http://schemas.microsoft.com/office/drawing/2014/main" id="{B45726BB-8035-404A-9DC5-8519298E494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3796" y="183803"/>
          <a:ext cx="1888938" cy="818963"/>
        </a:xfrm>
        <a:prstGeom prst="rect">
          <a:avLst/>
        </a:prstGeom>
      </xdr:spPr>
    </xdr:pic>
    <xdr:clientData/>
  </xdr:twoCellAnchor>
  <xdr:twoCellAnchor editAs="oneCell">
    <xdr:from>
      <xdr:col>1</xdr:col>
      <xdr:colOff>145996</xdr:colOff>
      <xdr:row>1</xdr:row>
      <xdr:rowOff>34578</xdr:rowOff>
    </xdr:from>
    <xdr:to>
      <xdr:col>2</xdr:col>
      <xdr:colOff>630463</xdr:colOff>
      <xdr:row>3</xdr:row>
      <xdr:rowOff>249021</xdr:rowOff>
    </xdr:to>
    <xdr:pic>
      <xdr:nvPicPr>
        <xdr:cNvPr id="3" name="Picture 2">
          <a:extLst>
            <a:ext uri="{FF2B5EF4-FFF2-40B4-BE49-F238E27FC236}">
              <a16:creationId xmlns:a16="http://schemas.microsoft.com/office/drawing/2014/main" id="{749898DD-54A9-475D-A6A3-4773B60219C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3796" y="183803"/>
          <a:ext cx="1888938" cy="818963"/>
        </a:xfrm>
        <a:prstGeom prst="rect">
          <a:avLst/>
        </a:prstGeom>
      </xdr:spPr>
    </xdr:pic>
    <xdr:clientData/>
  </xdr:twoCellAnchor>
  <xdr:twoCellAnchor editAs="oneCell">
    <xdr:from>
      <xdr:col>1</xdr:col>
      <xdr:colOff>145996</xdr:colOff>
      <xdr:row>1</xdr:row>
      <xdr:rowOff>34578</xdr:rowOff>
    </xdr:from>
    <xdr:to>
      <xdr:col>2</xdr:col>
      <xdr:colOff>611189</xdr:colOff>
      <xdr:row>3</xdr:row>
      <xdr:rowOff>249021</xdr:rowOff>
    </xdr:to>
    <xdr:pic>
      <xdr:nvPicPr>
        <xdr:cNvPr id="4" name="Picture 3">
          <a:extLst>
            <a:ext uri="{FF2B5EF4-FFF2-40B4-BE49-F238E27FC236}">
              <a16:creationId xmlns:a16="http://schemas.microsoft.com/office/drawing/2014/main" id="{D115D073-A542-4F1E-B39A-ECF290F2FAA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1256" y="186978"/>
          <a:ext cx="1859728" cy="810073"/>
        </a:xfrm>
        <a:prstGeom prst="rect">
          <a:avLst/>
        </a:prstGeom>
      </xdr:spPr>
    </xdr:pic>
    <xdr:clientData/>
  </xdr:twoCellAnchor>
  <xdr:twoCellAnchor editAs="oneCell">
    <xdr:from>
      <xdr:col>1</xdr:col>
      <xdr:colOff>145996</xdr:colOff>
      <xdr:row>1</xdr:row>
      <xdr:rowOff>34578</xdr:rowOff>
    </xdr:from>
    <xdr:to>
      <xdr:col>2</xdr:col>
      <xdr:colOff>611189</xdr:colOff>
      <xdr:row>3</xdr:row>
      <xdr:rowOff>249021</xdr:rowOff>
    </xdr:to>
    <xdr:pic>
      <xdr:nvPicPr>
        <xdr:cNvPr id="5" name="Picture 4">
          <a:extLst>
            <a:ext uri="{FF2B5EF4-FFF2-40B4-BE49-F238E27FC236}">
              <a16:creationId xmlns:a16="http://schemas.microsoft.com/office/drawing/2014/main" id="{B3CC0651-C244-4011-986F-2B811558368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7446" y="186978"/>
          <a:ext cx="1825438" cy="806263"/>
        </a:xfrm>
        <a:prstGeom prst="rect">
          <a:avLst/>
        </a:prstGeom>
      </xdr:spPr>
    </xdr:pic>
    <xdr:clientData/>
  </xdr:twoCellAnchor>
  <xdr:twoCellAnchor editAs="oneCell">
    <xdr:from>
      <xdr:col>1</xdr:col>
      <xdr:colOff>145996</xdr:colOff>
      <xdr:row>1</xdr:row>
      <xdr:rowOff>34578</xdr:rowOff>
    </xdr:from>
    <xdr:to>
      <xdr:col>2</xdr:col>
      <xdr:colOff>630874</xdr:colOff>
      <xdr:row>3</xdr:row>
      <xdr:rowOff>249021</xdr:rowOff>
    </xdr:to>
    <xdr:pic>
      <xdr:nvPicPr>
        <xdr:cNvPr id="6" name="Picture 5">
          <a:extLst>
            <a:ext uri="{FF2B5EF4-FFF2-40B4-BE49-F238E27FC236}">
              <a16:creationId xmlns:a16="http://schemas.microsoft.com/office/drawing/2014/main" id="{F0305206-EFC9-4676-A5A2-F0B87DC9F6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1256" y="186978"/>
          <a:ext cx="1859728" cy="810073"/>
        </a:xfrm>
        <a:prstGeom prst="rect">
          <a:avLst/>
        </a:prstGeom>
      </xdr:spPr>
    </xdr:pic>
    <xdr:clientData/>
  </xdr:twoCellAnchor>
  <xdr:twoCellAnchor editAs="oneCell">
    <xdr:from>
      <xdr:col>1</xdr:col>
      <xdr:colOff>145996</xdr:colOff>
      <xdr:row>1</xdr:row>
      <xdr:rowOff>34578</xdr:rowOff>
    </xdr:from>
    <xdr:to>
      <xdr:col>2</xdr:col>
      <xdr:colOff>630165</xdr:colOff>
      <xdr:row>3</xdr:row>
      <xdr:rowOff>249021</xdr:rowOff>
    </xdr:to>
    <xdr:pic>
      <xdr:nvPicPr>
        <xdr:cNvPr id="7" name="Picture 6">
          <a:extLst>
            <a:ext uri="{FF2B5EF4-FFF2-40B4-BE49-F238E27FC236}">
              <a16:creationId xmlns:a16="http://schemas.microsoft.com/office/drawing/2014/main" id="{0A57E4C5-A333-4F15-BA8C-71A063DF177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7446" y="186978"/>
          <a:ext cx="1815913" cy="806263"/>
        </a:xfrm>
        <a:prstGeom prst="rect">
          <a:avLst/>
        </a:prstGeom>
      </xdr:spPr>
    </xdr:pic>
    <xdr:clientData/>
  </xdr:twoCellAnchor>
  <xdr:twoCellAnchor editAs="oneCell">
    <xdr:from>
      <xdr:col>1</xdr:col>
      <xdr:colOff>145996</xdr:colOff>
      <xdr:row>1</xdr:row>
      <xdr:rowOff>34578</xdr:rowOff>
    </xdr:from>
    <xdr:to>
      <xdr:col>2</xdr:col>
      <xdr:colOff>629679</xdr:colOff>
      <xdr:row>3</xdr:row>
      <xdr:rowOff>249021</xdr:rowOff>
    </xdr:to>
    <xdr:pic>
      <xdr:nvPicPr>
        <xdr:cNvPr id="8" name="Picture 7">
          <a:extLst>
            <a:ext uri="{FF2B5EF4-FFF2-40B4-BE49-F238E27FC236}">
              <a16:creationId xmlns:a16="http://schemas.microsoft.com/office/drawing/2014/main" id="{753C97AE-1BCE-473E-8A58-46D5C53F14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7446" y="186978"/>
          <a:ext cx="1815913" cy="806263"/>
        </a:xfrm>
        <a:prstGeom prst="rect">
          <a:avLst/>
        </a:prstGeom>
      </xdr:spPr>
    </xdr:pic>
    <xdr:clientData/>
  </xdr:twoCellAnchor>
  <xdr:twoCellAnchor editAs="oneCell">
    <xdr:from>
      <xdr:col>1</xdr:col>
      <xdr:colOff>145996</xdr:colOff>
      <xdr:row>1</xdr:row>
      <xdr:rowOff>34578</xdr:rowOff>
    </xdr:from>
    <xdr:to>
      <xdr:col>2</xdr:col>
      <xdr:colOff>668414</xdr:colOff>
      <xdr:row>3</xdr:row>
      <xdr:rowOff>256006</xdr:rowOff>
    </xdr:to>
    <xdr:pic>
      <xdr:nvPicPr>
        <xdr:cNvPr id="9" name="Picture 8">
          <a:extLst>
            <a:ext uri="{FF2B5EF4-FFF2-40B4-BE49-F238E27FC236}">
              <a16:creationId xmlns:a16="http://schemas.microsoft.com/office/drawing/2014/main" id="{EF482D37-C3E0-4C41-87AD-12A33107C8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3796" y="186978"/>
          <a:ext cx="1882588" cy="812613"/>
        </a:xfrm>
        <a:prstGeom prst="rect">
          <a:avLst/>
        </a:prstGeom>
      </xdr:spPr>
    </xdr:pic>
    <xdr:clientData/>
  </xdr:twoCellAnchor>
  <xdr:twoCellAnchor editAs="oneCell">
    <xdr:from>
      <xdr:col>1</xdr:col>
      <xdr:colOff>145996</xdr:colOff>
      <xdr:row>1</xdr:row>
      <xdr:rowOff>34578</xdr:rowOff>
    </xdr:from>
    <xdr:to>
      <xdr:col>2</xdr:col>
      <xdr:colOff>592214</xdr:colOff>
      <xdr:row>3</xdr:row>
      <xdr:rowOff>249021</xdr:rowOff>
    </xdr:to>
    <xdr:pic>
      <xdr:nvPicPr>
        <xdr:cNvPr id="10" name="Picture 9">
          <a:extLst>
            <a:ext uri="{FF2B5EF4-FFF2-40B4-BE49-F238E27FC236}">
              <a16:creationId xmlns:a16="http://schemas.microsoft.com/office/drawing/2014/main" id="{E7996491-1A38-45F2-ACD3-D4AF30D1268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7446" y="186978"/>
          <a:ext cx="1815913" cy="806263"/>
        </a:xfrm>
        <a:prstGeom prst="rect">
          <a:avLst/>
        </a:prstGeom>
      </xdr:spPr>
    </xdr:pic>
    <xdr:clientData/>
  </xdr:twoCellAnchor>
  <xdr:twoCellAnchor editAs="oneCell">
    <xdr:from>
      <xdr:col>1</xdr:col>
      <xdr:colOff>145996</xdr:colOff>
      <xdr:row>1</xdr:row>
      <xdr:rowOff>34578</xdr:rowOff>
    </xdr:from>
    <xdr:to>
      <xdr:col>2</xdr:col>
      <xdr:colOff>592214</xdr:colOff>
      <xdr:row>3</xdr:row>
      <xdr:rowOff>243941</xdr:rowOff>
    </xdr:to>
    <xdr:pic>
      <xdr:nvPicPr>
        <xdr:cNvPr id="11" name="Picture 10">
          <a:extLst>
            <a:ext uri="{FF2B5EF4-FFF2-40B4-BE49-F238E27FC236}">
              <a16:creationId xmlns:a16="http://schemas.microsoft.com/office/drawing/2014/main" id="{EF3B78A2-2A84-4FA2-99D4-B36798DDA5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3796" y="186978"/>
          <a:ext cx="1882588" cy="812613"/>
        </a:xfrm>
        <a:prstGeom prst="rect">
          <a:avLst/>
        </a:prstGeom>
      </xdr:spPr>
    </xdr:pic>
    <xdr:clientData/>
  </xdr:twoCellAnchor>
  <xdr:twoCellAnchor editAs="oneCell">
    <xdr:from>
      <xdr:col>1</xdr:col>
      <xdr:colOff>145996</xdr:colOff>
      <xdr:row>1</xdr:row>
      <xdr:rowOff>34578</xdr:rowOff>
    </xdr:from>
    <xdr:to>
      <xdr:col>2</xdr:col>
      <xdr:colOff>599199</xdr:colOff>
      <xdr:row>3</xdr:row>
      <xdr:rowOff>249656</xdr:rowOff>
    </xdr:to>
    <xdr:pic>
      <xdr:nvPicPr>
        <xdr:cNvPr id="12" name="Picture 11">
          <a:extLst>
            <a:ext uri="{FF2B5EF4-FFF2-40B4-BE49-F238E27FC236}">
              <a16:creationId xmlns:a16="http://schemas.microsoft.com/office/drawing/2014/main" id="{913172D0-79AE-4C4E-B744-2F0B1D000E8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3796" y="186978"/>
          <a:ext cx="1882588" cy="812613"/>
        </a:xfrm>
        <a:prstGeom prst="rect">
          <a:avLst/>
        </a:prstGeom>
      </xdr:spPr>
    </xdr:pic>
    <xdr:clientData/>
  </xdr:twoCellAnchor>
  <xdr:twoCellAnchor editAs="oneCell">
    <xdr:from>
      <xdr:col>1</xdr:col>
      <xdr:colOff>145996</xdr:colOff>
      <xdr:row>1</xdr:row>
      <xdr:rowOff>34578</xdr:rowOff>
    </xdr:from>
    <xdr:to>
      <xdr:col>2</xdr:col>
      <xdr:colOff>592214</xdr:colOff>
      <xdr:row>3</xdr:row>
      <xdr:rowOff>249656</xdr:rowOff>
    </xdr:to>
    <xdr:pic>
      <xdr:nvPicPr>
        <xdr:cNvPr id="13" name="Picture 12">
          <a:extLst>
            <a:ext uri="{FF2B5EF4-FFF2-40B4-BE49-F238E27FC236}">
              <a16:creationId xmlns:a16="http://schemas.microsoft.com/office/drawing/2014/main" id="{6B6C4067-995D-42B7-80DD-078F043949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3796" y="186978"/>
          <a:ext cx="1885763" cy="812613"/>
        </a:xfrm>
        <a:prstGeom prst="rect">
          <a:avLst/>
        </a:prstGeom>
      </xdr:spPr>
    </xdr:pic>
    <xdr:clientData/>
  </xdr:twoCellAnchor>
  <xdr:twoCellAnchor editAs="oneCell">
    <xdr:from>
      <xdr:col>1</xdr:col>
      <xdr:colOff>145996</xdr:colOff>
      <xdr:row>1</xdr:row>
      <xdr:rowOff>34578</xdr:rowOff>
    </xdr:from>
    <xdr:to>
      <xdr:col>2</xdr:col>
      <xdr:colOff>592214</xdr:colOff>
      <xdr:row>3</xdr:row>
      <xdr:rowOff>249021</xdr:rowOff>
    </xdr:to>
    <xdr:pic>
      <xdr:nvPicPr>
        <xdr:cNvPr id="14" name="Picture 13">
          <a:extLst>
            <a:ext uri="{FF2B5EF4-FFF2-40B4-BE49-F238E27FC236}">
              <a16:creationId xmlns:a16="http://schemas.microsoft.com/office/drawing/2014/main" id="{05CEBCB2-6BED-49C8-9251-6C45AC0F64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3796" y="183803"/>
          <a:ext cx="1888938" cy="818963"/>
        </a:xfrm>
        <a:prstGeom prst="rect">
          <a:avLst/>
        </a:prstGeom>
      </xdr:spPr>
    </xdr:pic>
    <xdr:clientData/>
  </xdr:twoCellAnchor>
  <xdr:twoCellAnchor editAs="oneCell">
    <xdr:from>
      <xdr:col>1</xdr:col>
      <xdr:colOff>145996</xdr:colOff>
      <xdr:row>1</xdr:row>
      <xdr:rowOff>34578</xdr:rowOff>
    </xdr:from>
    <xdr:to>
      <xdr:col>2</xdr:col>
      <xdr:colOff>592214</xdr:colOff>
      <xdr:row>3</xdr:row>
      <xdr:rowOff>249021</xdr:rowOff>
    </xdr:to>
    <xdr:pic>
      <xdr:nvPicPr>
        <xdr:cNvPr id="15" name="Picture 14">
          <a:extLst>
            <a:ext uri="{FF2B5EF4-FFF2-40B4-BE49-F238E27FC236}">
              <a16:creationId xmlns:a16="http://schemas.microsoft.com/office/drawing/2014/main" id="{96C35C7A-1BE3-48D0-A8B3-28BE39D2D3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7446" y="186978"/>
          <a:ext cx="1819088" cy="806263"/>
        </a:xfrm>
        <a:prstGeom prst="rect">
          <a:avLst/>
        </a:prstGeom>
      </xdr:spPr>
    </xdr:pic>
    <xdr:clientData/>
  </xdr:twoCellAnchor>
  <xdr:twoCellAnchor editAs="oneCell">
    <xdr:from>
      <xdr:col>1</xdr:col>
      <xdr:colOff>145996</xdr:colOff>
      <xdr:row>1</xdr:row>
      <xdr:rowOff>34578</xdr:rowOff>
    </xdr:from>
    <xdr:to>
      <xdr:col>2</xdr:col>
      <xdr:colOff>592214</xdr:colOff>
      <xdr:row>3</xdr:row>
      <xdr:rowOff>249021</xdr:rowOff>
    </xdr:to>
    <xdr:pic>
      <xdr:nvPicPr>
        <xdr:cNvPr id="16" name="Picture 15">
          <a:extLst>
            <a:ext uri="{FF2B5EF4-FFF2-40B4-BE49-F238E27FC236}">
              <a16:creationId xmlns:a16="http://schemas.microsoft.com/office/drawing/2014/main" id="{99611A60-2AFB-46B0-B320-0E8B8041F3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7446" y="186978"/>
          <a:ext cx="1819088" cy="806263"/>
        </a:xfrm>
        <a:prstGeom prst="rect">
          <a:avLst/>
        </a:prstGeom>
      </xdr:spPr>
    </xdr:pic>
    <xdr:clientData/>
  </xdr:twoCellAnchor>
  <xdr:twoCellAnchor editAs="oneCell">
    <xdr:from>
      <xdr:col>1</xdr:col>
      <xdr:colOff>145996</xdr:colOff>
      <xdr:row>1</xdr:row>
      <xdr:rowOff>34578</xdr:rowOff>
    </xdr:from>
    <xdr:to>
      <xdr:col>2</xdr:col>
      <xdr:colOff>633489</xdr:colOff>
      <xdr:row>3</xdr:row>
      <xdr:rowOff>249021</xdr:rowOff>
    </xdr:to>
    <xdr:pic>
      <xdr:nvPicPr>
        <xdr:cNvPr id="17" name="Picture 16">
          <a:extLst>
            <a:ext uri="{FF2B5EF4-FFF2-40B4-BE49-F238E27FC236}">
              <a16:creationId xmlns:a16="http://schemas.microsoft.com/office/drawing/2014/main" id="{6EF0812C-7F3C-4B73-B358-D8894660CD1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3796" y="183803"/>
          <a:ext cx="1885763" cy="818963"/>
        </a:xfrm>
        <a:prstGeom prst="rect">
          <a:avLst/>
        </a:prstGeom>
      </xdr:spPr>
    </xdr:pic>
    <xdr:clientData/>
  </xdr:twoCellAnchor>
  <xdr:twoCellAnchor editAs="oneCell">
    <xdr:from>
      <xdr:col>1</xdr:col>
      <xdr:colOff>145996</xdr:colOff>
      <xdr:row>1</xdr:row>
      <xdr:rowOff>34578</xdr:rowOff>
    </xdr:from>
    <xdr:to>
      <xdr:col>2</xdr:col>
      <xdr:colOff>630949</xdr:colOff>
      <xdr:row>3</xdr:row>
      <xdr:rowOff>249021</xdr:rowOff>
    </xdr:to>
    <xdr:pic>
      <xdr:nvPicPr>
        <xdr:cNvPr id="18" name="Picture 17">
          <a:extLst>
            <a:ext uri="{FF2B5EF4-FFF2-40B4-BE49-F238E27FC236}">
              <a16:creationId xmlns:a16="http://schemas.microsoft.com/office/drawing/2014/main" id="{607414BE-609C-48D8-806D-E3E19868E9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3796" y="183803"/>
          <a:ext cx="1885763" cy="818963"/>
        </a:xfrm>
        <a:prstGeom prst="rect">
          <a:avLst/>
        </a:prstGeom>
      </xdr:spPr>
    </xdr:pic>
    <xdr:clientData/>
  </xdr:twoCellAnchor>
  <xdr:twoCellAnchor editAs="oneCell">
    <xdr:from>
      <xdr:col>1</xdr:col>
      <xdr:colOff>145996</xdr:colOff>
      <xdr:row>1</xdr:row>
      <xdr:rowOff>34578</xdr:rowOff>
    </xdr:from>
    <xdr:to>
      <xdr:col>2</xdr:col>
      <xdr:colOff>625234</xdr:colOff>
      <xdr:row>3</xdr:row>
      <xdr:rowOff>249021</xdr:rowOff>
    </xdr:to>
    <xdr:pic>
      <xdr:nvPicPr>
        <xdr:cNvPr id="19" name="Picture 18">
          <a:extLst>
            <a:ext uri="{FF2B5EF4-FFF2-40B4-BE49-F238E27FC236}">
              <a16:creationId xmlns:a16="http://schemas.microsoft.com/office/drawing/2014/main" id="{56D701FB-6DFD-49D8-B4E1-18A866EB85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3796" y="183803"/>
          <a:ext cx="1885763" cy="818963"/>
        </a:xfrm>
        <a:prstGeom prst="rect">
          <a:avLst/>
        </a:prstGeom>
      </xdr:spPr>
    </xdr:pic>
    <xdr:clientData/>
  </xdr:twoCellAnchor>
  <xdr:twoCellAnchor editAs="oneCell">
    <xdr:from>
      <xdr:col>1</xdr:col>
      <xdr:colOff>145996</xdr:colOff>
      <xdr:row>1</xdr:row>
      <xdr:rowOff>34578</xdr:rowOff>
    </xdr:from>
    <xdr:to>
      <xdr:col>2</xdr:col>
      <xdr:colOff>625869</xdr:colOff>
      <xdr:row>3</xdr:row>
      <xdr:rowOff>254101</xdr:rowOff>
    </xdr:to>
    <xdr:pic>
      <xdr:nvPicPr>
        <xdr:cNvPr id="20" name="Picture 19">
          <a:extLst>
            <a:ext uri="{FF2B5EF4-FFF2-40B4-BE49-F238E27FC236}">
              <a16:creationId xmlns:a16="http://schemas.microsoft.com/office/drawing/2014/main" id="{B72B95D0-CEDC-4ECA-8AA3-0D85F6A1F8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3796" y="183803"/>
          <a:ext cx="1885763" cy="818963"/>
        </a:xfrm>
        <a:prstGeom prst="rect">
          <a:avLst/>
        </a:prstGeom>
      </xdr:spPr>
    </xdr:pic>
    <xdr:clientData/>
  </xdr:twoCellAnchor>
  <xdr:twoCellAnchor editAs="oneCell">
    <xdr:from>
      <xdr:col>1</xdr:col>
      <xdr:colOff>145996</xdr:colOff>
      <xdr:row>1</xdr:row>
      <xdr:rowOff>34578</xdr:rowOff>
    </xdr:from>
    <xdr:to>
      <xdr:col>2</xdr:col>
      <xdr:colOff>623329</xdr:colOff>
      <xdr:row>3</xdr:row>
      <xdr:rowOff>256641</xdr:rowOff>
    </xdr:to>
    <xdr:pic>
      <xdr:nvPicPr>
        <xdr:cNvPr id="21" name="Picture 20">
          <a:extLst>
            <a:ext uri="{FF2B5EF4-FFF2-40B4-BE49-F238E27FC236}">
              <a16:creationId xmlns:a16="http://schemas.microsoft.com/office/drawing/2014/main" id="{2073F0D0-E1D1-48F8-91E8-18A8E6F8E41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3796" y="183803"/>
          <a:ext cx="1885763" cy="81896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1</xdr:col>
      <xdr:colOff>232468</xdr:colOff>
      <xdr:row>1</xdr:row>
      <xdr:rowOff>112085</xdr:rowOff>
    </xdr:from>
    <xdr:ext cx="1884829" cy="827181"/>
    <xdr:pic>
      <xdr:nvPicPr>
        <xdr:cNvPr id="2" name="Picture 1">
          <a:extLst>
            <a:ext uri="{FF2B5EF4-FFF2-40B4-BE49-F238E27FC236}">
              <a16:creationId xmlns:a16="http://schemas.microsoft.com/office/drawing/2014/main" id="{ADD4ED6C-7B70-4C3D-B69A-0DF840B517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1762" y="264485"/>
          <a:ext cx="1884829" cy="827181"/>
        </a:xfrm>
        <a:prstGeom prst="rect">
          <a:avLst/>
        </a:prstGeom>
      </xdr:spPr>
    </xdr:pic>
    <xdr:clientData/>
  </xdr:oneCellAnchor>
  <xdr:oneCellAnchor>
    <xdr:from>
      <xdr:col>1</xdr:col>
      <xdr:colOff>142821</xdr:colOff>
      <xdr:row>1</xdr:row>
      <xdr:rowOff>31403</xdr:rowOff>
    </xdr:from>
    <xdr:ext cx="1865593" cy="819523"/>
    <xdr:pic>
      <xdr:nvPicPr>
        <xdr:cNvPr id="3" name="Picture 2">
          <a:extLst>
            <a:ext uri="{FF2B5EF4-FFF2-40B4-BE49-F238E27FC236}">
              <a16:creationId xmlns:a16="http://schemas.microsoft.com/office/drawing/2014/main" id="{96343509-822F-4D9D-9F8D-CAF763E112D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8081" y="183803"/>
          <a:ext cx="1862903" cy="813248"/>
        </a:xfrm>
        <a:prstGeom prst="rect">
          <a:avLst/>
        </a:prstGeom>
      </xdr:spPr>
    </xdr:pic>
    <xdr:clientData/>
  </xdr:oneCellAnchor>
  <xdr:twoCellAnchor editAs="oneCell">
    <xdr:from>
      <xdr:col>1</xdr:col>
      <xdr:colOff>142821</xdr:colOff>
      <xdr:row>1</xdr:row>
      <xdr:rowOff>31403</xdr:rowOff>
    </xdr:from>
    <xdr:to>
      <xdr:col>2</xdr:col>
      <xdr:colOff>619732</xdr:colOff>
      <xdr:row>3</xdr:row>
      <xdr:rowOff>250291</xdr:rowOff>
    </xdr:to>
    <xdr:pic>
      <xdr:nvPicPr>
        <xdr:cNvPr id="4" name="Picture 3">
          <a:extLst>
            <a:ext uri="{FF2B5EF4-FFF2-40B4-BE49-F238E27FC236}">
              <a16:creationId xmlns:a16="http://schemas.microsoft.com/office/drawing/2014/main" id="{4334486F-F80B-43E0-87C6-280BCD7E08D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8081" y="183803"/>
          <a:ext cx="1862903" cy="813248"/>
        </a:xfrm>
        <a:prstGeom prst="rect">
          <a:avLst/>
        </a:prstGeom>
      </xdr:spPr>
    </xdr:pic>
    <xdr:clientData/>
  </xdr:twoCellAnchor>
  <xdr:twoCellAnchor editAs="oneCell">
    <xdr:from>
      <xdr:col>1</xdr:col>
      <xdr:colOff>142821</xdr:colOff>
      <xdr:row>1</xdr:row>
      <xdr:rowOff>31403</xdr:rowOff>
    </xdr:from>
    <xdr:to>
      <xdr:col>2</xdr:col>
      <xdr:colOff>619658</xdr:colOff>
      <xdr:row>3</xdr:row>
      <xdr:rowOff>259816</xdr:rowOff>
    </xdr:to>
    <xdr:pic>
      <xdr:nvPicPr>
        <xdr:cNvPr id="5" name="Picture 4">
          <a:extLst>
            <a:ext uri="{FF2B5EF4-FFF2-40B4-BE49-F238E27FC236}">
              <a16:creationId xmlns:a16="http://schemas.microsoft.com/office/drawing/2014/main" id="{DB84F2E3-0B50-4354-ACE5-DC34F6E690E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4271" y="183803"/>
          <a:ext cx="1828613" cy="809438"/>
        </a:xfrm>
        <a:prstGeom prst="rect">
          <a:avLst/>
        </a:prstGeom>
      </xdr:spPr>
    </xdr:pic>
    <xdr:clientData/>
  </xdr:twoCellAnchor>
  <xdr:twoCellAnchor editAs="oneCell">
    <xdr:from>
      <xdr:col>1</xdr:col>
      <xdr:colOff>142821</xdr:colOff>
      <xdr:row>1</xdr:row>
      <xdr:rowOff>31403</xdr:rowOff>
    </xdr:from>
    <xdr:to>
      <xdr:col>2</xdr:col>
      <xdr:colOff>626008</xdr:colOff>
      <xdr:row>3</xdr:row>
      <xdr:rowOff>245846</xdr:rowOff>
    </xdr:to>
    <xdr:pic>
      <xdr:nvPicPr>
        <xdr:cNvPr id="6" name="Picture 5">
          <a:extLst>
            <a:ext uri="{FF2B5EF4-FFF2-40B4-BE49-F238E27FC236}">
              <a16:creationId xmlns:a16="http://schemas.microsoft.com/office/drawing/2014/main" id="{B4CD5805-BD0D-447F-8E4B-86A63F22C9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6971" y="180628"/>
          <a:ext cx="1885763" cy="822138"/>
        </a:xfrm>
        <a:prstGeom prst="rect">
          <a:avLst/>
        </a:prstGeom>
      </xdr:spPr>
    </xdr:pic>
    <xdr:clientData/>
  </xdr:twoCellAnchor>
  <xdr:twoCellAnchor editAs="oneCell">
    <xdr:from>
      <xdr:col>1</xdr:col>
      <xdr:colOff>142821</xdr:colOff>
      <xdr:row>1</xdr:row>
      <xdr:rowOff>31403</xdr:rowOff>
    </xdr:from>
    <xdr:to>
      <xdr:col>2</xdr:col>
      <xdr:colOff>606958</xdr:colOff>
      <xdr:row>3</xdr:row>
      <xdr:rowOff>250291</xdr:rowOff>
    </xdr:to>
    <xdr:pic>
      <xdr:nvPicPr>
        <xdr:cNvPr id="7" name="Picture 6">
          <a:extLst>
            <a:ext uri="{FF2B5EF4-FFF2-40B4-BE49-F238E27FC236}">
              <a16:creationId xmlns:a16="http://schemas.microsoft.com/office/drawing/2014/main" id="{2D97BBEE-4136-47F5-B770-388A14AC4F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4271" y="183803"/>
          <a:ext cx="1819088" cy="809438"/>
        </a:xfrm>
        <a:prstGeom prst="rect">
          <a:avLst/>
        </a:prstGeom>
      </xdr:spPr>
    </xdr:pic>
    <xdr:clientData/>
  </xdr:twoCellAnchor>
  <xdr:twoCellAnchor editAs="oneCell">
    <xdr:from>
      <xdr:col>1</xdr:col>
      <xdr:colOff>142821</xdr:colOff>
      <xdr:row>1</xdr:row>
      <xdr:rowOff>31403</xdr:rowOff>
    </xdr:from>
    <xdr:to>
      <xdr:col>2</xdr:col>
      <xdr:colOff>608452</xdr:colOff>
      <xdr:row>3</xdr:row>
      <xdr:rowOff>240766</xdr:rowOff>
    </xdr:to>
    <xdr:pic>
      <xdr:nvPicPr>
        <xdr:cNvPr id="8" name="Picture 7">
          <a:extLst>
            <a:ext uri="{FF2B5EF4-FFF2-40B4-BE49-F238E27FC236}">
              <a16:creationId xmlns:a16="http://schemas.microsoft.com/office/drawing/2014/main" id="{27D185DC-C1C1-4FAC-A6BD-EA3699ED55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0621" y="183803"/>
          <a:ext cx="1885763" cy="815788"/>
        </a:xfrm>
        <a:prstGeom prst="rect">
          <a:avLst/>
        </a:prstGeom>
      </xdr:spPr>
    </xdr:pic>
    <xdr:clientData/>
  </xdr:twoCellAnchor>
  <xdr:twoCellAnchor editAs="oneCell">
    <xdr:from>
      <xdr:col>1</xdr:col>
      <xdr:colOff>142821</xdr:colOff>
      <xdr:row>1</xdr:row>
      <xdr:rowOff>31403</xdr:rowOff>
    </xdr:from>
    <xdr:to>
      <xdr:col>2</xdr:col>
      <xdr:colOff>608452</xdr:colOff>
      <xdr:row>3</xdr:row>
      <xdr:rowOff>240766</xdr:rowOff>
    </xdr:to>
    <xdr:pic>
      <xdr:nvPicPr>
        <xdr:cNvPr id="9" name="Picture 8">
          <a:extLst>
            <a:ext uri="{FF2B5EF4-FFF2-40B4-BE49-F238E27FC236}">
              <a16:creationId xmlns:a16="http://schemas.microsoft.com/office/drawing/2014/main" id="{B9EB97CF-D3F1-4A62-9AEC-2AC78D14DBD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0621" y="183803"/>
          <a:ext cx="1885763" cy="815788"/>
        </a:xfrm>
        <a:prstGeom prst="rect">
          <a:avLst/>
        </a:prstGeom>
      </xdr:spPr>
    </xdr:pic>
    <xdr:clientData/>
  </xdr:twoCellAnchor>
  <xdr:twoCellAnchor editAs="oneCell">
    <xdr:from>
      <xdr:col>1</xdr:col>
      <xdr:colOff>142821</xdr:colOff>
      <xdr:row>1</xdr:row>
      <xdr:rowOff>31403</xdr:rowOff>
    </xdr:from>
    <xdr:to>
      <xdr:col>2</xdr:col>
      <xdr:colOff>608452</xdr:colOff>
      <xdr:row>3</xdr:row>
      <xdr:rowOff>250291</xdr:rowOff>
    </xdr:to>
    <xdr:pic>
      <xdr:nvPicPr>
        <xdr:cNvPr id="10" name="Picture 9">
          <a:extLst>
            <a:ext uri="{FF2B5EF4-FFF2-40B4-BE49-F238E27FC236}">
              <a16:creationId xmlns:a16="http://schemas.microsoft.com/office/drawing/2014/main" id="{5EC5A1D2-DB9A-4C52-ABAC-EFCFB9ECAE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4271" y="183803"/>
          <a:ext cx="1819088" cy="809438"/>
        </a:xfrm>
        <a:prstGeom prst="rect">
          <a:avLst/>
        </a:prstGeom>
      </xdr:spPr>
    </xdr:pic>
    <xdr:clientData/>
  </xdr:twoCellAnchor>
  <xdr:twoCellAnchor editAs="oneCell">
    <xdr:from>
      <xdr:col>1</xdr:col>
      <xdr:colOff>142821</xdr:colOff>
      <xdr:row>1</xdr:row>
      <xdr:rowOff>31403</xdr:rowOff>
    </xdr:from>
    <xdr:to>
      <xdr:col>2</xdr:col>
      <xdr:colOff>608452</xdr:colOff>
      <xdr:row>3</xdr:row>
      <xdr:rowOff>250291</xdr:rowOff>
    </xdr:to>
    <xdr:pic>
      <xdr:nvPicPr>
        <xdr:cNvPr id="11" name="Picture 10">
          <a:extLst>
            <a:ext uri="{FF2B5EF4-FFF2-40B4-BE49-F238E27FC236}">
              <a16:creationId xmlns:a16="http://schemas.microsoft.com/office/drawing/2014/main" id="{4BB6FAAC-424D-4480-9FB9-68D8AA00974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4271" y="183803"/>
          <a:ext cx="1819088" cy="809438"/>
        </a:xfrm>
        <a:prstGeom prst="rect">
          <a:avLst/>
        </a:prstGeom>
      </xdr:spPr>
    </xdr:pic>
    <xdr:clientData/>
  </xdr:twoCellAnchor>
  <xdr:twoCellAnchor editAs="oneCell">
    <xdr:from>
      <xdr:col>1</xdr:col>
      <xdr:colOff>142821</xdr:colOff>
      <xdr:row>1</xdr:row>
      <xdr:rowOff>31403</xdr:rowOff>
    </xdr:from>
    <xdr:to>
      <xdr:col>2</xdr:col>
      <xdr:colOff>608452</xdr:colOff>
      <xdr:row>3</xdr:row>
      <xdr:rowOff>250291</xdr:rowOff>
    </xdr:to>
    <xdr:pic>
      <xdr:nvPicPr>
        <xdr:cNvPr id="12" name="Picture 11">
          <a:extLst>
            <a:ext uri="{FF2B5EF4-FFF2-40B4-BE49-F238E27FC236}">
              <a16:creationId xmlns:a16="http://schemas.microsoft.com/office/drawing/2014/main" id="{25F1DB4E-1206-4086-9808-EA12E4F5E9E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4271" y="183803"/>
          <a:ext cx="1819088" cy="809438"/>
        </a:xfrm>
        <a:prstGeom prst="rect">
          <a:avLst/>
        </a:prstGeom>
      </xdr:spPr>
    </xdr:pic>
    <xdr:clientData/>
  </xdr:twoCellAnchor>
  <xdr:twoCellAnchor editAs="oneCell">
    <xdr:from>
      <xdr:col>1</xdr:col>
      <xdr:colOff>142821</xdr:colOff>
      <xdr:row>1</xdr:row>
      <xdr:rowOff>31403</xdr:rowOff>
    </xdr:from>
    <xdr:to>
      <xdr:col>2</xdr:col>
      <xdr:colOff>608452</xdr:colOff>
      <xdr:row>3</xdr:row>
      <xdr:rowOff>256641</xdr:rowOff>
    </xdr:to>
    <xdr:pic>
      <xdr:nvPicPr>
        <xdr:cNvPr id="13" name="Picture 12">
          <a:extLst>
            <a:ext uri="{FF2B5EF4-FFF2-40B4-BE49-F238E27FC236}">
              <a16:creationId xmlns:a16="http://schemas.microsoft.com/office/drawing/2014/main" id="{ED7E1DDB-D97E-498B-B824-F311C919D2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6971" y="180628"/>
          <a:ext cx="1885763" cy="822138"/>
        </a:xfrm>
        <a:prstGeom prst="rect">
          <a:avLst/>
        </a:prstGeom>
      </xdr:spPr>
    </xdr:pic>
    <xdr:clientData/>
  </xdr:twoCellAnchor>
  <xdr:twoCellAnchor editAs="oneCell">
    <xdr:from>
      <xdr:col>1</xdr:col>
      <xdr:colOff>142821</xdr:colOff>
      <xdr:row>1</xdr:row>
      <xdr:rowOff>31403</xdr:rowOff>
    </xdr:from>
    <xdr:to>
      <xdr:col>2</xdr:col>
      <xdr:colOff>631584</xdr:colOff>
      <xdr:row>3</xdr:row>
      <xdr:rowOff>250291</xdr:rowOff>
    </xdr:to>
    <xdr:pic>
      <xdr:nvPicPr>
        <xdr:cNvPr id="14" name="Picture 13">
          <a:extLst>
            <a:ext uri="{FF2B5EF4-FFF2-40B4-BE49-F238E27FC236}">
              <a16:creationId xmlns:a16="http://schemas.microsoft.com/office/drawing/2014/main" id="{E82233EE-B0F6-4AB3-856F-6E6A8E6AB2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6971" y="180628"/>
          <a:ext cx="1885763" cy="82213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xdr:col>
      <xdr:colOff>142821</xdr:colOff>
      <xdr:row>1</xdr:row>
      <xdr:rowOff>31403</xdr:rowOff>
    </xdr:from>
    <xdr:ext cx="1884829" cy="827181"/>
    <xdr:pic>
      <xdr:nvPicPr>
        <xdr:cNvPr id="2" name="Picture 1">
          <a:extLst>
            <a:ext uri="{FF2B5EF4-FFF2-40B4-BE49-F238E27FC236}">
              <a16:creationId xmlns:a16="http://schemas.microsoft.com/office/drawing/2014/main" id="{E83AD31C-34AA-4260-8079-4844F4499A9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6971" y="180628"/>
          <a:ext cx="1884829" cy="827181"/>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file:///\\audubon-engineering.com\shared\Documents%20and%20Settings\jmillican\Desktop\80102%20Total%20DCP\80102%20Project%20Controls\Documents%20and%20Settings\jmillican\Desktop\80086%20ExxonMobil%20O&amp;A%20Hurricane%20Recovery\80086%20Cost\80086%20Cost%20Report.xls?9FABC1BB" TargetMode="External"/><Relationship Id="rId1" Type="http://schemas.openxmlformats.org/officeDocument/2006/relationships/externalLinkPath" Target="file:///\\9FABC1BB\80086%20Cost%20Repor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slbaker\AppData\Local\Microsoft\Windows\Temporary%20Internet%20Files\Content.Outlook\DKR8IKTI\Construction%20Weekly%20Progress%20Curves%2010_31_10%20(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J:\Backup%20Akaer\Jose%20%20Working%20Backup_Files%20GLF\05.01.15%20Construction\kAZAMA\Actual%20Cost%20Doublecheck\Bowen\GLNG%20AKIC%20to%20AKB%20R8-102507C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udubon-engineering.com\shared\FPMS\Quantities%20and%20manhours%20Re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Invoice Summary"/>
      <sheetName val="Subcontracts"/>
      <sheetName val="Material"/>
      <sheetName val="PO LOG"/>
      <sheetName val="3RD Party"/>
      <sheetName val="3rd-Party PO Log"/>
      <sheetName val="ISC Equip"/>
      <sheetName val="Equip Detail"/>
      <sheetName val="Labor"/>
      <sheetName val="Per Diem"/>
      <sheetName val="Work Order Tech"/>
      <sheetName val="Payroll Time"/>
      <sheetName val="Data &amp; HC"/>
      <sheetName val="Data "/>
      <sheetName val="Balance"/>
      <sheetName val="Sheet3"/>
      <sheetName val="Days WK Data"/>
      <sheetName val="Working Day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amp; Info"/>
      <sheetName val="Direct Data "/>
      <sheetName val="Direct Curve "/>
      <sheetName val="Chart2"/>
      <sheetName val="Sheet1"/>
      <sheetName val="ISOM Daily Report"/>
      <sheetName val="Direct Curve  (EL)"/>
      <sheetName val="Pre-TA Data "/>
      <sheetName val="Pre-TA Curve"/>
      <sheetName val="Tri-Curve Data"/>
      <sheetName val="Tri-Curves"/>
      <sheetName val="S-130 Tri-Curves"/>
      <sheetName val="S-132 Tri-Curves"/>
      <sheetName val="S-133 Tri-Curves"/>
      <sheetName val="S-140 Tri-Curves"/>
      <sheetName val="S-102"/>
      <sheetName val="S-102 Curve"/>
      <sheetName val="S-105"/>
      <sheetName val="S-114"/>
      <sheetName val="S-115"/>
      <sheetName val="S-115 Curve"/>
      <sheetName val="S-115 (2)"/>
      <sheetName val="S-115 Curve (2)"/>
      <sheetName val="Ref-Chem ISBL Summary"/>
      <sheetName val="Ref-Chem ISBL Summary Curve"/>
      <sheetName val="Ref-Chem Summary"/>
      <sheetName val="Ref-Chem Summary Curve"/>
      <sheetName val="S-130"/>
      <sheetName val="S-130 (2)"/>
      <sheetName val="S-130 Curve"/>
      <sheetName val="S-132 "/>
      <sheetName val="S-132 Curve"/>
      <sheetName val="S-133"/>
      <sheetName val="S-133 Curve"/>
      <sheetName val="S-134"/>
      <sheetName val="S-134 Curve"/>
      <sheetName val="S-135"/>
      <sheetName val="S-135 Curve"/>
      <sheetName val="S-136"/>
      <sheetName val="S-136 Curve"/>
      <sheetName val="S-136 P-TA Curve"/>
      <sheetName val="S-136 TA Curve"/>
      <sheetName val="S-140 "/>
      <sheetName val="S-140 Curve "/>
      <sheetName val="S-160A"/>
      <sheetName val="S-160 Total Curve"/>
      <sheetName val="S-160 Curve"/>
      <sheetName val="S-160 Scaffolding Curve"/>
      <sheetName val="S-160 OSBL INS."/>
      <sheetName val="S-160B"/>
      <sheetName val="S-160 ISBL Curve"/>
      <sheetName val="S-160 ISOM Insulation Curve"/>
      <sheetName val="S-160 ISOM FP Curve"/>
      <sheetName val="S-138"/>
      <sheetName val="S-138 Curve"/>
      <sheetName val="ISBL Mech Summary"/>
      <sheetName val="ISBL Mech Summary Curve"/>
      <sheetName val="Overall Contractor Based"/>
      <sheetName val="All Contractor Summary Curve"/>
      <sheetName val="Direct+ Indirects Data"/>
      <sheetName val="Direct + IndireOSBL-ISBL Curve"/>
    </sheetNames>
    <sheetDataSet>
      <sheetData sheetId="0"/>
      <sheetData sheetId="1"/>
      <sheetData sheetId="2" refreshError="1"/>
      <sheetData sheetId="3" refreshError="1"/>
      <sheetData sheetId="4">
        <row r="58">
          <cell r="AP58" t="str">
            <v>Description</v>
          </cell>
          <cell r="AQ58">
            <v>0</v>
          </cell>
          <cell r="AR58">
            <v>0</v>
          </cell>
          <cell r="AS58">
            <v>0</v>
          </cell>
          <cell r="AT58">
            <v>0</v>
          </cell>
          <cell r="AU58">
            <v>0</v>
          </cell>
          <cell r="AV58">
            <v>0</v>
          </cell>
          <cell r="AW58">
            <v>0</v>
          </cell>
          <cell r="AX58">
            <v>0</v>
          </cell>
          <cell r="AY58">
            <v>0</v>
          </cell>
          <cell r="AZ58">
            <v>0</v>
          </cell>
          <cell r="BA58">
            <v>0</v>
          </cell>
          <cell r="BB58">
            <v>0</v>
          </cell>
          <cell r="BC58">
            <v>0</v>
          </cell>
          <cell r="BD58" t="str">
            <v>04-Oct-10</v>
          </cell>
          <cell r="BE58" t="str">
            <v>05-Oct-10</v>
          </cell>
          <cell r="BF58" t="str">
            <v>06-Oct-10</v>
          </cell>
          <cell r="BG58" t="str">
            <v>07-Oct-10</v>
          </cell>
          <cell r="BH58" t="str">
            <v>08-Oct-10</v>
          </cell>
          <cell r="BI58" t="str">
            <v>09-Oct-10</v>
          </cell>
          <cell r="BJ58" t="str">
            <v>10-Oct-10</v>
          </cell>
          <cell r="BK58" t="str">
            <v>11-Oct-10</v>
          </cell>
          <cell r="BL58" t="str">
            <v>12-Oct-10</v>
          </cell>
          <cell r="BM58" t="str">
            <v>13-Oct-10</v>
          </cell>
          <cell r="BN58" t="str">
            <v>14-Oct-10</v>
          </cell>
          <cell r="BO58" t="str">
            <v>15-Oct-10</v>
          </cell>
          <cell r="BP58" t="str">
            <v>16-Oct-10</v>
          </cell>
          <cell r="BQ58" t="str">
            <v>17-Oct-10</v>
          </cell>
          <cell r="BR58" t="str">
            <v>18-Oct-10</v>
          </cell>
          <cell r="BS58" t="str">
            <v>19-Oct-10</v>
          </cell>
          <cell r="BT58" t="str">
            <v>20-Oct-10</v>
          </cell>
          <cell r="BU58" t="str">
            <v>21-Oct-10</v>
          </cell>
          <cell r="BV58" t="str">
            <v>22-Oct-10</v>
          </cell>
          <cell r="BW58" t="str">
            <v>23-Oct-10</v>
          </cell>
          <cell r="BX58" t="str">
            <v>24-Oct-10</v>
          </cell>
          <cell r="BY58" t="str">
            <v>25-Oct-10</v>
          </cell>
          <cell r="BZ58" t="str">
            <v>26-Oct-10</v>
          </cell>
          <cell r="CA58" t="str">
            <v>27-Oct-10</v>
          </cell>
          <cell r="CB58" t="str">
            <v>28-Oct-10</v>
          </cell>
          <cell r="CC58" t="str">
            <v>29-Oct-10</v>
          </cell>
          <cell r="CD58" t="str">
            <v>30-Oct-10</v>
          </cell>
        </row>
        <row r="59">
          <cell r="AP59" t="str">
            <v xml:space="preserve">  Mechanical</v>
          </cell>
          <cell r="AQ59">
            <v>40455.125</v>
          </cell>
          <cell r="AR59">
            <v>40481.75</v>
          </cell>
          <cell r="AS59">
            <v>0</v>
          </cell>
          <cell r="AT59">
            <v>10228</v>
          </cell>
          <cell r="AU59">
            <v>10228</v>
          </cell>
          <cell r="AV59">
            <v>10228</v>
          </cell>
          <cell r="AW59" t="str">
            <v>Remaining Early Units</v>
          </cell>
          <cell r="AX59">
            <v>0</v>
          </cell>
          <cell r="AY59">
            <v>0</v>
          </cell>
          <cell r="AZ59">
            <v>0</v>
          </cell>
          <cell r="BA59">
            <v>0</v>
          </cell>
          <cell r="BB59">
            <v>0</v>
          </cell>
          <cell r="BC59">
            <v>0</v>
          </cell>
          <cell r="BD59">
            <v>536</v>
          </cell>
          <cell r="BE59">
            <v>546</v>
          </cell>
          <cell r="BF59">
            <v>637</v>
          </cell>
          <cell r="BG59">
            <v>746</v>
          </cell>
          <cell r="BH59">
            <v>589</v>
          </cell>
          <cell r="BI59">
            <v>631</v>
          </cell>
          <cell r="BJ59">
            <v>289</v>
          </cell>
          <cell r="BK59">
            <v>595</v>
          </cell>
          <cell r="BL59">
            <v>494</v>
          </cell>
          <cell r="BM59">
            <v>486</v>
          </cell>
          <cell r="BN59">
            <v>528</v>
          </cell>
          <cell r="BO59">
            <v>573</v>
          </cell>
          <cell r="BP59">
            <v>533</v>
          </cell>
          <cell r="BQ59">
            <v>294</v>
          </cell>
          <cell r="BR59">
            <v>595</v>
          </cell>
          <cell r="BS59">
            <v>629</v>
          </cell>
          <cell r="BT59">
            <v>541</v>
          </cell>
          <cell r="BU59">
            <v>593</v>
          </cell>
          <cell r="BV59">
            <v>322</v>
          </cell>
          <cell r="BW59">
            <v>67</v>
          </cell>
          <cell r="BX59">
            <v>0</v>
          </cell>
          <cell r="BY59">
            <v>0</v>
          </cell>
          <cell r="BZ59">
            <v>0</v>
          </cell>
          <cell r="CA59">
            <v>0</v>
          </cell>
          <cell r="CB59">
            <v>0</v>
          </cell>
          <cell r="CC59">
            <v>0</v>
          </cell>
          <cell r="CD59">
            <v>5</v>
          </cell>
        </row>
        <row r="60">
          <cell r="AP60" t="str">
            <v>Mech. Incremental</v>
          </cell>
          <cell r="AQ60">
            <v>0</v>
          </cell>
          <cell r="AR60">
            <v>0</v>
          </cell>
          <cell r="BD60">
            <v>5.2400039104506795E-2</v>
          </cell>
          <cell r="BE60">
            <v>5.3377651774366999E-2</v>
          </cell>
          <cell r="BF60">
            <v>6.2273927070094826E-2</v>
          </cell>
          <cell r="BG60">
            <v>7.2929905171571024E-2</v>
          </cell>
          <cell r="BH60">
            <v>5.7581386254765859E-2</v>
          </cell>
          <cell r="BI60">
            <v>6.1687359468178708E-2</v>
          </cell>
          <cell r="BJ60">
            <v>2.8253006158959822E-2</v>
          </cell>
          <cell r="BK60">
            <v>5.8167953856681984E-2</v>
          </cell>
          <cell r="BL60">
            <v>4.8294065891093946E-2</v>
          </cell>
          <cell r="BM60">
            <v>4.7511975755205785E-2</v>
          </cell>
          <cell r="BN60">
            <v>5.1617948968618634E-2</v>
          </cell>
          <cell r="BO60">
            <v>5.6017205982989537E-2</v>
          </cell>
          <cell r="BP60">
            <v>5.2106755303548732E-2</v>
          </cell>
          <cell r="BQ60">
            <v>2.8741812493889921E-2</v>
          </cell>
          <cell r="BR60">
            <v>5.8167953856681984E-2</v>
          </cell>
          <cell r="BS60">
            <v>6.1491836934206665E-2</v>
          </cell>
          <cell r="BT60">
            <v>5.2888845439436893E-2</v>
          </cell>
          <cell r="BU60">
            <v>5.797243132270994E-2</v>
          </cell>
          <cell r="BV60">
            <v>3.1479127969498484E-2</v>
          </cell>
          <cell r="BW60">
            <v>6.5500048880633493E-3</v>
          </cell>
          <cell r="BX60">
            <v>0</v>
          </cell>
          <cell r="BY60">
            <v>0</v>
          </cell>
          <cell r="BZ60">
            <v>0</v>
          </cell>
          <cell r="CA60">
            <v>0</v>
          </cell>
          <cell r="CB60">
            <v>0</v>
          </cell>
          <cell r="CC60">
            <v>0</v>
          </cell>
          <cell r="CD60">
            <v>4.8880633493010074E-4</v>
          </cell>
        </row>
        <row r="61">
          <cell r="AP61" t="str">
            <v>Mech. Cumulative</v>
          </cell>
          <cell r="AQ61">
            <v>0</v>
          </cell>
          <cell r="AR61">
            <v>0</v>
          </cell>
          <cell r="BD61">
            <v>5.2400039104506795E-2</v>
          </cell>
          <cell r="BE61">
            <v>0.10577769087887379</v>
          </cell>
          <cell r="BF61">
            <v>0.16805161794896861</v>
          </cell>
          <cell r="BG61">
            <v>0.24098152312053964</v>
          </cell>
          <cell r="BH61">
            <v>0.2985629093753055</v>
          </cell>
          <cell r="BI61">
            <v>0.36025026884348421</v>
          </cell>
          <cell r="BJ61">
            <v>0.38850327500244403</v>
          </cell>
          <cell r="BK61">
            <v>0.44667122885912602</v>
          </cell>
          <cell r="BL61">
            <v>0.49496529475022</v>
          </cell>
          <cell r="BM61">
            <v>0.54247727050542582</v>
          </cell>
          <cell r="BN61">
            <v>0.59409521947404442</v>
          </cell>
          <cell r="BO61">
            <v>0.65011242545703396</v>
          </cell>
          <cell r="BP61">
            <v>0.70221918076058265</v>
          </cell>
          <cell r="BQ61">
            <v>0.73096099325447261</v>
          </cell>
          <cell r="BR61">
            <v>0.78912894711115456</v>
          </cell>
          <cell r="BS61">
            <v>0.85062078404536123</v>
          </cell>
          <cell r="BT61">
            <v>0.90350962948479818</v>
          </cell>
          <cell r="BU61">
            <v>0.96148206080750809</v>
          </cell>
          <cell r="BV61">
            <v>0.99296118877700656</v>
          </cell>
          <cell r="BW61">
            <v>0.99951119366506991</v>
          </cell>
          <cell r="BX61">
            <v>0.99951119366506991</v>
          </cell>
          <cell r="BY61">
            <v>0.99951119366506991</v>
          </cell>
          <cell r="BZ61">
            <v>0.99951119366506991</v>
          </cell>
          <cell r="CA61">
            <v>0.99951119366506991</v>
          </cell>
          <cell r="CB61">
            <v>0.99951119366506991</v>
          </cell>
          <cell r="CC61">
            <v>0.99951119366506991</v>
          </cell>
          <cell r="CD61">
            <v>1</v>
          </cell>
        </row>
        <row r="62">
          <cell r="AP62" t="str">
            <v xml:space="preserve">  I&amp;E</v>
          </cell>
          <cell r="AQ62">
            <v>40457.125</v>
          </cell>
          <cell r="AR62">
            <v>40474.675000000003</v>
          </cell>
          <cell r="AS62">
            <v>0</v>
          </cell>
          <cell r="AT62">
            <v>1750</v>
          </cell>
          <cell r="AU62">
            <v>1750</v>
          </cell>
          <cell r="AV62">
            <v>1750</v>
          </cell>
          <cell r="AW62" t="str">
            <v>Remaining Early Units</v>
          </cell>
          <cell r="AX62">
            <v>0</v>
          </cell>
          <cell r="AY62">
            <v>0</v>
          </cell>
          <cell r="AZ62">
            <v>0</v>
          </cell>
          <cell r="BA62">
            <v>0</v>
          </cell>
          <cell r="BB62">
            <v>0</v>
          </cell>
          <cell r="BC62">
            <v>0</v>
          </cell>
          <cell r="BD62">
            <v>0</v>
          </cell>
          <cell r="BE62">
            <v>0</v>
          </cell>
          <cell r="BF62">
            <v>122</v>
          </cell>
          <cell r="BG62">
            <v>137</v>
          </cell>
          <cell r="BH62">
            <v>148</v>
          </cell>
          <cell r="BI62">
            <v>148</v>
          </cell>
          <cell r="BJ62">
            <v>110</v>
          </cell>
          <cell r="BK62">
            <v>228</v>
          </cell>
          <cell r="BL62">
            <v>228</v>
          </cell>
          <cell r="BM62">
            <v>209</v>
          </cell>
          <cell r="BN62">
            <v>166</v>
          </cell>
          <cell r="BO62">
            <v>144</v>
          </cell>
          <cell r="BP62">
            <v>70</v>
          </cell>
          <cell r="BQ62">
            <v>0</v>
          </cell>
          <cell r="BR62">
            <v>0</v>
          </cell>
          <cell r="BS62">
            <v>0</v>
          </cell>
          <cell r="BT62">
            <v>0</v>
          </cell>
          <cell r="BU62">
            <v>0</v>
          </cell>
          <cell r="BV62">
            <v>12</v>
          </cell>
          <cell r="BW62">
            <v>28</v>
          </cell>
        </row>
        <row r="63">
          <cell r="AP63" t="str">
            <v>I&amp;E Incremental</v>
          </cell>
          <cell r="AQ63">
            <v>0</v>
          </cell>
          <cell r="AR63">
            <v>0</v>
          </cell>
          <cell r="BD63">
            <v>0</v>
          </cell>
          <cell r="BE63">
            <v>0</v>
          </cell>
          <cell r="BF63">
            <v>6.9714285714285715E-2</v>
          </cell>
          <cell r="BG63">
            <v>7.8285714285714292E-2</v>
          </cell>
          <cell r="BH63">
            <v>8.4571428571428575E-2</v>
          </cell>
          <cell r="BI63">
            <v>8.4571428571428575E-2</v>
          </cell>
          <cell r="BJ63">
            <v>6.2857142857142861E-2</v>
          </cell>
          <cell r="BK63">
            <v>0.13028571428571428</v>
          </cell>
          <cell r="BL63">
            <v>0.13028571428571428</v>
          </cell>
          <cell r="BM63">
            <v>0.11942857142857143</v>
          </cell>
          <cell r="BN63">
            <v>9.4857142857142862E-2</v>
          </cell>
          <cell r="BO63">
            <v>8.2285714285714281E-2</v>
          </cell>
          <cell r="BP63">
            <v>0.04</v>
          </cell>
          <cell r="BQ63">
            <v>0</v>
          </cell>
          <cell r="BR63">
            <v>0</v>
          </cell>
          <cell r="BS63">
            <v>0</v>
          </cell>
          <cell r="BT63">
            <v>0</v>
          </cell>
          <cell r="BU63">
            <v>0</v>
          </cell>
          <cell r="BV63">
            <v>6.8571428571428568E-3</v>
          </cell>
          <cell r="BW63">
            <v>1.6E-2</v>
          </cell>
          <cell r="BX63">
            <v>0</v>
          </cell>
          <cell r="BY63">
            <v>0</v>
          </cell>
          <cell r="BZ63">
            <v>0</v>
          </cell>
          <cell r="CA63">
            <v>0</v>
          </cell>
          <cell r="CB63">
            <v>0</v>
          </cell>
          <cell r="CC63">
            <v>0</v>
          </cell>
          <cell r="CD63">
            <v>0</v>
          </cell>
        </row>
        <row r="64">
          <cell r="AP64" t="str">
            <v>I&amp;E Cumulative</v>
          </cell>
          <cell r="AQ64">
            <v>0</v>
          </cell>
          <cell r="AR64">
            <v>0</v>
          </cell>
          <cell r="BD64">
            <v>0</v>
          </cell>
          <cell r="BE64">
            <v>0</v>
          </cell>
          <cell r="BF64">
            <v>6.9714285714285715E-2</v>
          </cell>
          <cell r="BG64">
            <v>0.14800000000000002</v>
          </cell>
          <cell r="BH64">
            <v>0.2325714285714286</v>
          </cell>
          <cell r="BI64">
            <v>0.31714285714285717</v>
          </cell>
          <cell r="BJ64">
            <v>0.38</v>
          </cell>
          <cell r="BK64">
            <v>0.51028571428571423</v>
          </cell>
          <cell r="BL64">
            <v>0.64057142857142857</v>
          </cell>
          <cell r="BM64">
            <v>0.76</v>
          </cell>
          <cell r="BN64">
            <v>0.85485714285714287</v>
          </cell>
          <cell r="BO64">
            <v>0.93714285714285717</v>
          </cell>
          <cell r="BP64">
            <v>0.9771428571428572</v>
          </cell>
          <cell r="BQ64">
            <v>0.9771428571428572</v>
          </cell>
          <cell r="BR64">
            <v>0.9771428571428572</v>
          </cell>
          <cell r="BS64">
            <v>0.9771428571428572</v>
          </cell>
          <cell r="BT64">
            <v>0.9771428571428572</v>
          </cell>
          <cell r="BU64">
            <v>0.9771428571428572</v>
          </cell>
          <cell r="BV64">
            <v>0.9840000000000001</v>
          </cell>
          <cell r="BW64">
            <v>1</v>
          </cell>
          <cell r="BX64">
            <v>1</v>
          </cell>
          <cell r="BY64">
            <v>1</v>
          </cell>
          <cell r="BZ64">
            <v>1</v>
          </cell>
          <cell r="CA64">
            <v>1</v>
          </cell>
          <cell r="CB64">
            <v>1</v>
          </cell>
          <cell r="CC64">
            <v>1</v>
          </cell>
          <cell r="CD64">
            <v>1</v>
          </cell>
        </row>
        <row r="65">
          <cell r="AP65" t="str">
            <v xml:space="preserve">  Insulation &amp; Tracing</v>
          </cell>
          <cell r="AQ65">
            <v>40455.125</v>
          </cell>
          <cell r="AR65">
            <v>40475.541666666664</v>
          </cell>
          <cell r="AS65">
            <v>0</v>
          </cell>
          <cell r="AT65">
            <v>1486</v>
          </cell>
          <cell r="AU65">
            <v>1486</v>
          </cell>
          <cell r="AV65">
            <v>1486</v>
          </cell>
          <cell r="AW65" t="str">
            <v>Remaining Early Units</v>
          </cell>
          <cell r="AX65">
            <v>0</v>
          </cell>
          <cell r="AY65">
            <v>0</v>
          </cell>
          <cell r="AZ65">
            <v>0</v>
          </cell>
          <cell r="BA65">
            <v>0</v>
          </cell>
          <cell r="BB65">
            <v>0</v>
          </cell>
          <cell r="BC65">
            <v>0</v>
          </cell>
          <cell r="BD65">
            <v>54</v>
          </cell>
          <cell r="BE65">
            <v>16</v>
          </cell>
          <cell r="BF65">
            <v>8</v>
          </cell>
          <cell r="BG65">
            <v>4</v>
          </cell>
          <cell r="BH65">
            <v>32</v>
          </cell>
          <cell r="BI65">
            <v>14</v>
          </cell>
          <cell r="BJ65">
            <v>6</v>
          </cell>
          <cell r="BK65">
            <v>16</v>
          </cell>
          <cell r="BL65">
            <v>12</v>
          </cell>
          <cell r="BM65">
            <v>0</v>
          </cell>
          <cell r="BN65">
            <v>42</v>
          </cell>
          <cell r="BO65">
            <v>0</v>
          </cell>
          <cell r="BP65">
            <v>28</v>
          </cell>
          <cell r="BQ65">
            <v>0</v>
          </cell>
          <cell r="BR65">
            <v>287</v>
          </cell>
          <cell r="BS65">
            <v>158</v>
          </cell>
          <cell r="BT65">
            <v>142</v>
          </cell>
          <cell r="BU65">
            <v>136</v>
          </cell>
          <cell r="BV65">
            <v>272</v>
          </cell>
          <cell r="BW65">
            <v>212</v>
          </cell>
          <cell r="BX65">
            <v>48</v>
          </cell>
        </row>
        <row r="66">
          <cell r="AP66" t="str">
            <v>Insulation Incremental</v>
          </cell>
          <cell r="BD66">
            <v>3.6314727639542702E-2</v>
          </cell>
          <cell r="BE66">
            <v>1.0759919300605245E-2</v>
          </cell>
          <cell r="BF66">
            <v>5.3799596503026226E-3</v>
          </cell>
          <cell r="BG66">
            <v>2.6899798251513113E-3</v>
          </cell>
          <cell r="BH66">
            <v>2.1519838601210491E-2</v>
          </cell>
          <cell r="BI66">
            <v>9.4149293880295901E-3</v>
          </cell>
          <cell r="BJ66">
            <v>4.0349697377269674E-3</v>
          </cell>
          <cell r="BK66">
            <v>1.0759919300605245E-2</v>
          </cell>
          <cell r="BL66">
            <v>8.0699394754539348E-3</v>
          </cell>
          <cell r="BM66">
            <v>0</v>
          </cell>
          <cell r="BN66">
            <v>2.824478816408877E-2</v>
          </cell>
          <cell r="BO66">
            <v>0</v>
          </cell>
          <cell r="BP66">
            <v>1.882985877605918E-2</v>
          </cell>
          <cell r="BQ66">
            <v>0</v>
          </cell>
          <cell r="BR66">
            <v>0.19300605245460659</v>
          </cell>
          <cell r="BS66">
            <v>0.1062542030934768</v>
          </cell>
          <cell r="BT66">
            <v>9.5494283792871559E-2</v>
          </cell>
          <cell r="BU66">
            <v>9.1459314055144583E-2</v>
          </cell>
          <cell r="BV66">
            <v>0.18291862811028917</v>
          </cell>
          <cell r="BW66">
            <v>0.14256893073301949</v>
          </cell>
          <cell r="BX66">
            <v>3.2279757901815739E-2</v>
          </cell>
          <cell r="BY66">
            <v>0</v>
          </cell>
          <cell r="BZ66">
            <v>0</v>
          </cell>
          <cell r="CA66">
            <v>0</v>
          </cell>
          <cell r="CB66">
            <v>0</v>
          </cell>
          <cell r="CC66">
            <v>0</v>
          </cell>
          <cell r="CD66">
            <v>0</v>
          </cell>
        </row>
        <row r="67">
          <cell r="AP67" t="str">
            <v>Insulation Cumulative</v>
          </cell>
          <cell r="BD67">
            <v>3.6314727639542702E-2</v>
          </cell>
          <cell r="BE67">
            <v>4.7074646940147943E-2</v>
          </cell>
          <cell r="BF67">
            <v>5.2454606590450564E-2</v>
          </cell>
          <cell r="BG67">
            <v>5.5144586415601875E-2</v>
          </cell>
          <cell r="BH67">
            <v>7.6664425016812365E-2</v>
          </cell>
          <cell r="BI67">
            <v>8.6079354404841962E-2</v>
          </cell>
          <cell r="BJ67">
            <v>9.0114324142568925E-2</v>
          </cell>
          <cell r="BK67">
            <v>0.10087424344317417</v>
          </cell>
          <cell r="BL67">
            <v>0.1089441829186281</v>
          </cell>
          <cell r="BM67">
            <v>0.1089441829186281</v>
          </cell>
          <cell r="BN67">
            <v>0.13718897108271688</v>
          </cell>
          <cell r="BO67">
            <v>0.13718897108271688</v>
          </cell>
          <cell r="BP67">
            <v>0.15601882985877608</v>
          </cell>
          <cell r="BQ67">
            <v>0.15601882985877608</v>
          </cell>
          <cell r="BR67">
            <v>0.34902488231338269</v>
          </cell>
          <cell r="BS67">
            <v>0.45527908540685946</v>
          </cell>
          <cell r="BT67">
            <v>0.55077336919973097</v>
          </cell>
          <cell r="BU67">
            <v>0.64223268325487559</v>
          </cell>
          <cell r="BV67">
            <v>0.82515131136516473</v>
          </cell>
          <cell r="BW67">
            <v>0.96772024209818419</v>
          </cell>
          <cell r="BX67">
            <v>0.99999999999999989</v>
          </cell>
          <cell r="BY67">
            <v>1</v>
          </cell>
          <cell r="BZ67">
            <v>1</v>
          </cell>
          <cell r="CA67">
            <v>1</v>
          </cell>
          <cell r="CB67">
            <v>1</v>
          </cell>
          <cell r="CC67">
            <v>1</v>
          </cell>
          <cell r="CD67">
            <v>1</v>
          </cell>
        </row>
        <row r="79">
          <cell r="AP79" t="str">
            <v>Incremental</v>
          </cell>
          <cell r="BD79" t="str">
            <v>04-Oct-10</v>
          </cell>
          <cell r="BE79" t="str">
            <v>05-Oct-10</v>
          </cell>
          <cell r="BF79" t="str">
            <v>06-Oct-10</v>
          </cell>
          <cell r="BG79" t="str">
            <v>07-Oct-10</v>
          </cell>
          <cell r="BH79" t="str">
            <v>08-Oct-10</v>
          </cell>
          <cell r="BI79" t="str">
            <v>09-Oct-10</v>
          </cell>
          <cell r="BJ79" t="str">
            <v>10-Oct-10</v>
          </cell>
          <cell r="BK79" t="str">
            <v>11-Oct-10</v>
          </cell>
          <cell r="BL79" t="str">
            <v>12-Oct-10</v>
          </cell>
          <cell r="BM79" t="str">
            <v>13-Oct-10</v>
          </cell>
          <cell r="BN79" t="str">
            <v>14-Oct-10</v>
          </cell>
          <cell r="BO79" t="str">
            <v>15-Oct-10</v>
          </cell>
          <cell r="BP79" t="str">
            <v>16-Oct-10</v>
          </cell>
          <cell r="BQ79" t="str">
            <v>17-Oct-10</v>
          </cell>
          <cell r="BR79" t="str">
            <v>18-Oct-10</v>
          </cell>
          <cell r="BS79" t="str">
            <v>19-Oct-10</v>
          </cell>
          <cell r="BT79" t="str">
            <v>20-Oct-10</v>
          </cell>
          <cell r="BU79" t="str">
            <v>21-Oct-10</v>
          </cell>
          <cell r="BV79" t="str">
            <v>22-Oct-10</v>
          </cell>
          <cell r="BW79" t="str">
            <v>23-Oct-10</v>
          </cell>
          <cell r="BX79" t="str">
            <v>24-Oct-10</v>
          </cell>
          <cell r="BY79" t="str">
            <v>25-Oct-10</v>
          </cell>
          <cell r="BZ79" t="str">
            <v>26-Oct-10</v>
          </cell>
          <cell r="CA79" t="str">
            <v>27-Oct-10</v>
          </cell>
          <cell r="CB79" t="str">
            <v>28-Oct-10</v>
          </cell>
          <cell r="CC79" t="str">
            <v>29-Oct-10</v>
          </cell>
          <cell r="CD79" t="str">
            <v>30-Oct-10</v>
          </cell>
        </row>
        <row r="80">
          <cell r="AP80" t="str">
            <v xml:space="preserve">  Pipe Erection</v>
          </cell>
          <cell r="BD80">
            <v>3.0769230769230771E-2</v>
          </cell>
          <cell r="BE80">
            <v>0.11255060728744939</v>
          </cell>
          <cell r="BF80">
            <v>0.11983805668016194</v>
          </cell>
          <cell r="BG80">
            <v>9.0688259109311747E-2</v>
          </cell>
          <cell r="BH80">
            <v>5.5060728744939273E-2</v>
          </cell>
          <cell r="BI80">
            <v>0.12793522267206478</v>
          </cell>
          <cell r="BJ80">
            <v>5.020242914979757E-2</v>
          </cell>
          <cell r="BK80">
            <v>0.11821862348178137</v>
          </cell>
          <cell r="BL80">
            <v>0.11821862348178137</v>
          </cell>
          <cell r="BM80">
            <v>9.2307692307692313E-2</v>
          </cell>
          <cell r="BN80">
            <v>5.020242914979757E-2</v>
          </cell>
          <cell r="BO80">
            <v>4.8582995951417006E-3</v>
          </cell>
          <cell r="BP80">
            <v>8.0971659919028341E-3</v>
          </cell>
          <cell r="BQ80">
            <v>1.4574898785425101E-2</v>
          </cell>
          <cell r="BR80">
            <v>3.2388663967611335E-3</v>
          </cell>
          <cell r="BS80">
            <v>1.6194331983805667E-3</v>
          </cell>
          <cell r="BT80">
            <v>1.6194331983805667E-3</v>
          </cell>
          <cell r="BU80">
            <v>0</v>
          </cell>
          <cell r="BV80">
            <v>0</v>
          </cell>
          <cell r="BW80">
            <v>0</v>
          </cell>
          <cell r="BX80">
            <v>0</v>
          </cell>
          <cell r="BY80">
            <v>0</v>
          </cell>
          <cell r="BZ80">
            <v>0</v>
          </cell>
          <cell r="CA80">
            <v>0</v>
          </cell>
          <cell r="CB80">
            <v>0</v>
          </cell>
          <cell r="CC80">
            <v>0</v>
          </cell>
          <cell r="CD80">
            <v>0</v>
          </cell>
        </row>
        <row r="81">
          <cell r="AP81" t="str">
            <v xml:space="preserve">  Welds</v>
          </cell>
          <cell r="BD81">
            <v>1.4094955489614243E-2</v>
          </cell>
          <cell r="BE81">
            <v>8.9020771513353122E-2</v>
          </cell>
          <cell r="BF81">
            <v>6.899109792284866E-2</v>
          </cell>
          <cell r="BG81">
            <v>6.4540059347181003E-2</v>
          </cell>
          <cell r="BH81">
            <v>7.3442136498516317E-2</v>
          </cell>
          <cell r="BI81">
            <v>9.1988130563798218E-2</v>
          </cell>
          <cell r="BJ81">
            <v>4.0059347181008904E-2</v>
          </cell>
          <cell r="BK81">
            <v>7.1958456973293769E-2</v>
          </cell>
          <cell r="BL81">
            <v>6.8249258160237386E-2</v>
          </cell>
          <cell r="BM81">
            <v>8.0118694362017809E-2</v>
          </cell>
          <cell r="BN81">
            <v>7.7893175074183973E-2</v>
          </cell>
          <cell r="BO81">
            <v>7.1216617210682495E-2</v>
          </cell>
          <cell r="BP81">
            <v>7.5667655786350152E-2</v>
          </cell>
          <cell r="BQ81">
            <v>1.5578635014836795E-2</v>
          </cell>
          <cell r="BR81">
            <v>2.4480712166172106E-2</v>
          </cell>
          <cell r="BS81">
            <v>4.2284866468842733E-2</v>
          </cell>
          <cell r="BT81">
            <v>2.0029673590504452E-2</v>
          </cell>
          <cell r="BU81">
            <v>1.0385756676557863E-2</v>
          </cell>
          <cell r="BV81">
            <v>0</v>
          </cell>
          <cell r="BW81">
            <v>0</v>
          </cell>
          <cell r="BX81">
            <v>0</v>
          </cell>
          <cell r="BY81">
            <v>0</v>
          </cell>
          <cell r="BZ81">
            <v>0</v>
          </cell>
          <cell r="CA81">
            <v>0</v>
          </cell>
          <cell r="CB81">
            <v>0</v>
          </cell>
          <cell r="CC81">
            <v>0</v>
          </cell>
          <cell r="CD81">
            <v>0</v>
          </cell>
        </row>
        <row r="82">
          <cell r="AP82" t="str">
            <v xml:space="preserve">  Boltups</v>
          </cell>
          <cell r="BD82">
            <v>1.7177914110429449E-2</v>
          </cell>
          <cell r="BE82">
            <v>4.6625766871165646E-2</v>
          </cell>
          <cell r="BF82">
            <v>8.2208588957055212E-2</v>
          </cell>
          <cell r="BG82">
            <v>6.7484662576687116E-2</v>
          </cell>
          <cell r="BH82">
            <v>0.11288343558282209</v>
          </cell>
          <cell r="BI82">
            <v>6.2576687116564417E-2</v>
          </cell>
          <cell r="BJ82">
            <v>3.4355828220858899E-2</v>
          </cell>
          <cell r="BK82">
            <v>0.11533742331288344</v>
          </cell>
          <cell r="BL82">
            <v>8.5889570552147243E-2</v>
          </cell>
          <cell r="BM82">
            <v>8.957055214723926E-2</v>
          </cell>
          <cell r="BN82">
            <v>7.1165644171779147E-2</v>
          </cell>
          <cell r="BO82">
            <v>0.10429447852760736</v>
          </cell>
          <cell r="BP82">
            <v>1.4723926380368098E-2</v>
          </cell>
          <cell r="BQ82">
            <v>2.9447852760736196E-2</v>
          </cell>
          <cell r="BR82">
            <v>3.4355828220858899E-2</v>
          </cell>
          <cell r="BS82">
            <v>1.2269938650306749E-2</v>
          </cell>
          <cell r="BT82">
            <v>2.4539877300613498E-3</v>
          </cell>
          <cell r="BU82">
            <v>0</v>
          </cell>
          <cell r="BV82">
            <v>1.7177914110429449E-2</v>
          </cell>
          <cell r="BW82">
            <v>0</v>
          </cell>
          <cell r="BX82">
            <v>0</v>
          </cell>
          <cell r="BY82">
            <v>0</v>
          </cell>
          <cell r="BZ82">
            <v>0</v>
          </cell>
          <cell r="CA82">
            <v>0</v>
          </cell>
          <cell r="CB82">
            <v>0</v>
          </cell>
          <cell r="CC82">
            <v>0</v>
          </cell>
          <cell r="CD82">
            <v>0</v>
          </cell>
        </row>
        <row r="83">
          <cell r="AP83" t="str">
            <v xml:space="preserve">  Supports</v>
          </cell>
          <cell r="BD83">
            <v>0</v>
          </cell>
          <cell r="BE83">
            <v>0</v>
          </cell>
          <cell r="BF83">
            <v>6.4896755162241887E-2</v>
          </cell>
          <cell r="BG83">
            <v>4.71976401179941E-2</v>
          </cell>
          <cell r="BH83">
            <v>5.8997050147492625E-3</v>
          </cell>
          <cell r="BI83">
            <v>0</v>
          </cell>
          <cell r="BJ83">
            <v>8.8495575221238937E-3</v>
          </cell>
          <cell r="BK83">
            <v>3.8348082595870206E-2</v>
          </cell>
          <cell r="BL83">
            <v>0.12389380530973451</v>
          </cell>
          <cell r="BM83">
            <v>0.19174041297935104</v>
          </cell>
          <cell r="BN83">
            <v>0.2359882005899705</v>
          </cell>
          <cell r="BO83">
            <v>0.20058997050147492</v>
          </cell>
          <cell r="BP83">
            <v>5.3097345132743362E-2</v>
          </cell>
          <cell r="BQ83">
            <v>0</v>
          </cell>
          <cell r="BR83">
            <v>2.0648967551622419E-2</v>
          </cell>
          <cell r="BS83">
            <v>0</v>
          </cell>
          <cell r="BT83">
            <v>8.8495575221238937E-3</v>
          </cell>
          <cell r="BU83">
            <v>0</v>
          </cell>
          <cell r="BV83">
            <v>0</v>
          </cell>
          <cell r="BW83">
            <v>0</v>
          </cell>
          <cell r="BX83">
            <v>0</v>
          </cell>
          <cell r="BY83">
            <v>0</v>
          </cell>
          <cell r="BZ83">
            <v>0</v>
          </cell>
          <cell r="CA83">
            <v>0</v>
          </cell>
          <cell r="CB83">
            <v>0</v>
          </cell>
          <cell r="CC83">
            <v>0</v>
          </cell>
          <cell r="CD83">
            <v>0</v>
          </cell>
        </row>
        <row r="84">
          <cell r="AP84" t="str">
            <v xml:space="preserve">  Hydro Complete</v>
          </cell>
          <cell r="BD84">
            <v>0</v>
          </cell>
          <cell r="BE84">
            <v>0</v>
          </cell>
          <cell r="BF84">
            <v>1.2610340479192938E-3</v>
          </cell>
          <cell r="BG84">
            <v>2.4590163934426229E-2</v>
          </cell>
          <cell r="BH84">
            <v>4.1614123581336697E-2</v>
          </cell>
          <cell r="BI84">
            <v>7.5662042875157629E-3</v>
          </cell>
          <cell r="BJ84">
            <v>7.5662042875157629E-3</v>
          </cell>
          <cell r="BK84">
            <v>6.3051702395964691E-3</v>
          </cell>
          <cell r="BL84">
            <v>2.5220680958385876E-3</v>
          </cell>
          <cell r="BM84">
            <v>3.4047919293820936E-2</v>
          </cell>
          <cell r="BN84">
            <v>2.3329129886506934E-2</v>
          </cell>
          <cell r="BO84">
            <v>0.10781841109709962</v>
          </cell>
          <cell r="BP84">
            <v>0.12232030264817149</v>
          </cell>
          <cell r="BQ84">
            <v>6.3682219419924344E-2</v>
          </cell>
          <cell r="BR84">
            <v>0.11538461538461539</v>
          </cell>
          <cell r="BS84">
            <v>0.12484237074401008</v>
          </cell>
          <cell r="BT84">
            <v>0.16141235813366961</v>
          </cell>
          <cell r="BU84">
            <v>0.12610340479192939</v>
          </cell>
          <cell r="BV84">
            <v>2.3959646910466582E-2</v>
          </cell>
          <cell r="BW84">
            <v>5.6746532156368226E-3</v>
          </cell>
          <cell r="BX84">
            <v>0</v>
          </cell>
          <cell r="BY84">
            <v>0</v>
          </cell>
          <cell r="BZ84">
            <v>0</v>
          </cell>
          <cell r="CA84">
            <v>0</v>
          </cell>
          <cell r="CB84">
            <v>0</v>
          </cell>
          <cell r="CC84">
            <v>0</v>
          </cell>
          <cell r="CD84">
            <v>0</v>
          </cell>
        </row>
        <row r="85">
          <cell r="AP85" t="str">
            <v xml:space="preserve">  Restore Complete</v>
          </cell>
          <cell r="BD85">
            <v>0</v>
          </cell>
          <cell r="BE85">
            <v>0</v>
          </cell>
          <cell r="BF85">
            <v>0</v>
          </cell>
          <cell r="BG85">
            <v>7.874015748031496E-3</v>
          </cell>
          <cell r="BH85">
            <v>1.1811023622047244E-2</v>
          </cell>
          <cell r="BI85">
            <v>7.874015748031496E-3</v>
          </cell>
          <cell r="BJ85">
            <v>0</v>
          </cell>
          <cell r="BK85">
            <v>8.2677165354330714E-2</v>
          </cell>
          <cell r="BL85">
            <v>0</v>
          </cell>
          <cell r="BM85">
            <v>9.8425196850393699E-3</v>
          </cell>
          <cell r="BN85">
            <v>2.1653543307086614E-2</v>
          </cell>
          <cell r="BO85">
            <v>2.952755905511811E-2</v>
          </cell>
          <cell r="BP85">
            <v>4.7244094488188976E-2</v>
          </cell>
          <cell r="BQ85">
            <v>4.1338582677165357E-2</v>
          </cell>
          <cell r="BR85">
            <v>0.14566929133858267</v>
          </cell>
          <cell r="BS85">
            <v>0.18110236220472442</v>
          </cell>
          <cell r="BT85">
            <v>6.2992125984251968E-2</v>
          </cell>
          <cell r="BU85">
            <v>0.17322834645669291</v>
          </cell>
          <cell r="BV85">
            <v>0.16141732283464566</v>
          </cell>
          <cell r="BW85">
            <v>1.5748031496062992E-2</v>
          </cell>
          <cell r="BX85">
            <v>0</v>
          </cell>
          <cell r="BY85">
            <v>0</v>
          </cell>
          <cell r="BZ85">
            <v>0</v>
          </cell>
          <cell r="CA85">
            <v>0</v>
          </cell>
          <cell r="CB85">
            <v>0</v>
          </cell>
          <cell r="CC85">
            <v>0</v>
          </cell>
          <cell r="CD85">
            <v>0</v>
          </cell>
        </row>
        <row r="87">
          <cell r="AP87" t="str">
            <v>Cummulative</v>
          </cell>
          <cell r="BD87" t="str">
            <v>04-Oct-10</v>
          </cell>
          <cell r="BE87" t="str">
            <v>05-Oct-10</v>
          </cell>
          <cell r="BF87" t="str">
            <v>06-Oct-10</v>
          </cell>
          <cell r="BG87" t="str">
            <v>07-Oct-10</v>
          </cell>
          <cell r="BH87" t="str">
            <v>08-Oct-10</v>
          </cell>
          <cell r="BI87" t="str">
            <v>09-Oct-10</v>
          </cell>
          <cell r="BJ87" t="str">
            <v>10-Oct-10</v>
          </cell>
          <cell r="BK87" t="str">
            <v>11-Oct-10</v>
          </cell>
          <cell r="BL87" t="str">
            <v>12-Oct-10</v>
          </cell>
          <cell r="BM87" t="str">
            <v>13-Oct-10</v>
          </cell>
          <cell r="BN87" t="str">
            <v>14-Oct-10</v>
          </cell>
          <cell r="BO87" t="str">
            <v>15-Oct-10</v>
          </cell>
          <cell r="BP87" t="str">
            <v>16-Oct-10</v>
          </cell>
          <cell r="BQ87" t="str">
            <v>17-Oct-10</v>
          </cell>
          <cell r="BR87" t="str">
            <v>18-Oct-10</v>
          </cell>
          <cell r="BS87" t="str">
            <v>19-Oct-10</v>
          </cell>
          <cell r="BT87" t="str">
            <v>20-Oct-10</v>
          </cell>
          <cell r="BU87" t="str">
            <v>21-Oct-10</v>
          </cell>
          <cell r="BV87" t="str">
            <v>22-Oct-10</v>
          </cell>
          <cell r="BW87" t="str">
            <v>23-Oct-10</v>
          </cell>
          <cell r="BX87" t="str">
            <v>24-Oct-10</v>
          </cell>
          <cell r="BY87" t="str">
            <v>25-Oct-10</v>
          </cell>
          <cell r="BZ87" t="str">
            <v>26-Oct-10</v>
          </cell>
          <cell r="CA87" t="str">
            <v>27-Oct-10</v>
          </cell>
          <cell r="CB87" t="str">
            <v>28-Oct-10</v>
          </cell>
          <cell r="CC87" t="str">
            <v>29-Oct-10</v>
          </cell>
          <cell r="CD87" t="str">
            <v>30-Oct-10</v>
          </cell>
        </row>
        <row r="88">
          <cell r="AP88" t="str">
            <v xml:space="preserve">  Pipe Erection</v>
          </cell>
          <cell r="BD88">
            <v>3.0769230769230771E-2</v>
          </cell>
          <cell r="BE88">
            <v>0.14331983805668017</v>
          </cell>
          <cell r="BF88">
            <v>0.26315789473684209</v>
          </cell>
          <cell r="BG88">
            <v>0.35384615384615381</v>
          </cell>
          <cell r="BH88">
            <v>0.40890688259109309</v>
          </cell>
          <cell r="BI88">
            <v>0.5368421052631579</v>
          </cell>
          <cell r="BJ88">
            <v>0.58704453441295545</v>
          </cell>
          <cell r="BK88">
            <v>0.70526315789473681</v>
          </cell>
          <cell r="BL88">
            <v>0.82348178137651817</v>
          </cell>
          <cell r="BM88">
            <v>0.91578947368421049</v>
          </cell>
          <cell r="BN88">
            <v>0.96599190283400804</v>
          </cell>
          <cell r="BO88">
            <v>0.97085020242914977</v>
          </cell>
          <cell r="BP88">
            <v>0.97894736842105257</v>
          </cell>
          <cell r="BQ88">
            <v>0.99352226720647763</v>
          </cell>
          <cell r="BR88">
            <v>0.99676113360323881</v>
          </cell>
          <cell r="BS88">
            <v>0.99838056680161935</v>
          </cell>
          <cell r="BT88">
            <v>0.99999999999999989</v>
          </cell>
          <cell r="BU88">
            <v>0.99999999999999989</v>
          </cell>
          <cell r="BV88">
            <v>0.99999999999999989</v>
          </cell>
          <cell r="BW88">
            <v>0.99999999999999989</v>
          </cell>
          <cell r="BX88">
            <v>0.99999999999999989</v>
          </cell>
          <cell r="BY88">
            <v>0.99999999999999989</v>
          </cell>
          <cell r="BZ88">
            <v>0.99999999999999989</v>
          </cell>
          <cell r="CA88">
            <v>0.99999999999999989</v>
          </cell>
          <cell r="CB88">
            <v>0.99999999999999989</v>
          </cell>
          <cell r="CC88">
            <v>0.99999999999999989</v>
          </cell>
          <cell r="CD88">
            <v>0.99999999999999989</v>
          </cell>
        </row>
        <row r="89">
          <cell r="AP89" t="str">
            <v xml:space="preserve">  Welds</v>
          </cell>
          <cell r="BD89">
            <v>1.4094955489614243E-2</v>
          </cell>
          <cell r="BE89">
            <v>0.10311572700296737</v>
          </cell>
          <cell r="BF89">
            <v>0.17210682492581603</v>
          </cell>
          <cell r="BG89">
            <v>0.23664688427299702</v>
          </cell>
          <cell r="BH89">
            <v>0.31008902077151335</v>
          </cell>
          <cell r="BI89">
            <v>0.40207715133531158</v>
          </cell>
          <cell r="BJ89">
            <v>0.44213649851632048</v>
          </cell>
          <cell r="BK89">
            <v>0.51409495548961426</v>
          </cell>
          <cell r="BL89">
            <v>0.58234421364985167</v>
          </cell>
          <cell r="BM89">
            <v>0.66246290801186947</v>
          </cell>
          <cell r="BN89">
            <v>0.74035608308605338</v>
          </cell>
          <cell r="BO89">
            <v>0.81157270029673589</v>
          </cell>
          <cell r="BP89">
            <v>0.88724035608308605</v>
          </cell>
          <cell r="BQ89">
            <v>0.90281899109792285</v>
          </cell>
          <cell r="BR89">
            <v>0.92729970326409494</v>
          </cell>
          <cell r="BS89">
            <v>0.96958456973293772</v>
          </cell>
          <cell r="BT89">
            <v>0.98961424332344217</v>
          </cell>
          <cell r="BU89">
            <v>1</v>
          </cell>
          <cell r="BV89">
            <v>1</v>
          </cell>
          <cell r="BW89">
            <v>1</v>
          </cell>
          <cell r="BX89">
            <v>1</v>
          </cell>
          <cell r="BY89">
            <v>1</v>
          </cell>
          <cell r="BZ89">
            <v>1</v>
          </cell>
          <cell r="CA89">
            <v>1</v>
          </cell>
          <cell r="CB89">
            <v>1</v>
          </cell>
          <cell r="CC89">
            <v>1</v>
          </cell>
          <cell r="CD89">
            <v>1</v>
          </cell>
        </row>
        <row r="90">
          <cell r="AP90" t="str">
            <v xml:space="preserve">  Boltups</v>
          </cell>
          <cell r="BD90">
            <v>1.7177914110429449E-2</v>
          </cell>
          <cell r="BE90">
            <v>6.3803680981595098E-2</v>
          </cell>
          <cell r="BF90">
            <v>0.1460122699386503</v>
          </cell>
          <cell r="BG90">
            <v>0.21349693251533741</v>
          </cell>
          <cell r="BH90">
            <v>0.32638036809815951</v>
          </cell>
          <cell r="BI90">
            <v>0.3889570552147239</v>
          </cell>
          <cell r="BJ90">
            <v>0.42331288343558282</v>
          </cell>
          <cell r="BK90">
            <v>0.53865030674846626</v>
          </cell>
          <cell r="BL90">
            <v>0.62453987730061344</v>
          </cell>
          <cell r="BM90">
            <v>0.71411042944785275</v>
          </cell>
          <cell r="BN90">
            <v>0.78527607361963192</v>
          </cell>
          <cell r="BO90">
            <v>0.88957055214723924</v>
          </cell>
          <cell r="BP90">
            <v>0.90429447852760736</v>
          </cell>
          <cell r="BQ90">
            <v>0.93374233128834361</v>
          </cell>
          <cell r="BR90">
            <v>0.96809815950920253</v>
          </cell>
          <cell r="BS90">
            <v>0.98036809815950932</v>
          </cell>
          <cell r="BT90">
            <v>0.98282208588957065</v>
          </cell>
          <cell r="BU90">
            <v>0.98282208588957065</v>
          </cell>
          <cell r="BV90">
            <v>1</v>
          </cell>
          <cell r="BW90">
            <v>1</v>
          </cell>
          <cell r="BX90">
            <v>1</v>
          </cell>
          <cell r="BY90">
            <v>1</v>
          </cell>
          <cell r="BZ90">
            <v>1</v>
          </cell>
          <cell r="CA90">
            <v>1</v>
          </cell>
          <cell r="CB90">
            <v>1</v>
          </cell>
          <cell r="CC90">
            <v>1</v>
          </cell>
          <cell r="CD90">
            <v>1</v>
          </cell>
        </row>
        <row r="91">
          <cell r="AP91" t="str">
            <v xml:space="preserve">  Supports</v>
          </cell>
          <cell r="BD91">
            <v>0</v>
          </cell>
          <cell r="BE91">
            <v>0</v>
          </cell>
          <cell r="BF91">
            <v>6.4896755162241887E-2</v>
          </cell>
          <cell r="BG91">
            <v>0.11209439528023599</v>
          </cell>
          <cell r="BH91">
            <v>0.11799410029498525</v>
          </cell>
          <cell r="BI91">
            <v>0.11799410029498525</v>
          </cell>
          <cell r="BJ91">
            <v>0.12684365781710916</v>
          </cell>
          <cell r="BK91">
            <v>0.16519174041297935</v>
          </cell>
          <cell r="BL91">
            <v>0.28908554572271383</v>
          </cell>
          <cell r="BM91">
            <v>0.4808259587020649</v>
          </cell>
          <cell r="BN91">
            <v>0.7168141592920354</v>
          </cell>
          <cell r="BO91">
            <v>0.91740412979351027</v>
          </cell>
          <cell r="BP91">
            <v>0.9705014749262536</v>
          </cell>
          <cell r="BQ91">
            <v>0.9705014749262536</v>
          </cell>
          <cell r="BR91">
            <v>0.99115044247787598</v>
          </cell>
          <cell r="BS91">
            <v>0.99115044247787598</v>
          </cell>
          <cell r="BT91">
            <v>0.99999999999999989</v>
          </cell>
          <cell r="BU91">
            <v>0.99999999999999989</v>
          </cell>
          <cell r="BV91">
            <v>0.99999999999999989</v>
          </cell>
          <cell r="BW91">
            <v>0.99999999999999989</v>
          </cell>
          <cell r="BX91">
            <v>0.99999999999999989</v>
          </cell>
          <cell r="BY91">
            <v>0.99999999999999989</v>
          </cell>
          <cell r="BZ91">
            <v>0.99999999999999989</v>
          </cell>
          <cell r="CA91">
            <v>0.99999999999999989</v>
          </cell>
          <cell r="CB91">
            <v>0.99999999999999989</v>
          </cell>
          <cell r="CC91">
            <v>0.99999999999999989</v>
          </cell>
          <cell r="CD91">
            <v>0.99999999999999989</v>
          </cell>
        </row>
        <row r="92">
          <cell r="AP92" t="str">
            <v xml:space="preserve">  Hydro Complete</v>
          </cell>
          <cell r="BD92">
            <v>0</v>
          </cell>
          <cell r="BE92">
            <v>0</v>
          </cell>
          <cell r="BF92">
            <v>1.2610340479192938E-3</v>
          </cell>
          <cell r="BG92">
            <v>2.5851197982345524E-2</v>
          </cell>
          <cell r="BH92">
            <v>6.7465321563682221E-2</v>
          </cell>
          <cell r="BI92">
            <v>7.5031525851197989E-2</v>
          </cell>
          <cell r="BJ92">
            <v>8.2597730138713757E-2</v>
          </cell>
          <cell r="BK92">
            <v>8.8902900378310223E-2</v>
          </cell>
          <cell r="BL92">
            <v>9.1424968474148813E-2</v>
          </cell>
          <cell r="BM92">
            <v>0.12547288776796975</v>
          </cell>
          <cell r="BN92">
            <v>0.14880201765447668</v>
          </cell>
          <cell r="BO92">
            <v>0.25662042875157631</v>
          </cell>
          <cell r="BP92">
            <v>0.37894073139974782</v>
          </cell>
          <cell r="BQ92">
            <v>0.44262295081967218</v>
          </cell>
          <cell r="BR92">
            <v>0.5580075662042876</v>
          </cell>
          <cell r="BS92">
            <v>0.68284993694829765</v>
          </cell>
          <cell r="BT92">
            <v>0.84426229508196726</v>
          </cell>
          <cell r="BU92">
            <v>0.97036569987389665</v>
          </cell>
          <cell r="BV92">
            <v>0.99432534678436324</v>
          </cell>
          <cell r="BW92">
            <v>1</v>
          </cell>
          <cell r="BX92">
            <v>1</v>
          </cell>
          <cell r="BY92">
            <v>1</v>
          </cell>
          <cell r="BZ92">
            <v>1</v>
          </cell>
          <cell r="CA92">
            <v>1</v>
          </cell>
          <cell r="CB92">
            <v>1</v>
          </cell>
          <cell r="CC92">
            <v>1</v>
          </cell>
          <cell r="CD92">
            <v>1</v>
          </cell>
        </row>
        <row r="93">
          <cell r="AP93" t="str">
            <v xml:space="preserve">  Restore Complete</v>
          </cell>
          <cell r="BD93">
            <v>0</v>
          </cell>
          <cell r="BE93">
            <v>0</v>
          </cell>
          <cell r="BF93">
            <v>0</v>
          </cell>
          <cell r="BG93">
            <v>7.874015748031496E-3</v>
          </cell>
          <cell r="BH93">
            <v>1.968503937007874E-2</v>
          </cell>
          <cell r="BI93">
            <v>2.7559055118110236E-2</v>
          </cell>
          <cell r="BJ93">
            <v>2.7559055118110236E-2</v>
          </cell>
          <cell r="BK93">
            <v>0.11023622047244094</v>
          </cell>
          <cell r="BL93">
            <v>0.11023622047244094</v>
          </cell>
          <cell r="BM93">
            <v>0.12007874015748031</v>
          </cell>
          <cell r="BN93">
            <v>0.14173228346456693</v>
          </cell>
          <cell r="BO93">
            <v>0.17125984251968504</v>
          </cell>
          <cell r="BP93">
            <v>0.21850393700787402</v>
          </cell>
          <cell r="BQ93">
            <v>0.25984251968503935</v>
          </cell>
          <cell r="BR93">
            <v>0.40551181102362199</v>
          </cell>
          <cell r="BS93">
            <v>0.58661417322834641</v>
          </cell>
          <cell r="BT93">
            <v>0.64960629921259838</v>
          </cell>
          <cell r="BU93">
            <v>0.82283464566929132</v>
          </cell>
          <cell r="BV93">
            <v>0.98425196850393704</v>
          </cell>
          <cell r="BW93">
            <v>1</v>
          </cell>
          <cell r="BX93">
            <v>1</v>
          </cell>
          <cell r="BY93">
            <v>1</v>
          </cell>
          <cell r="BZ93">
            <v>1</v>
          </cell>
          <cell r="CA93">
            <v>1</v>
          </cell>
          <cell r="CB93">
            <v>1</v>
          </cell>
          <cell r="CC93">
            <v>1</v>
          </cell>
          <cell r="CD93">
            <v>1</v>
          </cell>
        </row>
      </sheetData>
      <sheetData sheetId="5"/>
      <sheetData sheetId="6" refreshError="1"/>
      <sheetData sheetId="7"/>
      <sheetData sheetId="8" refreshError="1"/>
      <sheetData sheetId="9"/>
      <sheetData sheetId="10" refreshError="1"/>
      <sheetData sheetId="11" refreshError="1"/>
      <sheetData sheetId="12" refreshError="1"/>
      <sheetData sheetId="13" refreshError="1"/>
      <sheetData sheetId="14" refreshError="1"/>
      <sheetData sheetId="15"/>
      <sheetData sheetId="16" refreshError="1"/>
      <sheetData sheetId="17"/>
      <sheetData sheetId="18"/>
      <sheetData sheetId="19">
        <row r="18">
          <cell r="C18" t="str">
            <v>07/26/09</v>
          </cell>
        </row>
      </sheetData>
      <sheetData sheetId="20" refreshError="1"/>
      <sheetData sheetId="21"/>
      <sheetData sheetId="22" refreshError="1"/>
      <sheetData sheetId="23"/>
      <sheetData sheetId="24" refreshError="1"/>
      <sheetData sheetId="25"/>
      <sheetData sheetId="26" refreshError="1"/>
      <sheetData sheetId="27"/>
      <sheetData sheetId="28"/>
      <sheetData sheetId="29" refreshError="1"/>
      <sheetData sheetId="30"/>
      <sheetData sheetId="31" refreshError="1"/>
      <sheetData sheetId="32"/>
      <sheetData sheetId="33" refreshError="1"/>
      <sheetData sheetId="34"/>
      <sheetData sheetId="35" refreshError="1"/>
      <sheetData sheetId="36"/>
      <sheetData sheetId="37" refreshError="1"/>
      <sheetData sheetId="38"/>
      <sheetData sheetId="39" refreshError="1"/>
      <sheetData sheetId="40" refreshError="1"/>
      <sheetData sheetId="41" refreshError="1"/>
      <sheetData sheetId="42"/>
      <sheetData sheetId="43" refreshError="1"/>
      <sheetData sheetId="44"/>
      <sheetData sheetId="45" refreshError="1"/>
      <sheetData sheetId="46" refreshError="1"/>
      <sheetData sheetId="47" refreshError="1"/>
      <sheetData sheetId="48" refreshError="1"/>
      <sheetData sheetId="49"/>
      <sheetData sheetId="50" refreshError="1"/>
      <sheetData sheetId="51" refreshError="1"/>
      <sheetData sheetId="52" refreshError="1"/>
      <sheetData sheetId="53"/>
      <sheetData sheetId="54" refreshError="1"/>
      <sheetData sheetId="55"/>
      <sheetData sheetId="56" refreshError="1"/>
      <sheetData sheetId="57"/>
      <sheetData sheetId="58" refreshError="1"/>
      <sheetData sheetId="59"/>
      <sheetData sheetId="6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Overview"/>
      <sheetName val="TOTAL"/>
      <sheetName val="LABOR LOAD"/>
      <sheetName val="EQUIP LOAD"/>
      <sheetName val="ESCALATION"/>
      <sheetName val="INDIRECTS"/>
      <sheetName val="SUB"/>
      <sheetName val="MMR"/>
      <sheetName val="ASSUMPTIONS"/>
      <sheetName val="SUBTOTAL"/>
      <sheetName val="COVER"/>
      <sheetName val="WARNINGS"/>
      <sheetName val="MATERIAL"/>
      <sheetName val="PLANT EQUIP"/>
      <sheetName val="CHANGES"/>
      <sheetName val="PRODUCTIVITY"/>
      <sheetName val="CREW RATE"/>
      <sheetName val="FULL COST"/>
      <sheetName val="CASHFLOW"/>
      <sheetName val="STD CASHFLOW"/>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sheetData sheetId="11" refreshError="1"/>
      <sheetData sheetId="12">
        <row r="31">
          <cell r="C31">
            <v>0</v>
          </cell>
        </row>
      </sheetData>
      <sheetData sheetId="13" refreshError="1"/>
      <sheetData sheetId="14" refreshError="1"/>
      <sheetData sheetId="15" refreshError="1"/>
      <sheetData sheetId="16" refreshError="1"/>
      <sheetData sheetId="17" refreshError="1"/>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yMnHr"/>
      <sheetName val="Labor"/>
      <sheetName val="WBS"/>
      <sheetName val="FPMS S-210"/>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6962A-3084-4F6A-AE64-91B65D1F2CDE}">
  <sheetPr>
    <tabColor theme="9" tint="-0.249977111117893"/>
    <pageSetUpPr fitToPage="1"/>
  </sheetPr>
  <dimension ref="B1:N75"/>
  <sheetViews>
    <sheetView showGridLines="0" tabSelected="1" view="pageBreakPreview" zoomScale="70" zoomScaleNormal="85" zoomScaleSheetLayoutView="70" zoomScalePageLayoutView="40" workbookViewId="0">
      <selection activeCell="B16" sqref="B16:C16"/>
    </sheetView>
  </sheetViews>
  <sheetFormatPr defaultColWidth="14.90625" defaultRowHeight="21" outlineLevelRow="1" x14ac:dyDescent="0.5"/>
  <cols>
    <col min="1" max="1" width="2.54296875" style="178" customWidth="1"/>
    <col min="2" max="2" width="20.08984375" style="178" customWidth="1"/>
    <col min="3" max="3" width="31.54296875" style="178" customWidth="1"/>
    <col min="4" max="4" width="23.90625" style="178" customWidth="1"/>
    <col min="5" max="5" width="25.08984375" style="178" customWidth="1"/>
    <col min="6" max="6" width="20.54296875" style="178" customWidth="1"/>
    <col min="7" max="7" width="24.90625" style="178" customWidth="1"/>
    <col min="8" max="8" width="21.08984375" style="178" customWidth="1"/>
    <col min="9" max="9" width="21" style="178" customWidth="1"/>
    <col min="10" max="10" width="16.54296875" style="178" customWidth="1"/>
    <col min="11" max="11" width="16.90625" style="178" customWidth="1"/>
    <col min="12" max="12" width="20" style="178" customWidth="1"/>
    <col min="13" max="13" width="14.90625" style="178" customWidth="1"/>
    <col min="14" max="16384" width="14.90625" style="178"/>
  </cols>
  <sheetData>
    <row r="1" spans="2:14" ht="12" customHeight="1" thickBot="1" x14ac:dyDescent="0.55000000000000004"/>
    <row r="2" spans="2:14" x14ac:dyDescent="0.5">
      <c r="B2" s="609"/>
      <c r="C2" s="610"/>
      <c r="D2" s="615" t="s">
        <v>0</v>
      </c>
      <c r="E2" s="615"/>
      <c r="F2" s="615"/>
      <c r="G2" s="615"/>
      <c r="H2" s="615"/>
      <c r="I2" s="616"/>
      <c r="J2" s="621" t="s">
        <v>1</v>
      </c>
      <c r="K2" s="622"/>
      <c r="L2" s="179"/>
    </row>
    <row r="3" spans="2:14" ht="26.15" customHeight="1" x14ac:dyDescent="0.5">
      <c r="B3" s="611"/>
      <c r="C3" s="612"/>
      <c r="D3" s="617"/>
      <c r="E3" s="617"/>
      <c r="F3" s="617"/>
      <c r="G3" s="617"/>
      <c r="H3" s="617"/>
      <c r="I3" s="618"/>
      <c r="J3" s="623" t="s">
        <v>2</v>
      </c>
      <c r="K3" s="624"/>
      <c r="L3" s="180">
        <v>0</v>
      </c>
    </row>
    <row r="4" spans="2:14" ht="24.65" customHeight="1" thickBot="1" x14ac:dyDescent="0.55000000000000004">
      <c r="B4" s="613"/>
      <c r="C4" s="614"/>
      <c r="D4" s="619"/>
      <c r="E4" s="619"/>
      <c r="F4" s="619"/>
      <c r="G4" s="619"/>
      <c r="H4" s="619"/>
      <c r="I4" s="620"/>
      <c r="J4" s="625" t="s">
        <v>3</v>
      </c>
      <c r="K4" s="626"/>
      <c r="L4" s="181"/>
    </row>
    <row r="5" spans="2:14" ht="19.399999999999999" customHeight="1" thickBot="1" x14ac:dyDescent="0.55000000000000004">
      <c r="B5" s="182"/>
      <c r="C5" s="183"/>
      <c r="D5" s="183"/>
      <c r="J5" s="184"/>
      <c r="K5" s="627"/>
      <c r="L5" s="628"/>
    </row>
    <row r="6" spans="2:14" ht="24.65" customHeight="1" thickBot="1" x14ac:dyDescent="0.55000000000000004">
      <c r="B6" s="182"/>
      <c r="C6" s="183"/>
      <c r="D6" s="183"/>
      <c r="J6" s="184"/>
      <c r="K6" s="187" t="s">
        <v>4</v>
      </c>
      <c r="L6" s="188">
        <v>46035</v>
      </c>
    </row>
    <row r="7" spans="2:14" ht="15" customHeight="1" x14ac:dyDescent="0.5">
      <c r="B7" s="182"/>
      <c r="C7" s="183"/>
      <c r="D7" s="183"/>
      <c r="J7" s="184"/>
      <c r="K7" s="185"/>
      <c r="L7" s="186"/>
    </row>
    <row r="8" spans="2:14" s="189" customFormat="1" ht="20" collapsed="1" x14ac:dyDescent="0.4">
      <c r="B8" s="629" t="s">
        <v>5</v>
      </c>
      <c r="C8" s="630"/>
      <c r="D8" s="630"/>
      <c r="E8" s="630"/>
      <c r="F8" s="630"/>
      <c r="G8" s="630"/>
      <c r="H8" s="630"/>
      <c r="I8" s="630"/>
      <c r="J8" s="630"/>
      <c r="K8" s="630"/>
      <c r="L8" s="631"/>
    </row>
    <row r="9" spans="2:14" ht="21" customHeight="1" x14ac:dyDescent="0.5">
      <c r="B9" s="190" t="s">
        <v>6</v>
      </c>
      <c r="C9" s="632" t="s">
        <v>321</v>
      </c>
      <c r="D9" s="633"/>
      <c r="E9" s="633"/>
      <c r="F9" s="633"/>
      <c r="G9" s="633"/>
      <c r="H9" s="633"/>
      <c r="I9" s="633"/>
      <c r="J9" s="633"/>
      <c r="K9" s="633"/>
      <c r="L9" s="634"/>
    </row>
    <row r="10" spans="2:14" ht="27.75" customHeight="1" x14ac:dyDescent="0.5">
      <c r="B10" s="191"/>
      <c r="C10" s="635"/>
      <c r="D10" s="636"/>
      <c r="E10" s="636"/>
      <c r="F10" s="636"/>
      <c r="G10" s="636"/>
      <c r="H10" s="636"/>
      <c r="I10" s="636"/>
      <c r="J10" s="636"/>
      <c r="K10" s="636"/>
      <c r="L10" s="637"/>
      <c r="N10" s="183"/>
    </row>
    <row r="11" spans="2:14" ht="33.65" customHeight="1" x14ac:dyDescent="0.5">
      <c r="B11" s="191"/>
      <c r="C11" s="638"/>
      <c r="D11" s="639"/>
      <c r="E11" s="639"/>
      <c r="F11" s="639"/>
      <c r="G11" s="639"/>
      <c r="H11" s="639"/>
      <c r="I11" s="639"/>
      <c r="J11" s="639"/>
      <c r="K11" s="639"/>
      <c r="L11" s="640"/>
    </row>
    <row r="12" spans="2:14" ht="21.5" thickBot="1" x14ac:dyDescent="0.55000000000000004">
      <c r="B12" s="192"/>
      <c r="C12" s="193"/>
      <c r="D12" s="193"/>
      <c r="E12" s="193"/>
      <c r="F12" s="193"/>
      <c r="G12" s="193"/>
      <c r="H12" s="193"/>
      <c r="I12" s="193"/>
      <c r="J12" s="193"/>
      <c r="K12" s="193"/>
      <c r="L12" s="194"/>
    </row>
    <row r="13" spans="2:14" ht="36" customHeight="1" x14ac:dyDescent="0.5">
      <c r="B13" s="641" t="s">
        <v>8</v>
      </c>
      <c r="C13" s="642"/>
      <c r="D13" s="195" t="s">
        <v>9</v>
      </c>
      <c r="E13" s="196" t="s">
        <v>10</v>
      </c>
      <c r="F13" s="196" t="s">
        <v>11</v>
      </c>
      <c r="G13" s="196"/>
      <c r="H13" s="196"/>
      <c r="I13" s="196"/>
      <c r="J13" s="196" t="s">
        <v>12</v>
      </c>
      <c r="K13" s="196" t="s">
        <v>13</v>
      </c>
      <c r="L13" s="197" t="s">
        <v>14</v>
      </c>
    </row>
    <row r="14" spans="2:14" x14ac:dyDescent="0.5">
      <c r="B14" s="643" t="s">
        <v>15</v>
      </c>
      <c r="C14" s="644"/>
      <c r="D14" s="462">
        <f>SUM('E&amp;H - Daily Report'!D14+'Audubon - Daily Report'!D14+'RPS - Daily Report'!D14)</f>
        <v>25845</v>
      </c>
      <c r="E14" s="462">
        <f>SUM('E&amp;H - Daily Report'!E14+'Audubon - Daily Report'!E14+'RPS - Daily Report'!E14)</f>
        <v>5378</v>
      </c>
      <c r="F14" s="462">
        <f>SUM('E&amp;H - Daily Report'!F14+'Audubon - Daily Report'!F14+'RPS - Daily Report'!F14)</f>
        <v>1141</v>
      </c>
      <c r="G14" s="198"/>
      <c r="H14" s="198"/>
      <c r="I14" s="199"/>
      <c r="J14" s="200">
        <f>D14</f>
        <v>25845</v>
      </c>
      <c r="K14" s="200">
        <f>SUM(E14:I14)</f>
        <v>6519</v>
      </c>
      <c r="L14" s="201">
        <f>SUM(J14:K14)</f>
        <v>32364</v>
      </c>
    </row>
    <row r="15" spans="2:14" ht="21.5" thickBot="1" x14ac:dyDescent="0.55000000000000004">
      <c r="B15" s="643" t="s">
        <v>16</v>
      </c>
      <c r="C15" s="644"/>
      <c r="D15" s="462">
        <f>SUM('E&amp;H - Daily Report'!D15+'Audubon - Daily Report'!D15+'RPS - Daily Report'!D15)</f>
        <v>1099</v>
      </c>
      <c r="E15" s="462">
        <f>SUM('E&amp;H - Daily Report'!E15+'Audubon - Daily Report'!E15+'RPS - Daily Report'!E15)</f>
        <v>147</v>
      </c>
      <c r="F15" s="462">
        <f>SUM('E&amp;H - Daily Report'!F15+'Audubon - Daily Report'!F15+'RPS - Daily Report'!F15)</f>
        <v>291</v>
      </c>
      <c r="G15" s="202"/>
      <c r="H15" s="202"/>
      <c r="I15" s="203"/>
      <c r="J15" s="200">
        <f>D15</f>
        <v>1099</v>
      </c>
      <c r="K15" s="200">
        <f>SUM(E15:I15)</f>
        <v>438</v>
      </c>
      <c r="L15" s="201">
        <f>SUM(J15:K15)</f>
        <v>1537</v>
      </c>
    </row>
    <row r="16" spans="2:14" ht="22" thickTop="1" thickBot="1" x14ac:dyDescent="0.55000000000000004">
      <c r="B16" s="607" t="s">
        <v>17</v>
      </c>
      <c r="C16" s="608"/>
      <c r="D16" s="466">
        <f>SUM(D15+D14)</f>
        <v>26944</v>
      </c>
      <c r="E16" s="467">
        <f>SUM(E15+E14)</f>
        <v>5525</v>
      </c>
      <c r="F16" s="467">
        <f>SUM(F15,F14)</f>
        <v>1432</v>
      </c>
      <c r="G16" s="204">
        <f t="shared" ref="G16:I16" si="0">SUM(G15,G14)</f>
        <v>0</v>
      </c>
      <c r="H16" s="204">
        <f t="shared" si="0"/>
        <v>0</v>
      </c>
      <c r="I16" s="204">
        <f t="shared" si="0"/>
        <v>0</v>
      </c>
      <c r="J16" s="204">
        <f>SUM(J15,J14)</f>
        <v>26944</v>
      </c>
      <c r="K16" s="204">
        <f>SUM(K15,K14)</f>
        <v>6957</v>
      </c>
      <c r="L16" s="205">
        <f>SUM(L14:L15)</f>
        <v>33901</v>
      </c>
    </row>
    <row r="17" spans="2:12" ht="21.5" thickBot="1" x14ac:dyDescent="0.55000000000000004">
      <c r="B17" s="192"/>
      <c r="C17" s="193"/>
      <c r="D17" s="193"/>
      <c r="E17" s="193"/>
      <c r="F17" s="193"/>
      <c r="G17" s="193"/>
      <c r="H17" s="193"/>
      <c r="I17" s="193"/>
      <c r="J17" s="193"/>
      <c r="K17" s="193"/>
      <c r="L17" s="194"/>
    </row>
    <row r="18" spans="2:12" x14ac:dyDescent="0.5">
      <c r="B18" s="641" t="s">
        <v>18</v>
      </c>
      <c r="C18" s="645"/>
      <c r="D18" s="195" t="s">
        <v>19</v>
      </c>
      <c r="E18" s="196" t="s">
        <v>20</v>
      </c>
      <c r="F18" s="646" t="s">
        <v>21</v>
      </c>
      <c r="G18" s="647"/>
      <c r="H18" s="647"/>
      <c r="I18" s="647"/>
      <c r="J18" s="647"/>
      <c r="K18" s="647"/>
      <c r="L18" s="648"/>
    </row>
    <row r="19" spans="2:12" x14ac:dyDescent="0.5">
      <c r="B19" s="649" t="s">
        <v>22</v>
      </c>
      <c r="C19" s="650"/>
      <c r="D19" s="210">
        <v>0</v>
      </c>
      <c r="E19" s="210">
        <v>0</v>
      </c>
      <c r="F19" s="651"/>
      <c r="G19" s="652"/>
      <c r="H19" s="652"/>
      <c r="I19" s="652"/>
      <c r="J19" s="652"/>
      <c r="K19" s="652"/>
      <c r="L19" s="653"/>
    </row>
    <row r="20" spans="2:12" ht="27.65" customHeight="1" x14ac:dyDescent="0.5">
      <c r="B20" s="649" t="s">
        <v>23</v>
      </c>
      <c r="C20" s="650"/>
      <c r="D20" s="210">
        <v>0</v>
      </c>
      <c r="E20" s="210">
        <v>0</v>
      </c>
      <c r="F20" s="651">
        <v>0</v>
      </c>
      <c r="G20" s="652"/>
      <c r="H20" s="652"/>
      <c r="I20" s="652"/>
      <c r="J20" s="652"/>
      <c r="K20" s="652"/>
      <c r="L20" s="653"/>
    </row>
    <row r="21" spans="2:12" x14ac:dyDescent="0.5">
      <c r="B21" s="649" t="s">
        <v>24</v>
      </c>
      <c r="C21" s="650"/>
      <c r="D21" s="210">
        <v>0</v>
      </c>
      <c r="E21" s="210">
        <v>0</v>
      </c>
      <c r="F21" s="651"/>
      <c r="G21" s="652"/>
      <c r="H21" s="652"/>
      <c r="I21" s="652"/>
      <c r="J21" s="652"/>
      <c r="K21" s="652"/>
      <c r="L21" s="653"/>
    </row>
    <row r="22" spans="2:12" x14ac:dyDescent="0.5">
      <c r="B22" s="208"/>
      <c r="C22" s="209" t="s">
        <v>25</v>
      </c>
      <c r="D22" s="210">
        <v>0</v>
      </c>
      <c r="E22" s="210">
        <v>0</v>
      </c>
      <c r="F22" s="211"/>
      <c r="G22" s="212"/>
      <c r="H22" s="212"/>
      <c r="I22" s="212"/>
      <c r="J22" s="212"/>
      <c r="K22" s="212"/>
      <c r="L22" s="213"/>
    </row>
    <row r="23" spans="2:12" ht="34.5" customHeight="1" x14ac:dyDescent="0.5">
      <c r="B23" s="208"/>
      <c r="C23" s="209" t="s">
        <v>26</v>
      </c>
      <c r="D23" s="214">
        <v>0</v>
      </c>
      <c r="E23" s="214">
        <v>1</v>
      </c>
      <c r="F23" s="651"/>
      <c r="G23" s="652"/>
      <c r="H23" s="652"/>
      <c r="I23" s="652"/>
      <c r="J23" s="652"/>
      <c r="K23" s="652"/>
      <c r="L23" s="653"/>
    </row>
    <row r="24" spans="2:12" ht="21.5" thickBot="1" x14ac:dyDescent="0.55000000000000004">
      <c r="B24" s="649" t="s">
        <v>27</v>
      </c>
      <c r="C24" s="650"/>
      <c r="D24" s="215">
        <v>0</v>
      </c>
      <c r="E24" s="215">
        <v>0</v>
      </c>
      <c r="F24" s="654"/>
      <c r="G24" s="655"/>
      <c r="H24" s="655"/>
      <c r="I24" s="655"/>
      <c r="J24" s="655"/>
      <c r="K24" s="655"/>
      <c r="L24" s="656"/>
    </row>
    <row r="25" spans="2:12" ht="21.5" thickBot="1" x14ac:dyDescent="0.55000000000000004">
      <c r="B25" s="192"/>
      <c r="C25" s="193"/>
      <c r="D25" s="193"/>
      <c r="E25" s="193"/>
      <c r="F25" s="193"/>
      <c r="G25" s="193"/>
      <c r="H25" s="193"/>
      <c r="I25" s="193"/>
      <c r="J25" s="193"/>
      <c r="K25" s="193"/>
      <c r="L25" s="194"/>
    </row>
    <row r="26" spans="2:12" ht="33" customHeight="1" x14ac:dyDescent="0.5">
      <c r="B26" s="641" t="s">
        <v>28</v>
      </c>
      <c r="C26" s="645"/>
      <c r="D26" s="195" t="s">
        <v>29</v>
      </c>
      <c r="E26" s="196" t="s">
        <v>30</v>
      </c>
      <c r="F26" s="197" t="s">
        <v>31</v>
      </c>
      <c r="G26" s="193"/>
      <c r="H26" s="193"/>
      <c r="I26" s="193"/>
      <c r="J26" s="193"/>
      <c r="K26" s="193"/>
      <c r="L26" s="194"/>
    </row>
    <row r="27" spans="2:12" ht="19.5" customHeight="1" x14ac:dyDescent="0.5">
      <c r="B27" s="649" t="s">
        <v>32</v>
      </c>
      <c r="C27" s="657"/>
      <c r="D27" s="210" t="s">
        <v>33</v>
      </c>
      <c r="E27" s="216">
        <v>10</v>
      </c>
      <c r="F27" s="228">
        <f>SUM('E&amp;H - Daily Report'!F27:F39)+'Audubon - Daily Report'!F27+'RPS - Daily Report'!F27</f>
        <v>0</v>
      </c>
      <c r="G27" s="193"/>
      <c r="H27" s="193"/>
      <c r="I27" s="193"/>
      <c r="J27" s="193"/>
      <c r="K27" s="193"/>
      <c r="L27" s="194"/>
    </row>
    <row r="28" spans="2:12" ht="19.5" customHeight="1" thickBot="1" x14ac:dyDescent="0.55000000000000004">
      <c r="B28" s="649" t="s">
        <v>32</v>
      </c>
      <c r="C28" s="657"/>
      <c r="D28" s="215" t="s">
        <v>34</v>
      </c>
      <c r="E28" s="230">
        <v>121</v>
      </c>
      <c r="F28" s="266">
        <f>SUM('E&amp;H - Daily Report'!F40:F46)+'Audubon - Daily Report'!F28+'RPS - Daily Report'!F28</f>
        <v>1</v>
      </c>
      <c r="G28" s="193"/>
      <c r="H28" s="193"/>
      <c r="I28" s="193"/>
      <c r="J28" s="193"/>
      <c r="K28" s="193"/>
      <c r="L28" s="194"/>
    </row>
    <row r="29" spans="2:12" x14ac:dyDescent="0.5">
      <c r="B29" s="222" t="s">
        <v>35</v>
      </c>
      <c r="D29" s="223"/>
      <c r="E29" s="193"/>
      <c r="F29" s="193"/>
      <c r="G29" s="193"/>
      <c r="H29" s="193"/>
      <c r="I29" s="193"/>
      <c r="J29" s="193"/>
      <c r="K29" s="193"/>
      <c r="L29" s="194"/>
    </row>
    <row r="30" spans="2:12" x14ac:dyDescent="0.5">
      <c r="B30" s="224" t="s">
        <v>36</v>
      </c>
      <c r="C30" s="225"/>
      <c r="D30" s="193"/>
      <c r="E30" s="193"/>
      <c r="F30" s="193"/>
      <c r="G30" s="193"/>
      <c r="H30" s="193"/>
      <c r="I30" s="193"/>
      <c r="J30" s="193"/>
      <c r="K30" s="193"/>
      <c r="L30" s="194"/>
    </row>
    <row r="31" spans="2:12" x14ac:dyDescent="0.5">
      <c r="B31" s="658" t="s">
        <v>37</v>
      </c>
      <c r="C31" s="659"/>
      <c r="D31" s="193"/>
      <c r="E31" s="193"/>
      <c r="F31" s="193"/>
      <c r="G31" s="193"/>
      <c r="H31" s="193"/>
      <c r="I31" s="193"/>
      <c r="J31" s="193"/>
      <c r="K31" s="193"/>
      <c r="L31" s="194"/>
    </row>
    <row r="32" spans="2:12" ht="21.5" thickBot="1" x14ac:dyDescent="0.55000000000000004">
      <c r="B32" s="192"/>
      <c r="C32" s="193"/>
      <c r="D32" s="193"/>
      <c r="E32" s="193"/>
      <c r="F32" s="193"/>
      <c r="G32" s="193"/>
      <c r="H32" s="193"/>
      <c r="I32" s="193"/>
      <c r="J32" s="193"/>
      <c r="K32" s="193"/>
      <c r="L32" s="194"/>
    </row>
    <row r="33" spans="2:14" ht="41.15" customHeight="1" x14ac:dyDescent="0.5">
      <c r="B33" s="660" t="s">
        <v>38</v>
      </c>
      <c r="C33" s="661"/>
      <c r="D33" s="409" t="s">
        <v>39</v>
      </c>
      <c r="E33" s="410" t="s">
        <v>40</v>
      </c>
      <c r="F33" s="410" t="s">
        <v>41</v>
      </c>
      <c r="G33" s="410" t="s">
        <v>42</v>
      </c>
      <c r="H33" s="410" t="s">
        <v>43</v>
      </c>
      <c r="I33" s="410" t="s">
        <v>44</v>
      </c>
      <c r="J33" s="411" t="s">
        <v>45</v>
      </c>
      <c r="K33" s="662"/>
      <c r="L33" s="663"/>
      <c r="N33" s="178" t="s">
        <v>46</v>
      </c>
    </row>
    <row r="34" spans="2:14" x14ac:dyDescent="0.5">
      <c r="B34" s="649" t="s">
        <v>47</v>
      </c>
      <c r="C34" s="657"/>
      <c r="D34" s="479">
        <v>46034</v>
      </c>
      <c r="E34" s="480">
        <f>D34+1</f>
        <v>46035</v>
      </c>
      <c r="F34" s="480">
        <f t="shared" ref="F34:J34" si="1">E34+1</f>
        <v>46036</v>
      </c>
      <c r="G34" s="480">
        <f>F34+1</f>
        <v>46037</v>
      </c>
      <c r="H34" s="480">
        <f t="shared" si="1"/>
        <v>46038</v>
      </c>
      <c r="I34" s="480">
        <f t="shared" si="1"/>
        <v>46039</v>
      </c>
      <c r="J34" s="481">
        <f t="shared" si="1"/>
        <v>46040</v>
      </c>
      <c r="K34" s="662"/>
      <c r="L34" s="663"/>
    </row>
    <row r="35" spans="2:14" x14ac:dyDescent="0.5">
      <c r="B35" s="649" t="s">
        <v>48</v>
      </c>
      <c r="C35" s="657"/>
      <c r="D35" s="226">
        <v>63</v>
      </c>
      <c r="E35" s="227">
        <v>69</v>
      </c>
      <c r="F35" s="227"/>
      <c r="G35" s="227"/>
      <c r="H35" s="227"/>
      <c r="I35" s="227"/>
      <c r="J35" s="330"/>
      <c r="K35" s="662"/>
      <c r="L35" s="663"/>
    </row>
    <row r="36" spans="2:14" x14ac:dyDescent="0.5">
      <c r="B36" s="649" t="s">
        <v>49</v>
      </c>
      <c r="C36" s="657"/>
      <c r="D36" s="226">
        <v>27</v>
      </c>
      <c r="E36" s="227">
        <v>30</v>
      </c>
      <c r="F36" s="227"/>
      <c r="G36" s="227"/>
      <c r="H36" s="227"/>
      <c r="I36" s="227"/>
      <c r="J36" s="330"/>
      <c r="K36" s="662"/>
      <c r="L36" s="663"/>
    </row>
    <row r="37" spans="2:14" ht="21.5" thickBot="1" x14ac:dyDescent="0.55000000000000004">
      <c r="B37" s="208"/>
      <c r="C37" s="231" t="s">
        <v>50</v>
      </c>
      <c r="D37" s="475">
        <v>0</v>
      </c>
      <c r="E37" s="232">
        <v>0</v>
      </c>
      <c r="F37" s="232">
        <v>0</v>
      </c>
      <c r="G37" s="232">
        <v>0</v>
      </c>
      <c r="H37" s="232">
        <v>0</v>
      </c>
      <c r="I37" s="232">
        <v>0</v>
      </c>
      <c r="J37" s="476">
        <v>0</v>
      </c>
      <c r="K37" s="662"/>
      <c r="L37" s="663"/>
    </row>
    <row r="38" spans="2:14" ht="21.5" thickBot="1" x14ac:dyDescent="0.55000000000000004">
      <c r="B38" s="424"/>
      <c r="C38" s="422"/>
      <c r="D38" s="431"/>
      <c r="E38" s="432"/>
      <c r="F38" s="433"/>
      <c r="G38" s="433"/>
      <c r="H38" s="433"/>
      <c r="I38" s="433"/>
      <c r="J38" s="433"/>
      <c r="K38" s="433"/>
      <c r="L38" s="434"/>
      <c r="N38" s="178" t="s">
        <v>46</v>
      </c>
    </row>
    <row r="39" spans="2:14" hidden="1" outlineLevel="1" x14ac:dyDescent="0.5">
      <c r="B39" s="239" t="s">
        <v>51</v>
      </c>
      <c r="C39" s="240"/>
      <c r="D39" s="241" t="s">
        <v>52</v>
      </c>
      <c r="E39" s="241" t="s">
        <v>53</v>
      </c>
      <c r="F39" s="242" t="s">
        <v>54</v>
      </c>
      <c r="G39" s="241" t="s">
        <v>55</v>
      </c>
      <c r="H39" s="241" t="s">
        <v>56</v>
      </c>
      <c r="I39" s="241" t="s">
        <v>57</v>
      </c>
      <c r="J39" s="241" t="s">
        <v>58</v>
      </c>
      <c r="K39" s="243"/>
      <c r="L39" s="244"/>
    </row>
    <row r="40" spans="2:14" hidden="1" outlineLevel="1" x14ac:dyDescent="0.5">
      <c r="B40" s="233"/>
      <c r="C40" s="245" t="s">
        <v>47</v>
      </c>
      <c r="D40" s="246">
        <v>44816</v>
      </c>
      <c r="E40" s="246">
        <f t="shared" ref="E40:J40" si="2">+D40+1</f>
        <v>44817</v>
      </c>
      <c r="F40" s="246">
        <f t="shared" si="2"/>
        <v>44818</v>
      </c>
      <c r="G40" s="246">
        <f t="shared" si="2"/>
        <v>44819</v>
      </c>
      <c r="H40" s="246">
        <f t="shared" si="2"/>
        <v>44820</v>
      </c>
      <c r="I40" s="246">
        <f t="shared" si="2"/>
        <v>44821</v>
      </c>
      <c r="J40" s="246">
        <f t="shared" si="2"/>
        <v>44822</v>
      </c>
      <c r="K40" s="243"/>
      <c r="L40" s="244"/>
    </row>
    <row r="41" spans="2:14" hidden="1" outlineLevel="1" x14ac:dyDescent="0.5">
      <c r="B41" s="233"/>
      <c r="C41" s="245" t="s">
        <v>48</v>
      </c>
      <c r="D41" s="247"/>
      <c r="E41" s="247"/>
      <c r="F41" s="248"/>
      <c r="G41" s="247"/>
      <c r="H41" s="247"/>
      <c r="I41" s="247" t="s">
        <v>59</v>
      </c>
      <c r="J41" s="247" t="s">
        <v>59</v>
      </c>
      <c r="K41" s="243"/>
      <c r="L41" s="244"/>
    </row>
    <row r="42" spans="2:14" hidden="1" outlineLevel="1" x14ac:dyDescent="0.5">
      <c r="B42" s="233"/>
      <c r="C42" s="245" t="s">
        <v>60</v>
      </c>
      <c r="D42" s="247"/>
      <c r="E42" s="247"/>
      <c r="F42" s="248"/>
      <c r="G42" s="247"/>
      <c r="H42" s="247"/>
      <c r="I42" s="247" t="s">
        <v>59</v>
      </c>
      <c r="J42" s="247" t="s">
        <v>59</v>
      </c>
      <c r="K42" s="243"/>
      <c r="L42" s="244"/>
    </row>
    <row r="43" spans="2:14" hidden="1" outlineLevel="1" x14ac:dyDescent="0.5">
      <c r="B43" s="233"/>
      <c r="C43" s="245" t="s">
        <v>61</v>
      </c>
      <c r="D43" s="249">
        <v>0</v>
      </c>
      <c r="E43" s="249">
        <v>0</v>
      </c>
      <c r="F43" s="250">
        <v>0</v>
      </c>
      <c r="G43" s="249">
        <v>0</v>
      </c>
      <c r="H43" s="249">
        <v>0</v>
      </c>
      <c r="I43" s="249">
        <v>0</v>
      </c>
      <c r="J43" s="249">
        <v>0</v>
      </c>
      <c r="K43" s="243"/>
      <c r="L43" s="244"/>
    </row>
    <row r="44" spans="2:14" hidden="1" outlineLevel="1" x14ac:dyDescent="0.5">
      <c r="B44" s="233"/>
      <c r="C44" s="251"/>
      <c r="D44" s="252" t="s">
        <v>62</v>
      </c>
      <c r="E44" s="252" t="s">
        <v>62</v>
      </c>
      <c r="F44" s="253" t="s">
        <v>62</v>
      </c>
      <c r="G44" s="253" t="s">
        <v>62</v>
      </c>
      <c r="H44" s="253" t="s">
        <v>62</v>
      </c>
      <c r="I44" s="253" t="s">
        <v>62</v>
      </c>
      <c r="J44" s="253" t="s">
        <v>62</v>
      </c>
      <c r="K44" s="243"/>
      <c r="L44" s="244"/>
    </row>
    <row r="45" spans="2:14" ht="21.5" hidden="1" outlineLevel="1" thickBot="1" x14ac:dyDescent="0.55000000000000004">
      <c r="B45" s="424"/>
      <c r="C45" s="425"/>
      <c r="D45" s="426"/>
      <c r="E45" s="426"/>
      <c r="F45" s="427"/>
      <c r="G45" s="427"/>
      <c r="H45" s="427"/>
      <c r="I45" s="427"/>
      <c r="J45" s="427"/>
      <c r="K45" s="428"/>
      <c r="L45" s="429"/>
    </row>
    <row r="46" spans="2:14" collapsed="1" x14ac:dyDescent="0.5">
      <c r="D46" s="664"/>
      <c r="E46" s="664"/>
      <c r="F46" s="664"/>
      <c r="G46" s="664"/>
      <c r="H46" s="664"/>
      <c r="I46" s="664"/>
      <c r="J46" s="403"/>
      <c r="K46" s="403"/>
    </row>
    <row r="47" spans="2:14" x14ac:dyDescent="0.5">
      <c r="D47" s="664"/>
      <c r="E47" s="664"/>
      <c r="F47" s="664"/>
      <c r="G47" s="664"/>
      <c r="H47" s="664"/>
      <c r="I47" s="664"/>
      <c r="J47" s="403"/>
      <c r="K47" s="403"/>
    </row>
    <row r="48" spans="2:14" x14ac:dyDescent="0.5">
      <c r="D48" s="664"/>
      <c r="E48" s="664"/>
      <c r="F48" s="664"/>
      <c r="G48" s="664"/>
      <c r="H48" s="664"/>
      <c r="I48" s="664"/>
      <c r="J48" s="403"/>
      <c r="K48" s="403"/>
    </row>
    <row r="49" spans="4:11" x14ac:dyDescent="0.5">
      <c r="D49" s="664"/>
      <c r="E49" s="664"/>
      <c r="F49" s="664"/>
      <c r="G49" s="664"/>
      <c r="H49" s="664"/>
      <c r="I49" s="664"/>
      <c r="J49" s="403"/>
      <c r="K49" s="403"/>
    </row>
    <row r="50" spans="4:11" x14ac:dyDescent="0.5">
      <c r="D50" s="664"/>
      <c r="E50" s="664"/>
      <c r="F50" s="664"/>
      <c r="G50" s="664"/>
      <c r="H50" s="664"/>
      <c r="I50" s="664"/>
      <c r="J50" s="403"/>
      <c r="K50" s="403"/>
    </row>
    <row r="51" spans="4:11" x14ac:dyDescent="0.5">
      <c r="D51" s="664"/>
      <c r="E51" s="664"/>
      <c r="F51" s="664"/>
      <c r="G51" s="664"/>
      <c r="H51" s="664"/>
      <c r="I51" s="664"/>
      <c r="J51" s="403"/>
      <c r="K51" s="403"/>
    </row>
    <row r="52" spans="4:11" x14ac:dyDescent="0.5">
      <c r="D52" s="664"/>
      <c r="E52" s="664"/>
      <c r="F52" s="664"/>
      <c r="G52" s="664"/>
      <c r="H52" s="664"/>
      <c r="I52" s="664"/>
      <c r="J52" s="403"/>
      <c r="K52" s="403"/>
    </row>
    <row r="53" spans="4:11" x14ac:dyDescent="0.5">
      <c r="D53" s="664"/>
      <c r="E53" s="664"/>
      <c r="F53" s="664"/>
      <c r="G53" s="664"/>
      <c r="H53" s="664"/>
      <c r="I53" s="664"/>
      <c r="J53" s="403"/>
      <c r="K53" s="403"/>
    </row>
    <row r="54" spans="4:11" x14ac:dyDescent="0.5">
      <c r="D54" s="664"/>
      <c r="E54" s="664"/>
      <c r="F54" s="664"/>
      <c r="G54" s="664"/>
      <c r="H54" s="664"/>
      <c r="I54" s="664"/>
      <c r="J54" s="403"/>
      <c r="K54" s="403"/>
    </row>
    <row r="55" spans="4:11" x14ac:dyDescent="0.5">
      <c r="D55" s="403"/>
      <c r="E55" s="403"/>
      <c r="F55" s="403"/>
      <c r="G55" s="403"/>
      <c r="H55" s="403"/>
      <c r="I55" s="403"/>
      <c r="J55" s="403"/>
      <c r="K55" s="403"/>
    </row>
    <row r="56" spans="4:11" x14ac:dyDescent="0.5">
      <c r="D56" s="403"/>
      <c r="E56" s="403"/>
      <c r="F56" s="403"/>
      <c r="G56" s="403"/>
      <c r="H56" s="403"/>
      <c r="I56" s="403"/>
      <c r="J56" s="403"/>
      <c r="K56" s="403"/>
    </row>
    <row r="57" spans="4:11" x14ac:dyDescent="0.5">
      <c r="D57" s="403"/>
      <c r="E57" s="403"/>
      <c r="F57" s="403"/>
      <c r="G57" s="403"/>
      <c r="H57" s="403"/>
      <c r="I57" s="403"/>
      <c r="J57" s="403"/>
      <c r="K57" s="403"/>
    </row>
    <row r="58" spans="4:11" x14ac:dyDescent="0.5">
      <c r="D58" s="664"/>
      <c r="E58" s="664"/>
      <c r="F58" s="664"/>
      <c r="G58" s="664"/>
      <c r="H58" s="664"/>
      <c r="I58" s="664"/>
      <c r="J58" s="664"/>
      <c r="K58" s="664"/>
    </row>
    <row r="59" spans="4:11" x14ac:dyDescent="0.5">
      <c r="D59" s="664"/>
      <c r="E59" s="664"/>
      <c r="F59" s="664"/>
      <c r="G59" s="664"/>
      <c r="H59" s="664"/>
      <c r="I59" s="664"/>
      <c r="J59" s="664"/>
      <c r="K59" s="664"/>
    </row>
    <row r="60" spans="4:11" x14ac:dyDescent="0.5">
      <c r="D60" s="664"/>
      <c r="E60" s="664"/>
      <c r="F60" s="664"/>
      <c r="G60" s="664"/>
      <c r="H60" s="664"/>
      <c r="I60" s="664"/>
      <c r="J60" s="664"/>
      <c r="K60" s="664"/>
    </row>
    <row r="61" spans="4:11" x14ac:dyDescent="0.5">
      <c r="D61" s="664"/>
      <c r="E61" s="664"/>
      <c r="F61" s="664"/>
      <c r="G61" s="664"/>
      <c r="H61" s="664"/>
      <c r="I61" s="664"/>
      <c r="J61" s="664"/>
      <c r="K61" s="664"/>
    </row>
    <row r="62" spans="4:11" x14ac:dyDescent="0.5">
      <c r="D62" s="664"/>
      <c r="E62" s="664"/>
      <c r="F62" s="664"/>
      <c r="G62" s="664"/>
      <c r="H62" s="664"/>
      <c r="I62" s="664"/>
      <c r="J62" s="664"/>
      <c r="K62" s="664"/>
    </row>
    <row r="63" spans="4:11" x14ac:dyDescent="0.5">
      <c r="D63" s="664"/>
      <c r="E63" s="664"/>
      <c r="F63" s="664"/>
      <c r="G63" s="664"/>
      <c r="H63" s="664"/>
      <c r="I63" s="664"/>
      <c r="J63" s="664"/>
      <c r="K63" s="664"/>
    </row>
    <row r="64" spans="4:11" x14ac:dyDescent="0.5">
      <c r="D64" s="664"/>
      <c r="E64" s="664"/>
      <c r="F64" s="664"/>
      <c r="G64" s="664"/>
      <c r="H64" s="664"/>
      <c r="I64" s="664"/>
      <c r="J64" s="664"/>
      <c r="K64" s="664"/>
    </row>
    <row r="65" spans="4:11" x14ac:dyDescent="0.5">
      <c r="D65" s="664"/>
      <c r="E65" s="664"/>
      <c r="F65" s="664"/>
      <c r="G65" s="664"/>
      <c r="H65" s="664"/>
      <c r="I65" s="664"/>
      <c r="J65" s="664"/>
      <c r="K65" s="664"/>
    </row>
    <row r="66" spans="4:11" x14ac:dyDescent="0.5">
      <c r="D66" s="664"/>
      <c r="E66" s="664"/>
      <c r="F66" s="664"/>
      <c r="G66" s="664"/>
      <c r="H66" s="664"/>
      <c r="I66" s="664"/>
      <c r="J66" s="664"/>
      <c r="K66" s="664"/>
    </row>
    <row r="67" spans="4:11" x14ac:dyDescent="0.5">
      <c r="D67" s="664"/>
      <c r="E67" s="664"/>
      <c r="F67" s="664"/>
      <c r="G67" s="664"/>
      <c r="H67" s="664"/>
      <c r="I67" s="664"/>
      <c r="J67" s="664"/>
      <c r="K67" s="664"/>
    </row>
    <row r="68" spans="4:11" x14ac:dyDescent="0.5">
      <c r="D68" s="664"/>
      <c r="E68" s="664"/>
      <c r="F68" s="664"/>
      <c r="G68" s="664"/>
      <c r="H68" s="664"/>
      <c r="I68" s="664"/>
      <c r="J68" s="664"/>
      <c r="K68" s="664"/>
    </row>
    <row r="69" spans="4:11" x14ac:dyDescent="0.5">
      <c r="D69" s="664"/>
      <c r="E69" s="664"/>
      <c r="F69" s="664"/>
      <c r="G69" s="664"/>
      <c r="H69" s="664"/>
      <c r="I69" s="664"/>
      <c r="J69" s="664"/>
      <c r="K69" s="664"/>
    </row>
    <row r="70" spans="4:11" x14ac:dyDescent="0.5">
      <c r="D70" s="664"/>
      <c r="E70" s="664"/>
      <c r="F70" s="664"/>
      <c r="G70" s="664"/>
      <c r="H70" s="664"/>
      <c r="I70" s="664"/>
      <c r="J70" s="664"/>
      <c r="K70" s="664"/>
    </row>
    <row r="71" spans="4:11" x14ac:dyDescent="0.5">
      <c r="D71" s="664"/>
      <c r="E71" s="664"/>
      <c r="F71" s="664"/>
      <c r="G71" s="664"/>
      <c r="H71" s="664"/>
      <c r="I71" s="664"/>
      <c r="J71" s="664"/>
      <c r="K71" s="664"/>
    </row>
    <row r="72" spans="4:11" x14ac:dyDescent="0.5">
      <c r="D72" s="664"/>
      <c r="E72" s="664"/>
      <c r="F72" s="664"/>
      <c r="G72" s="664"/>
      <c r="H72" s="664"/>
      <c r="I72" s="664"/>
      <c r="J72" s="664"/>
      <c r="K72" s="664"/>
    </row>
    <row r="73" spans="4:11" x14ac:dyDescent="0.5">
      <c r="D73" s="664"/>
      <c r="E73" s="664"/>
      <c r="F73" s="664"/>
      <c r="G73" s="664"/>
      <c r="H73" s="664"/>
      <c r="I73" s="664"/>
      <c r="J73" s="664"/>
      <c r="K73" s="664"/>
    </row>
    <row r="74" spans="4:11" x14ac:dyDescent="0.5">
      <c r="D74" s="664"/>
      <c r="E74" s="664"/>
      <c r="F74" s="664"/>
      <c r="G74" s="664"/>
      <c r="H74" s="664"/>
      <c r="I74" s="664"/>
      <c r="J74" s="664"/>
      <c r="K74" s="664"/>
    </row>
    <row r="75" spans="4:11" x14ac:dyDescent="0.5">
      <c r="D75" s="664"/>
      <c r="E75" s="664"/>
      <c r="F75" s="664"/>
      <c r="G75" s="664"/>
      <c r="H75" s="664"/>
      <c r="I75" s="664"/>
      <c r="J75" s="664"/>
      <c r="K75" s="664"/>
    </row>
  </sheetData>
  <mergeCells count="39">
    <mergeCell ref="J58:K75"/>
    <mergeCell ref="F46:G54"/>
    <mergeCell ref="D46:E54"/>
    <mergeCell ref="H46:I54"/>
    <mergeCell ref="D58:E75"/>
    <mergeCell ref="F58:G75"/>
    <mergeCell ref="H58:I75"/>
    <mergeCell ref="B27:C27"/>
    <mergeCell ref="B31:C31"/>
    <mergeCell ref="B33:C33"/>
    <mergeCell ref="K33:L37"/>
    <mergeCell ref="B34:C34"/>
    <mergeCell ref="B35:C35"/>
    <mergeCell ref="B36:C36"/>
    <mergeCell ref="B28:C28"/>
    <mergeCell ref="B26:C26"/>
    <mergeCell ref="B18:C18"/>
    <mergeCell ref="F18:L18"/>
    <mergeCell ref="B19:C19"/>
    <mergeCell ref="F19:L19"/>
    <mergeCell ref="B20:C20"/>
    <mergeCell ref="F20:L20"/>
    <mergeCell ref="B21:C21"/>
    <mergeCell ref="F21:L21"/>
    <mergeCell ref="F23:L23"/>
    <mergeCell ref="B24:C24"/>
    <mergeCell ref="F24:L24"/>
    <mergeCell ref="B16:C16"/>
    <mergeCell ref="B2:C4"/>
    <mergeCell ref="D2:I4"/>
    <mergeCell ref="J2:K2"/>
    <mergeCell ref="J3:K3"/>
    <mergeCell ref="J4:K4"/>
    <mergeCell ref="K5:L5"/>
    <mergeCell ref="B8:L8"/>
    <mergeCell ref="C9:L11"/>
    <mergeCell ref="B13:C13"/>
    <mergeCell ref="B14:C14"/>
    <mergeCell ref="B15:C15"/>
  </mergeCells>
  <printOptions horizontalCentered="1"/>
  <pageMargins left="0.2" right="0.2" top="0.75" bottom="0.75" header="0.3" footer="0.3"/>
  <pageSetup scale="42" fitToHeight="0" orientation="portrait" r:id="rId1"/>
  <headerFooter>
    <oddFooter>&amp;L&amp;"-,Regular"&amp;11&amp;F&amp;R&amp;"-,Regular"&amp;11ACS-SFM-CX-1016, Rev 0, 10-Oct-2022</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DBF54-8DA2-4D4F-BF65-6D3BAB4E1D9C}">
  <sheetPr>
    <tabColor theme="9" tint="-0.249977111117893"/>
    <pageSetUpPr fitToPage="1"/>
  </sheetPr>
  <dimension ref="B1:L131"/>
  <sheetViews>
    <sheetView showGridLines="0" view="pageBreakPreview" zoomScale="55" zoomScaleNormal="85" zoomScaleSheetLayoutView="55" zoomScalePageLayoutView="70" workbookViewId="0">
      <selection activeCell="B91" sqref="B91:L91"/>
    </sheetView>
  </sheetViews>
  <sheetFormatPr defaultColWidth="14.90625" defaultRowHeight="21" x14ac:dyDescent="0.5"/>
  <cols>
    <col min="1" max="1" width="2.54296875" style="178" customWidth="1"/>
    <col min="2" max="2" width="20.08984375" style="178" customWidth="1"/>
    <col min="3" max="3" width="31.54296875" style="178" customWidth="1"/>
    <col min="4" max="4" width="23.90625" style="178" customWidth="1"/>
    <col min="5" max="5" width="25.08984375" style="178" customWidth="1"/>
    <col min="6" max="6" width="20.54296875" style="178" customWidth="1"/>
    <col min="7" max="7" width="24.90625" style="178" customWidth="1"/>
    <col min="8" max="8" width="21.08984375" style="178" customWidth="1"/>
    <col min="9" max="9" width="21" style="178" customWidth="1"/>
    <col min="10" max="10" width="16.54296875" style="178" customWidth="1"/>
    <col min="11" max="11" width="16.90625" style="178" customWidth="1"/>
    <col min="12" max="12" width="20" style="178" customWidth="1"/>
    <col min="13" max="13" width="14.90625" style="178" customWidth="1"/>
    <col min="14" max="16384" width="14.90625" style="178"/>
  </cols>
  <sheetData>
    <row r="1" spans="2:12" ht="12" customHeight="1" thickBot="1" x14ac:dyDescent="0.55000000000000004"/>
    <row r="2" spans="2:12" x14ac:dyDescent="0.5">
      <c r="B2" s="707"/>
      <c r="C2" s="708"/>
      <c r="D2" s="713" t="s">
        <v>0</v>
      </c>
      <c r="E2" s="714"/>
      <c r="F2" s="714"/>
      <c r="G2" s="714"/>
      <c r="H2" s="714"/>
      <c r="I2" s="715"/>
      <c r="J2" s="722" t="s">
        <v>1</v>
      </c>
      <c r="K2" s="723"/>
      <c r="L2" s="179"/>
    </row>
    <row r="3" spans="2:12" ht="26.15" customHeight="1" x14ac:dyDescent="0.5">
      <c r="B3" s="709"/>
      <c r="C3" s="710"/>
      <c r="D3" s="716"/>
      <c r="E3" s="717"/>
      <c r="F3" s="717"/>
      <c r="G3" s="717"/>
      <c r="H3" s="717"/>
      <c r="I3" s="718"/>
      <c r="J3" s="724" t="s">
        <v>2</v>
      </c>
      <c r="K3" s="725"/>
      <c r="L3" s="180">
        <v>0</v>
      </c>
    </row>
    <row r="4" spans="2:12" ht="21.5" thickBot="1" x14ac:dyDescent="0.55000000000000004">
      <c r="B4" s="711"/>
      <c r="C4" s="712"/>
      <c r="D4" s="719"/>
      <c r="E4" s="720"/>
      <c r="F4" s="720"/>
      <c r="G4" s="720"/>
      <c r="H4" s="720"/>
      <c r="I4" s="721"/>
      <c r="J4" s="726" t="s">
        <v>3</v>
      </c>
      <c r="K4" s="727"/>
      <c r="L4" s="181"/>
    </row>
    <row r="5" spans="2:12" ht="19.399999999999999" customHeight="1" thickBot="1" x14ac:dyDescent="0.55000000000000004">
      <c r="B5" s="182"/>
      <c r="C5" s="183"/>
      <c r="D5" s="183"/>
      <c r="J5" s="184"/>
      <c r="K5" s="705"/>
      <c r="L5" s="706"/>
    </row>
    <row r="6" spans="2:12" ht="24.65" customHeight="1" thickBot="1" x14ac:dyDescent="0.55000000000000004">
      <c r="B6" s="182"/>
      <c r="C6" s="183"/>
      <c r="D6" s="183"/>
      <c r="J6" s="184"/>
      <c r="K6" s="187" t="s">
        <v>4</v>
      </c>
      <c r="L6" s="188">
        <f>Safety!L6</f>
        <v>46035</v>
      </c>
    </row>
    <row r="7" spans="2:12" ht="15" customHeight="1" x14ac:dyDescent="0.5">
      <c r="B7" s="182"/>
      <c r="C7" s="183"/>
      <c r="D7" s="183"/>
      <c r="J7" s="184"/>
      <c r="K7" s="185"/>
      <c r="L7" s="186"/>
    </row>
    <row r="8" spans="2:12" s="189" customFormat="1" ht="22.65" customHeight="1" x14ac:dyDescent="0.4">
      <c r="B8" s="629" t="s">
        <v>63</v>
      </c>
      <c r="C8" s="630"/>
      <c r="D8" s="630"/>
      <c r="E8" s="630"/>
      <c r="F8" s="630"/>
      <c r="G8" s="630"/>
      <c r="H8" s="630"/>
      <c r="I8" s="630"/>
      <c r="J8" s="630"/>
      <c r="K8" s="630"/>
      <c r="L8" s="631"/>
    </row>
    <row r="9" spans="2:12" ht="21.5" thickBot="1" x14ac:dyDescent="0.55000000000000004">
      <c r="B9" s="682" t="s">
        <v>64</v>
      </c>
      <c r="C9" s="683"/>
      <c r="D9" s="293"/>
      <c r="E9" s="293"/>
      <c r="F9" s="293"/>
      <c r="G9" s="293"/>
      <c r="H9" s="293"/>
      <c r="I9" s="237"/>
      <c r="J9" s="234"/>
      <c r="K9" s="234"/>
      <c r="L9" s="263"/>
    </row>
    <row r="10" spans="2:12" ht="27.75" customHeight="1" x14ac:dyDescent="0.5">
      <c r="B10" s="294"/>
      <c r="C10" s="295"/>
      <c r="D10" s="195" t="s">
        <v>65</v>
      </c>
      <c r="E10" s="196" t="s">
        <v>66</v>
      </c>
      <c r="F10" s="197" t="s">
        <v>67</v>
      </c>
      <c r="G10" s="197" t="s">
        <v>68</v>
      </c>
      <c r="H10" s="183"/>
      <c r="I10" s="234"/>
      <c r="J10" s="234"/>
      <c r="K10" s="234"/>
      <c r="L10" s="263"/>
    </row>
    <row r="11" spans="2:12" ht="21.5" thickBot="1" x14ac:dyDescent="0.55000000000000004">
      <c r="B11" s="294"/>
      <c r="C11" s="209" t="s">
        <v>69</v>
      </c>
      <c r="D11" s="296">
        <v>45854</v>
      </c>
      <c r="E11" s="297">
        <v>45859</v>
      </c>
      <c r="F11" s="298">
        <f>+D11-E11</f>
        <v>-5</v>
      </c>
      <c r="G11" s="298"/>
      <c r="H11" s="183"/>
      <c r="I11" s="234"/>
      <c r="J11" s="234"/>
      <c r="K11" s="234"/>
      <c r="L11" s="263"/>
    </row>
    <row r="12" spans="2:12" ht="21.5" thickBot="1" x14ac:dyDescent="0.55000000000000004">
      <c r="B12" s="294"/>
      <c r="C12" s="209" t="s">
        <v>70</v>
      </c>
      <c r="D12" s="296">
        <v>45931</v>
      </c>
      <c r="E12" s="297">
        <v>45931</v>
      </c>
      <c r="F12" s="298">
        <f t="shared" ref="F12:F20" si="0">+D12-E12</f>
        <v>0</v>
      </c>
      <c r="G12" s="298"/>
      <c r="H12" s="183"/>
      <c r="I12" s="234"/>
      <c r="J12" s="234"/>
      <c r="K12" s="234"/>
      <c r="L12" s="263"/>
    </row>
    <row r="13" spans="2:12" ht="21.5" thickBot="1" x14ac:dyDescent="0.55000000000000004">
      <c r="B13" s="294"/>
      <c r="C13" s="209" t="s">
        <v>266</v>
      </c>
      <c r="D13" s="296">
        <v>45982</v>
      </c>
      <c r="E13" s="297">
        <v>45973</v>
      </c>
      <c r="F13" s="298">
        <f t="shared" si="0"/>
        <v>9</v>
      </c>
      <c r="G13" s="298"/>
      <c r="H13" s="183"/>
      <c r="I13" s="234"/>
      <c r="J13" s="234"/>
      <c r="K13" s="234"/>
      <c r="L13" s="263"/>
    </row>
    <row r="14" spans="2:12" ht="21.5" thickBot="1" x14ac:dyDescent="0.55000000000000004">
      <c r="B14" s="294"/>
      <c r="C14" s="209" t="s">
        <v>267</v>
      </c>
      <c r="D14" s="296">
        <v>46003</v>
      </c>
      <c r="E14" s="297">
        <v>45997</v>
      </c>
      <c r="F14" s="298">
        <v>2</v>
      </c>
      <c r="G14" s="298"/>
      <c r="H14" s="183"/>
      <c r="I14" s="234"/>
      <c r="J14" s="234"/>
      <c r="K14" s="234"/>
      <c r="L14" s="263"/>
    </row>
    <row r="15" spans="2:12" ht="21.5" thickBot="1" x14ac:dyDescent="0.55000000000000004">
      <c r="B15" s="294"/>
      <c r="C15" s="209" t="s">
        <v>268</v>
      </c>
      <c r="D15" s="296">
        <v>45936</v>
      </c>
      <c r="E15" s="297">
        <v>45933</v>
      </c>
      <c r="F15" s="298">
        <f t="shared" si="0"/>
        <v>3</v>
      </c>
      <c r="G15" s="298"/>
      <c r="H15" s="183"/>
      <c r="I15" s="234"/>
      <c r="J15" s="234"/>
      <c r="K15" s="234"/>
      <c r="L15" s="263"/>
    </row>
    <row r="16" spans="2:12" ht="21.5" thickBot="1" x14ac:dyDescent="0.55000000000000004">
      <c r="B16" s="294"/>
      <c r="C16" s="209" t="s">
        <v>269</v>
      </c>
      <c r="D16" s="296">
        <v>45990</v>
      </c>
      <c r="E16" s="297">
        <v>45979</v>
      </c>
      <c r="F16" s="298">
        <f t="shared" si="0"/>
        <v>11</v>
      </c>
      <c r="G16" s="298"/>
      <c r="H16" s="183"/>
      <c r="I16" s="234"/>
      <c r="J16" s="234"/>
      <c r="K16" s="234"/>
      <c r="L16" s="263"/>
    </row>
    <row r="17" spans="2:12" ht="21.5" thickBot="1" x14ac:dyDescent="0.55000000000000004">
      <c r="B17" s="294"/>
      <c r="C17" s="209" t="s">
        <v>263</v>
      </c>
      <c r="D17" s="296">
        <v>45968</v>
      </c>
      <c r="E17" s="299">
        <v>45968</v>
      </c>
      <c r="F17" s="298">
        <f t="shared" si="0"/>
        <v>0</v>
      </c>
      <c r="G17" s="298"/>
      <c r="H17" s="183"/>
      <c r="I17" s="234"/>
      <c r="J17" s="234"/>
      <c r="K17" s="234"/>
      <c r="L17" s="263"/>
    </row>
    <row r="18" spans="2:12" ht="21.5" thickBot="1" x14ac:dyDescent="0.55000000000000004">
      <c r="B18" s="294"/>
      <c r="C18" s="209" t="s">
        <v>264</v>
      </c>
      <c r="D18" s="296">
        <v>45987</v>
      </c>
      <c r="E18" s="299">
        <v>45982</v>
      </c>
      <c r="F18" s="298">
        <f t="shared" si="0"/>
        <v>5</v>
      </c>
      <c r="G18" s="298"/>
      <c r="H18" s="183"/>
      <c r="I18" s="234"/>
      <c r="J18" s="234"/>
      <c r="K18" s="234"/>
      <c r="L18" s="263"/>
    </row>
    <row r="19" spans="2:12" ht="21.5" thickBot="1" x14ac:dyDescent="0.55000000000000004">
      <c r="B19" s="294"/>
      <c r="C19" s="209" t="s">
        <v>270</v>
      </c>
      <c r="D19" s="296">
        <v>45975</v>
      </c>
      <c r="E19" s="299">
        <v>45971</v>
      </c>
      <c r="F19" s="298">
        <f t="shared" si="0"/>
        <v>4</v>
      </c>
      <c r="G19" s="298"/>
      <c r="H19" s="183"/>
      <c r="I19" s="234"/>
      <c r="J19" s="234"/>
      <c r="K19" s="234"/>
      <c r="L19" s="263"/>
    </row>
    <row r="20" spans="2:12" ht="21.5" thickBot="1" x14ac:dyDescent="0.55000000000000004">
      <c r="B20" s="294"/>
      <c r="C20" s="209" t="s">
        <v>271</v>
      </c>
      <c r="D20" s="296">
        <v>45993</v>
      </c>
      <c r="E20" s="299">
        <v>45983</v>
      </c>
      <c r="F20" s="298">
        <f t="shared" si="0"/>
        <v>10</v>
      </c>
      <c r="G20" s="298"/>
      <c r="H20" s="183"/>
      <c r="I20" s="234"/>
      <c r="J20" s="234"/>
      <c r="K20" s="234"/>
      <c r="L20" s="263"/>
    </row>
    <row r="21" spans="2:12" ht="21.5" thickBot="1" x14ac:dyDescent="0.55000000000000004">
      <c r="B21" s="294"/>
      <c r="C21" s="209" t="s">
        <v>274</v>
      </c>
      <c r="D21" s="296">
        <v>45996</v>
      </c>
      <c r="E21" s="299">
        <v>45987</v>
      </c>
      <c r="F21" s="298">
        <f>+D21-E21</f>
        <v>9</v>
      </c>
      <c r="G21" s="298"/>
      <c r="H21" s="183"/>
      <c r="I21" s="234"/>
      <c r="J21" s="234"/>
      <c r="K21" s="234"/>
      <c r="L21" s="263"/>
    </row>
    <row r="22" spans="2:12" ht="21.5" thickBot="1" x14ac:dyDescent="0.55000000000000004">
      <c r="B22" s="294"/>
      <c r="C22" s="209" t="s">
        <v>275</v>
      </c>
      <c r="D22" s="296">
        <v>46029</v>
      </c>
      <c r="E22" s="299">
        <v>46022</v>
      </c>
      <c r="F22" s="298">
        <f>+D22-E22</f>
        <v>7</v>
      </c>
      <c r="G22" s="298"/>
      <c r="H22" s="183"/>
      <c r="I22" s="234"/>
      <c r="J22" s="234"/>
      <c r="K22" s="234"/>
      <c r="L22" s="263"/>
    </row>
    <row r="23" spans="2:12" ht="21.5" thickBot="1" x14ac:dyDescent="0.55000000000000004">
      <c r="B23" s="294"/>
      <c r="C23" s="209" t="s">
        <v>277</v>
      </c>
      <c r="D23" s="296">
        <v>45971</v>
      </c>
      <c r="E23" s="299">
        <v>45972</v>
      </c>
      <c r="F23" s="298">
        <f t="shared" ref="F23:F24" si="1">+D23-E23</f>
        <v>-1</v>
      </c>
      <c r="G23" s="298"/>
      <c r="H23" s="183"/>
      <c r="I23" s="234"/>
      <c r="J23" s="234"/>
      <c r="K23" s="234"/>
      <c r="L23" s="263"/>
    </row>
    <row r="24" spans="2:12" ht="21.5" thickBot="1" x14ac:dyDescent="0.55000000000000004">
      <c r="B24" s="294"/>
      <c r="C24" s="209" t="s">
        <v>278</v>
      </c>
      <c r="D24" s="296">
        <v>45994</v>
      </c>
      <c r="E24" s="299">
        <v>45996</v>
      </c>
      <c r="F24" s="298">
        <f t="shared" si="1"/>
        <v>-2</v>
      </c>
      <c r="G24" s="298"/>
      <c r="H24" s="183"/>
      <c r="I24" s="234"/>
      <c r="J24" s="234"/>
      <c r="K24" s="234"/>
      <c r="L24" s="263"/>
    </row>
    <row r="25" spans="2:12" ht="21.5" thickBot="1" x14ac:dyDescent="0.55000000000000004">
      <c r="B25" s="294"/>
      <c r="C25" s="209"/>
      <c r="D25" s="297"/>
      <c r="E25" s="297"/>
      <c r="F25" s="298">
        <f t="shared" ref="F25" si="2">+D25-E25</f>
        <v>0</v>
      </c>
      <c r="G25" s="298"/>
      <c r="H25" s="183"/>
      <c r="I25" s="234"/>
      <c r="J25" s="234"/>
      <c r="K25" s="234"/>
      <c r="L25" s="263"/>
    </row>
    <row r="26" spans="2:12" ht="21.5" thickBot="1" x14ac:dyDescent="0.55000000000000004">
      <c r="B26" s="294"/>
      <c r="C26" s="209"/>
      <c r="D26" s="300"/>
      <c r="E26" s="183"/>
      <c r="F26" s="234"/>
      <c r="G26" s="234"/>
      <c r="H26" s="183"/>
      <c r="I26" s="234"/>
      <c r="J26" s="234"/>
      <c r="K26" s="234"/>
      <c r="L26" s="263"/>
    </row>
    <row r="27" spans="2:12" ht="28" hidden="1" x14ac:dyDescent="0.5">
      <c r="B27" s="257"/>
      <c r="C27" s="301"/>
      <c r="D27" s="195" t="s">
        <v>77</v>
      </c>
      <c r="E27" s="196" t="s">
        <v>78</v>
      </c>
      <c r="F27" s="196" t="s">
        <v>79</v>
      </c>
      <c r="G27" s="196" t="s">
        <v>80</v>
      </c>
      <c r="H27" s="197" t="s">
        <v>81</v>
      </c>
      <c r="I27" s="234"/>
      <c r="J27" s="234"/>
      <c r="K27" s="234"/>
      <c r="L27" s="263"/>
    </row>
    <row r="28" spans="2:12" hidden="1" x14ac:dyDescent="0.5">
      <c r="B28" s="257"/>
      <c r="C28" s="209"/>
      <c r="D28" s="302"/>
      <c r="E28" s="303"/>
      <c r="F28" s="304"/>
      <c r="G28" s="303"/>
      <c r="H28" s="305"/>
      <c r="I28" s="234"/>
      <c r="J28" s="234"/>
      <c r="K28" s="234"/>
      <c r="L28" s="263"/>
    </row>
    <row r="29" spans="2:12" ht="21.5" hidden="1" thickBot="1" x14ac:dyDescent="0.55000000000000004">
      <c r="B29" s="233"/>
      <c r="C29" s="209" t="s">
        <v>82</v>
      </c>
      <c r="D29" s="306"/>
      <c r="E29" s="307"/>
      <c r="F29" s="308">
        <f t="shared" ref="F29:F34" si="3">D29-E29</f>
        <v>0</v>
      </c>
      <c r="G29" s="307">
        <v>0</v>
      </c>
      <c r="H29" s="309">
        <v>0</v>
      </c>
      <c r="I29" s="234"/>
      <c r="J29" s="310"/>
      <c r="K29" s="234"/>
      <c r="L29" s="263"/>
    </row>
    <row r="30" spans="2:12" ht="21.5" hidden="1" thickBot="1" x14ac:dyDescent="0.55000000000000004">
      <c r="B30" s="684" t="s">
        <v>83</v>
      </c>
      <c r="C30" s="685"/>
      <c r="D30" s="306"/>
      <c r="E30" s="307"/>
      <c r="F30" s="308">
        <f t="shared" si="3"/>
        <v>0</v>
      </c>
      <c r="G30" s="307">
        <v>0</v>
      </c>
      <c r="H30" s="309">
        <v>0</v>
      </c>
      <c r="I30" s="234"/>
      <c r="J30" s="310"/>
      <c r="K30" s="234"/>
      <c r="L30" s="263"/>
    </row>
    <row r="31" spans="2:12" ht="19.5" hidden="1" customHeight="1" thickBot="1" x14ac:dyDescent="0.55000000000000004">
      <c r="B31" s="233"/>
      <c r="C31" s="209" t="s">
        <v>84</v>
      </c>
      <c r="D31" s="306"/>
      <c r="E31" s="307"/>
      <c r="F31" s="308">
        <f t="shared" si="3"/>
        <v>0</v>
      </c>
      <c r="G31" s="307">
        <v>0</v>
      </c>
      <c r="H31" s="309">
        <v>0</v>
      </c>
      <c r="I31" s="234"/>
      <c r="J31" s="310"/>
      <c r="K31" s="234"/>
      <c r="L31" s="263"/>
    </row>
    <row r="32" spans="2:12" ht="19.5" hidden="1" customHeight="1" thickBot="1" x14ac:dyDescent="0.55000000000000004">
      <c r="B32" s="233"/>
      <c r="C32" s="209" t="s">
        <v>85</v>
      </c>
      <c r="D32" s="306"/>
      <c r="E32" s="307"/>
      <c r="F32" s="308">
        <f t="shared" si="3"/>
        <v>0</v>
      </c>
      <c r="G32" s="307">
        <v>0</v>
      </c>
      <c r="H32" s="309">
        <v>0</v>
      </c>
      <c r="I32" s="234"/>
      <c r="J32" s="310"/>
      <c r="K32" s="234"/>
      <c r="L32" s="263"/>
    </row>
    <row r="33" spans="2:12" ht="19.5" hidden="1" customHeight="1" thickBot="1" x14ac:dyDescent="0.55000000000000004">
      <c r="B33" s="233"/>
      <c r="C33" s="209" t="s">
        <v>86</v>
      </c>
      <c r="D33" s="306"/>
      <c r="E33" s="307"/>
      <c r="F33" s="308">
        <f t="shared" si="3"/>
        <v>0</v>
      </c>
      <c r="G33" s="307">
        <v>0</v>
      </c>
      <c r="H33" s="309">
        <v>0</v>
      </c>
      <c r="I33" s="311"/>
      <c r="J33" s="310"/>
      <c r="K33" s="234"/>
      <c r="L33" s="263"/>
    </row>
    <row r="34" spans="2:12" ht="19.5" hidden="1" customHeight="1" thickBot="1" x14ac:dyDescent="0.55000000000000004">
      <c r="B34" s="264"/>
      <c r="C34" s="209" t="s">
        <v>87</v>
      </c>
      <c r="D34" s="306"/>
      <c r="E34" s="307"/>
      <c r="F34" s="308">
        <f t="shared" si="3"/>
        <v>0</v>
      </c>
      <c r="G34" s="307">
        <v>0</v>
      </c>
      <c r="H34" s="309">
        <v>0</v>
      </c>
      <c r="I34" s="234"/>
      <c r="J34" s="310"/>
      <c r="K34" s="234"/>
      <c r="L34" s="263"/>
    </row>
    <row r="35" spans="2:12" s="317" customFormat="1" ht="19.5" hidden="1" customHeight="1" thickBot="1" x14ac:dyDescent="0.55000000000000004">
      <c r="B35" s="264"/>
      <c r="C35" s="312"/>
      <c r="D35" s="313" t="e">
        <f>#REF!</f>
        <v>#REF!</v>
      </c>
      <c r="E35" s="313" t="e">
        <f>#REF!</f>
        <v>#REF!</v>
      </c>
      <c r="F35" s="314" t="e">
        <f t="shared" ref="F35:F36" si="4">+E35-D35</f>
        <v>#REF!</v>
      </c>
      <c r="G35" s="315" t="e">
        <f>#REF!</f>
        <v>#REF!</v>
      </c>
      <c r="H35" s="316" t="e">
        <f>#REF!</f>
        <v>#REF!</v>
      </c>
      <c r="I35" s="234"/>
      <c r="J35" s="234"/>
      <c r="K35" s="234"/>
      <c r="L35" s="263"/>
    </row>
    <row r="36" spans="2:12" s="317" customFormat="1" ht="19.5" hidden="1" customHeight="1" thickBot="1" x14ac:dyDescent="0.55000000000000004">
      <c r="B36" s="294"/>
      <c r="C36" s="312" t="s">
        <v>88</v>
      </c>
      <c r="D36" s="318" t="e">
        <f>#REF!</f>
        <v>#REF!</v>
      </c>
      <c r="E36" s="318" t="e">
        <f>#REF!</f>
        <v>#REF!</v>
      </c>
      <c r="F36" s="319" t="e">
        <f t="shared" si="4"/>
        <v>#REF!</v>
      </c>
      <c r="G36" s="320" t="e">
        <f>#REF!</f>
        <v>#REF!</v>
      </c>
      <c r="H36" s="321" t="e">
        <f>#REF!</f>
        <v>#REF!</v>
      </c>
      <c r="I36" s="234"/>
      <c r="J36" s="234"/>
      <c r="K36" s="234"/>
      <c r="L36" s="263"/>
    </row>
    <row r="37" spans="2:12" ht="19.5" hidden="1" customHeight="1" thickBot="1" x14ac:dyDescent="0.55000000000000004">
      <c r="B37" s="322"/>
      <c r="C37" s="323"/>
      <c r="D37" s="324"/>
      <c r="E37" s="324"/>
      <c r="F37" s="325"/>
      <c r="G37" s="325"/>
      <c r="H37" s="325"/>
      <c r="I37" s="234"/>
      <c r="J37" s="234"/>
      <c r="K37" s="234"/>
      <c r="L37" s="263"/>
    </row>
    <row r="38" spans="2:12" ht="30" customHeight="1" x14ac:dyDescent="0.5">
      <c r="B38" s="686" t="s">
        <v>89</v>
      </c>
      <c r="C38" s="687"/>
      <c r="D38" s="195" t="s">
        <v>90</v>
      </c>
      <c r="E38" s="196" t="s">
        <v>91</v>
      </c>
      <c r="F38" s="196" t="s">
        <v>92</v>
      </c>
      <c r="G38" s="197" t="s">
        <v>93</v>
      </c>
      <c r="H38" s="183"/>
      <c r="I38" s="234"/>
      <c r="J38" s="234"/>
      <c r="K38" s="234"/>
      <c r="L38" s="263"/>
    </row>
    <row r="39" spans="2:12" ht="19.5" customHeight="1" x14ac:dyDescent="0.5">
      <c r="B39" s="326"/>
      <c r="C39" s="209" t="s">
        <v>94</v>
      </c>
      <c r="D39" s="327">
        <v>7</v>
      </c>
      <c r="E39" s="328">
        <v>7</v>
      </c>
      <c r="F39" s="329">
        <v>0</v>
      </c>
      <c r="G39" s="330">
        <v>0</v>
      </c>
      <c r="H39" s="183"/>
      <c r="I39" s="234"/>
      <c r="J39" s="234"/>
      <c r="K39" s="234"/>
      <c r="L39" s="263"/>
    </row>
    <row r="40" spans="2:12" ht="19.5" customHeight="1" thickBot="1" x14ac:dyDescent="0.55000000000000004">
      <c r="B40" s="326"/>
      <c r="C40" s="209" t="s">
        <v>95</v>
      </c>
      <c r="D40" s="229">
        <v>68</v>
      </c>
      <c r="E40" s="230">
        <v>68</v>
      </c>
      <c r="F40" s="331">
        <v>0</v>
      </c>
      <c r="G40" s="332">
        <v>0</v>
      </c>
      <c r="H40" s="183"/>
      <c r="I40" s="234"/>
      <c r="J40" s="234"/>
      <c r="K40" s="234"/>
      <c r="L40" s="263"/>
    </row>
    <row r="41" spans="2:12" ht="19.5" customHeight="1" x14ac:dyDescent="0.5">
      <c r="B41" s="326"/>
      <c r="C41" s="333"/>
      <c r="D41" s="236"/>
      <c r="E41" s="236"/>
      <c r="F41" s="236"/>
      <c r="G41" s="334"/>
      <c r="H41" s="183"/>
      <c r="I41" s="234"/>
      <c r="J41" s="234"/>
      <c r="K41" s="234"/>
      <c r="L41" s="263"/>
    </row>
    <row r="42" spans="2:12" ht="19.5" customHeight="1" thickBot="1" x14ac:dyDescent="0.55000000000000004">
      <c r="B42" s="686" t="s">
        <v>96</v>
      </c>
      <c r="C42" s="688"/>
      <c r="D42" s="237"/>
      <c r="E42" s="335"/>
      <c r="F42" s="335"/>
      <c r="G42" s="334"/>
      <c r="H42" s="237"/>
      <c r="I42" s="234"/>
      <c r="J42" s="234"/>
      <c r="K42" s="234"/>
      <c r="L42" s="263"/>
    </row>
    <row r="43" spans="2:12" ht="19.5" customHeight="1" x14ac:dyDescent="0.5">
      <c r="B43" s="336"/>
      <c r="C43" s="237"/>
      <c r="D43" s="689" t="s">
        <v>97</v>
      </c>
      <c r="E43" s="648"/>
      <c r="F43" s="337"/>
      <c r="G43" s="690"/>
      <c r="H43" s="690"/>
      <c r="I43" s="234"/>
      <c r="J43" s="183"/>
      <c r="K43" s="183"/>
      <c r="L43" s="263"/>
    </row>
    <row r="44" spans="2:12" ht="19.5" customHeight="1" x14ac:dyDescent="0.5">
      <c r="B44" s="336"/>
      <c r="C44" s="237"/>
      <c r="D44" s="339" t="s">
        <v>98</v>
      </c>
      <c r="E44" s="340" t="s">
        <v>99</v>
      </c>
      <c r="F44" s="183"/>
      <c r="G44" s="338"/>
      <c r="H44" s="338"/>
      <c r="I44" s="234"/>
      <c r="J44" s="183"/>
      <c r="K44" s="183"/>
      <c r="L44" s="263"/>
    </row>
    <row r="45" spans="2:12" ht="19.5" customHeight="1" x14ac:dyDescent="0.5">
      <c r="B45" s="326"/>
      <c r="C45" s="209" t="s">
        <v>100</v>
      </c>
      <c r="D45" s="210">
        <v>0</v>
      </c>
      <c r="E45" s="228">
        <v>0</v>
      </c>
      <c r="F45" s="183"/>
      <c r="G45" s="341"/>
      <c r="H45" s="341"/>
      <c r="I45" s="295"/>
      <c r="J45" s="183"/>
      <c r="K45" s="183"/>
      <c r="L45" s="263"/>
    </row>
    <row r="46" spans="2:12" ht="19.5" customHeight="1" x14ac:dyDescent="0.5">
      <c r="B46" s="326"/>
      <c r="C46" s="209" t="s">
        <v>101</v>
      </c>
      <c r="D46" s="210">
        <v>0</v>
      </c>
      <c r="E46" s="228">
        <v>0</v>
      </c>
      <c r="F46" s="183"/>
      <c r="G46" s="341"/>
      <c r="H46" s="341"/>
      <c r="I46" s="295"/>
      <c r="J46" s="183"/>
      <c r="K46" s="183"/>
      <c r="L46" s="263"/>
    </row>
    <row r="47" spans="2:12" ht="19.5" customHeight="1" x14ac:dyDescent="0.5">
      <c r="B47" s="326"/>
      <c r="C47" s="209" t="s">
        <v>102</v>
      </c>
      <c r="D47" s="210">
        <v>0</v>
      </c>
      <c r="E47" s="228">
        <v>0</v>
      </c>
      <c r="F47" s="183"/>
      <c r="G47" s="341"/>
      <c r="H47" s="341"/>
      <c r="I47" s="295"/>
      <c r="J47" s="183"/>
      <c r="K47" s="183"/>
      <c r="L47" s="263"/>
    </row>
    <row r="48" spans="2:12" ht="19.5" customHeight="1" x14ac:dyDescent="0.5">
      <c r="B48" s="326"/>
      <c r="C48" s="209" t="s">
        <v>103</v>
      </c>
      <c r="D48" s="210">
        <v>0</v>
      </c>
      <c r="E48" s="228">
        <v>0</v>
      </c>
      <c r="F48" s="183"/>
      <c r="G48" s="341"/>
      <c r="H48" s="341"/>
      <c r="I48" s="295"/>
      <c r="J48" s="183"/>
      <c r="K48" s="183"/>
      <c r="L48" s="263"/>
    </row>
    <row r="49" spans="2:12" ht="19.5" customHeight="1" x14ac:dyDescent="0.5">
      <c r="B49" s="326"/>
      <c r="C49" s="209" t="s">
        <v>104</v>
      </c>
      <c r="D49" s="210">
        <v>0</v>
      </c>
      <c r="E49" s="228">
        <v>0</v>
      </c>
      <c r="F49" s="183"/>
      <c r="G49" s="341"/>
      <c r="H49" s="341"/>
      <c r="I49" s="295"/>
      <c r="J49" s="183"/>
      <c r="K49" s="183"/>
      <c r="L49" s="263"/>
    </row>
    <row r="50" spans="2:12" x14ac:dyDescent="0.5">
      <c r="B50" s="326"/>
      <c r="C50" s="209" t="s">
        <v>105</v>
      </c>
      <c r="D50" s="210">
        <v>0</v>
      </c>
      <c r="E50" s="228">
        <v>0</v>
      </c>
      <c r="F50" s="183"/>
      <c r="G50" s="341"/>
      <c r="H50" s="341"/>
      <c r="I50" s="295"/>
      <c r="J50" s="183"/>
      <c r="K50" s="183"/>
      <c r="L50" s="263"/>
    </row>
    <row r="51" spans="2:12" ht="21.5" thickBot="1" x14ac:dyDescent="0.55000000000000004">
      <c r="B51" s="326"/>
      <c r="C51" s="209" t="s">
        <v>106</v>
      </c>
      <c r="D51" s="215">
        <v>2.5</v>
      </c>
      <c r="E51" s="266">
        <v>5</v>
      </c>
      <c r="F51" s="183"/>
      <c r="G51" s="341"/>
      <c r="H51" s="341"/>
      <c r="I51" s="295"/>
      <c r="J51" s="183"/>
      <c r="K51" s="183"/>
      <c r="L51" s="263"/>
    </row>
    <row r="52" spans="2:12" x14ac:dyDescent="0.5">
      <c r="B52" s="326"/>
      <c r="C52" s="333"/>
      <c r="D52" s="237"/>
      <c r="E52" s="237"/>
      <c r="F52" s="265"/>
      <c r="G52" s="342"/>
      <c r="H52" s="342"/>
      <c r="I52" s="295"/>
      <c r="J52" s="183"/>
      <c r="K52" s="183"/>
      <c r="L52" s="263"/>
    </row>
    <row r="53" spans="2:12" s="189" customFormat="1" ht="20" x14ac:dyDescent="0.4">
      <c r="B53" s="629" t="s">
        <v>107</v>
      </c>
      <c r="C53" s="630"/>
      <c r="D53" s="630"/>
      <c r="E53" s="630"/>
      <c r="F53" s="630"/>
      <c r="G53" s="630"/>
      <c r="H53" s="630"/>
      <c r="I53" s="630"/>
      <c r="J53" s="630"/>
      <c r="K53" s="630"/>
      <c r="L53" s="631"/>
    </row>
    <row r="54" spans="2:12" x14ac:dyDescent="0.5">
      <c r="B54" s="671" t="s">
        <v>108</v>
      </c>
      <c r="C54" s="672"/>
      <c r="D54" s="392"/>
      <c r="E54" s="392"/>
      <c r="F54" s="392"/>
      <c r="G54" s="392"/>
      <c r="H54" s="392"/>
      <c r="J54" s="392"/>
      <c r="K54" s="392"/>
      <c r="L54" s="393"/>
    </row>
    <row r="55" spans="2:12" ht="23.25" customHeight="1" x14ac:dyDescent="0.5">
      <c r="B55" s="267"/>
      <c r="C55" s="696" t="s">
        <v>311</v>
      </c>
      <c r="D55" s="697"/>
      <c r="E55" s="697"/>
      <c r="F55" s="697"/>
      <c r="G55" s="697"/>
      <c r="H55" s="697"/>
      <c r="I55" s="697"/>
      <c r="J55" s="697"/>
      <c r="K55" s="698"/>
      <c r="L55" s="394"/>
    </row>
    <row r="56" spans="2:12" x14ac:dyDescent="0.5">
      <c r="B56" s="267"/>
      <c r="C56" s="699"/>
      <c r="D56" s="700"/>
      <c r="E56" s="700"/>
      <c r="F56" s="700"/>
      <c r="G56" s="700"/>
      <c r="H56" s="700"/>
      <c r="I56" s="700"/>
      <c r="J56" s="700"/>
      <c r="K56" s="701"/>
      <c r="L56" s="394"/>
    </row>
    <row r="57" spans="2:12" x14ac:dyDescent="0.5">
      <c r="B57" s="267"/>
      <c r="C57" s="699"/>
      <c r="D57" s="700"/>
      <c r="E57" s="700"/>
      <c r="F57" s="700"/>
      <c r="G57" s="700"/>
      <c r="H57" s="700"/>
      <c r="I57" s="700"/>
      <c r="J57" s="700"/>
      <c r="K57" s="701"/>
      <c r="L57" s="394"/>
    </row>
    <row r="58" spans="2:12" ht="76.5" customHeight="1" x14ac:dyDescent="0.5">
      <c r="B58" s="267"/>
      <c r="C58" s="702"/>
      <c r="D58" s="703"/>
      <c r="E58" s="703"/>
      <c r="F58" s="703"/>
      <c r="G58" s="703"/>
      <c r="H58" s="703"/>
      <c r="I58" s="703"/>
      <c r="J58" s="703"/>
      <c r="K58" s="704"/>
      <c r="L58" s="394"/>
    </row>
    <row r="59" spans="2:12" x14ac:dyDescent="0.5">
      <c r="B59" s="693"/>
      <c r="C59" s="694"/>
      <c r="D59" s="694"/>
      <c r="E59" s="694"/>
      <c r="F59" s="694"/>
      <c r="G59" s="694"/>
      <c r="H59" s="694"/>
      <c r="I59" s="694"/>
      <c r="J59" s="694"/>
      <c r="K59" s="694"/>
      <c r="L59" s="695"/>
    </row>
    <row r="60" spans="2:12" x14ac:dyDescent="0.5">
      <c r="B60" s="671" t="s">
        <v>109</v>
      </c>
      <c r="C60" s="672"/>
      <c r="D60" s="392"/>
      <c r="E60" s="392"/>
      <c r="F60" s="392"/>
      <c r="G60" s="392"/>
      <c r="H60" s="392"/>
      <c r="I60" s="392"/>
      <c r="J60" s="392"/>
      <c r="K60" s="392"/>
      <c r="L60" s="393"/>
    </row>
    <row r="61" spans="2:12" ht="21" customHeight="1" x14ac:dyDescent="0.5">
      <c r="B61" s="267"/>
      <c r="C61" s="696" t="s">
        <v>303</v>
      </c>
      <c r="D61" s="697"/>
      <c r="E61" s="697"/>
      <c r="F61" s="697"/>
      <c r="G61" s="697"/>
      <c r="H61" s="697"/>
      <c r="I61" s="697"/>
      <c r="J61" s="697"/>
      <c r="K61" s="698"/>
      <c r="L61" s="394"/>
    </row>
    <row r="62" spans="2:12" x14ac:dyDescent="0.5">
      <c r="B62" s="267"/>
      <c r="C62" s="699"/>
      <c r="D62" s="700"/>
      <c r="E62" s="700"/>
      <c r="F62" s="700"/>
      <c r="G62" s="700"/>
      <c r="H62" s="700"/>
      <c r="I62" s="700"/>
      <c r="J62" s="700"/>
      <c r="K62" s="701"/>
      <c r="L62" s="394"/>
    </row>
    <row r="63" spans="2:12" x14ac:dyDescent="0.5">
      <c r="B63" s="267"/>
      <c r="C63" s="699"/>
      <c r="D63" s="700"/>
      <c r="E63" s="700"/>
      <c r="F63" s="700"/>
      <c r="G63" s="700"/>
      <c r="H63" s="700"/>
      <c r="I63" s="700"/>
      <c r="J63" s="700"/>
      <c r="K63" s="701"/>
      <c r="L63" s="394"/>
    </row>
    <row r="64" spans="2:12" x14ac:dyDescent="0.5">
      <c r="B64" s="267"/>
      <c r="C64" s="699"/>
      <c r="D64" s="700"/>
      <c r="E64" s="700"/>
      <c r="F64" s="700"/>
      <c r="G64" s="700"/>
      <c r="H64" s="700"/>
      <c r="I64" s="700"/>
      <c r="J64" s="700"/>
      <c r="K64" s="701"/>
      <c r="L64" s="394"/>
    </row>
    <row r="65" spans="2:12" x14ac:dyDescent="0.5">
      <c r="B65" s="267"/>
      <c r="C65" s="699"/>
      <c r="D65" s="700"/>
      <c r="E65" s="700"/>
      <c r="F65" s="700"/>
      <c r="G65" s="700"/>
      <c r="H65" s="700"/>
      <c r="I65" s="700"/>
      <c r="J65" s="700"/>
      <c r="K65" s="701"/>
      <c r="L65" s="394"/>
    </row>
    <row r="66" spans="2:12" x14ac:dyDescent="0.5">
      <c r="B66" s="267"/>
      <c r="C66" s="699"/>
      <c r="D66" s="700"/>
      <c r="E66" s="700"/>
      <c r="F66" s="700"/>
      <c r="G66" s="700"/>
      <c r="H66" s="700"/>
      <c r="I66" s="700"/>
      <c r="J66" s="700"/>
      <c r="K66" s="701"/>
      <c r="L66" s="394"/>
    </row>
    <row r="67" spans="2:12" x14ac:dyDescent="0.5">
      <c r="B67" s="267"/>
      <c r="C67" s="702"/>
      <c r="D67" s="703"/>
      <c r="E67" s="703"/>
      <c r="F67" s="703"/>
      <c r="G67" s="703"/>
      <c r="H67" s="703"/>
      <c r="I67" s="703"/>
      <c r="J67" s="703"/>
      <c r="K67" s="704"/>
      <c r="L67" s="394"/>
    </row>
    <row r="68" spans="2:12" ht="26.75" customHeight="1" x14ac:dyDescent="0.5">
      <c r="B68" s="267"/>
      <c r="C68" s="395"/>
      <c r="D68" s="395"/>
      <c r="E68" s="395"/>
      <c r="F68" s="395"/>
      <c r="G68" s="395"/>
      <c r="H68" s="395"/>
      <c r="I68" s="395"/>
      <c r="J68" s="395"/>
      <c r="K68" s="395"/>
      <c r="L68" s="394"/>
    </row>
    <row r="69" spans="2:12" x14ac:dyDescent="0.5">
      <c r="B69" s="671" t="s">
        <v>110</v>
      </c>
      <c r="C69" s="672"/>
      <c r="D69" s="392"/>
      <c r="E69" s="392"/>
      <c r="F69" s="392"/>
      <c r="G69" s="392"/>
      <c r="H69" s="392"/>
      <c r="I69" s="392"/>
      <c r="J69" s="392"/>
      <c r="K69" s="392"/>
      <c r="L69" s="393"/>
    </row>
    <row r="70" spans="2:12" ht="20.149999999999999" customHeight="1" x14ac:dyDescent="0.5">
      <c r="B70" s="267"/>
      <c r="C70" s="691" t="s">
        <v>111</v>
      </c>
      <c r="D70" s="692"/>
      <c r="E70" s="399"/>
      <c r="F70" s="399"/>
      <c r="G70" s="399"/>
      <c r="H70" s="399"/>
      <c r="I70" s="399"/>
      <c r="J70" s="399"/>
      <c r="K70" s="400"/>
      <c r="L70" s="394"/>
    </row>
    <row r="71" spans="2:12" ht="21" customHeight="1" x14ac:dyDescent="0.5">
      <c r="B71" s="267"/>
      <c r="C71" s="728" t="s">
        <v>298</v>
      </c>
      <c r="D71" s="729"/>
      <c r="E71" s="729"/>
      <c r="F71" s="729"/>
      <c r="G71" s="729"/>
      <c r="H71" s="729"/>
      <c r="I71" s="729"/>
      <c r="J71" s="729"/>
      <c r="K71" s="730"/>
      <c r="L71" s="394"/>
    </row>
    <row r="72" spans="2:12" ht="21" customHeight="1" x14ac:dyDescent="0.5">
      <c r="B72" s="267"/>
      <c r="C72" s="731"/>
      <c r="D72" s="729"/>
      <c r="E72" s="729"/>
      <c r="F72" s="729"/>
      <c r="G72" s="729"/>
      <c r="H72" s="729"/>
      <c r="I72" s="729"/>
      <c r="J72" s="729"/>
      <c r="K72" s="730"/>
      <c r="L72" s="394"/>
    </row>
    <row r="73" spans="2:12" ht="21" customHeight="1" x14ac:dyDescent="0.5">
      <c r="B73" s="267"/>
      <c r="C73" s="728"/>
      <c r="D73" s="729"/>
      <c r="E73" s="729"/>
      <c r="F73" s="729"/>
      <c r="G73" s="729"/>
      <c r="H73" s="729"/>
      <c r="I73" s="729"/>
      <c r="J73" s="729"/>
      <c r="K73" s="730"/>
      <c r="L73" s="394"/>
    </row>
    <row r="74" spans="2:12" x14ac:dyDescent="0.5">
      <c r="B74" s="267"/>
      <c r="C74" s="728"/>
      <c r="D74" s="729"/>
      <c r="E74" s="729"/>
      <c r="F74" s="729"/>
      <c r="G74" s="729"/>
      <c r="H74" s="729"/>
      <c r="I74" s="729"/>
      <c r="J74" s="729"/>
      <c r="K74" s="730"/>
      <c r="L74" s="394"/>
    </row>
    <row r="75" spans="2:12" x14ac:dyDescent="0.5">
      <c r="B75" s="267"/>
      <c r="C75" s="728"/>
      <c r="D75" s="729"/>
      <c r="E75" s="729"/>
      <c r="F75" s="729"/>
      <c r="G75" s="729"/>
      <c r="H75" s="729"/>
      <c r="I75" s="729"/>
      <c r="J75" s="729"/>
      <c r="K75" s="730"/>
      <c r="L75" s="394"/>
    </row>
    <row r="76" spans="2:12" x14ac:dyDescent="0.5">
      <c r="B76" s="267"/>
      <c r="C76" s="728"/>
      <c r="D76" s="729"/>
      <c r="E76" s="729"/>
      <c r="F76" s="729"/>
      <c r="G76" s="729"/>
      <c r="H76" s="729"/>
      <c r="I76" s="729"/>
      <c r="J76" s="729"/>
      <c r="K76" s="730"/>
      <c r="L76" s="394"/>
    </row>
    <row r="77" spans="2:12" x14ac:dyDescent="0.5">
      <c r="B77" s="401"/>
      <c r="L77" s="402"/>
    </row>
    <row r="78" spans="2:12" x14ac:dyDescent="0.5">
      <c r="B78" s="671" t="s">
        <v>112</v>
      </c>
      <c r="C78" s="672"/>
      <c r="D78" s="392"/>
      <c r="E78" s="392"/>
      <c r="F78" s="392"/>
      <c r="G78" s="392"/>
      <c r="H78" s="392"/>
      <c r="I78" s="392"/>
      <c r="J78" s="392"/>
      <c r="K78" s="392"/>
      <c r="L78" s="393"/>
    </row>
    <row r="79" spans="2:12" x14ac:dyDescent="0.5">
      <c r="B79" s="267"/>
      <c r="C79" s="696" t="s">
        <v>297</v>
      </c>
      <c r="D79" s="697"/>
      <c r="E79" s="697"/>
      <c r="F79" s="697"/>
      <c r="G79" s="697"/>
      <c r="H79" s="697"/>
      <c r="I79" s="697"/>
      <c r="J79" s="697"/>
      <c r="K79" s="698"/>
      <c r="L79" s="394"/>
    </row>
    <row r="80" spans="2:12" x14ac:dyDescent="0.5">
      <c r="B80" s="267"/>
      <c r="C80" s="699"/>
      <c r="D80" s="700"/>
      <c r="E80" s="700"/>
      <c r="F80" s="700"/>
      <c r="G80" s="700"/>
      <c r="H80" s="700"/>
      <c r="I80" s="700"/>
      <c r="J80" s="700"/>
      <c r="K80" s="701"/>
      <c r="L80" s="394"/>
    </row>
    <row r="81" spans="2:12" x14ac:dyDescent="0.5">
      <c r="B81" s="267"/>
      <c r="C81" s="699"/>
      <c r="D81" s="700"/>
      <c r="E81" s="700"/>
      <c r="F81" s="700"/>
      <c r="G81" s="700"/>
      <c r="H81" s="700"/>
      <c r="I81" s="700"/>
      <c r="J81" s="700"/>
      <c r="K81" s="701"/>
      <c r="L81" s="394"/>
    </row>
    <row r="82" spans="2:12" x14ac:dyDescent="0.5">
      <c r="B82" s="267"/>
      <c r="C82" s="699"/>
      <c r="D82" s="700"/>
      <c r="E82" s="700"/>
      <c r="F82" s="700"/>
      <c r="G82" s="700"/>
      <c r="H82" s="700"/>
      <c r="I82" s="700"/>
      <c r="J82" s="700"/>
      <c r="K82" s="701"/>
      <c r="L82" s="394"/>
    </row>
    <row r="83" spans="2:12" ht="33" customHeight="1" x14ac:dyDescent="0.5">
      <c r="B83" s="267"/>
      <c r="C83" s="699"/>
      <c r="D83" s="700"/>
      <c r="E83" s="700"/>
      <c r="F83" s="700"/>
      <c r="G83" s="700"/>
      <c r="H83" s="700"/>
      <c r="I83" s="700"/>
      <c r="J83" s="700"/>
      <c r="K83" s="701"/>
      <c r="L83" s="394"/>
    </row>
    <row r="84" spans="2:12" x14ac:dyDescent="0.5">
      <c r="B84" s="267"/>
      <c r="C84" s="699"/>
      <c r="D84" s="700"/>
      <c r="E84" s="700"/>
      <c r="F84" s="700"/>
      <c r="G84" s="700"/>
      <c r="H84" s="700"/>
      <c r="I84" s="700"/>
      <c r="J84" s="700"/>
      <c r="K84" s="701"/>
      <c r="L84" s="394"/>
    </row>
    <row r="85" spans="2:12" x14ac:dyDescent="0.5">
      <c r="B85" s="267"/>
      <c r="C85" s="702"/>
      <c r="D85" s="703"/>
      <c r="E85" s="703"/>
      <c r="F85" s="703"/>
      <c r="G85" s="703"/>
      <c r="H85" s="703"/>
      <c r="I85" s="703"/>
      <c r="J85" s="703"/>
      <c r="K85" s="704"/>
      <c r="L85" s="394"/>
    </row>
    <row r="86" spans="2:12" x14ac:dyDescent="0.5">
      <c r="B86" s="396"/>
      <c r="C86" s="397"/>
      <c r="D86" s="397"/>
      <c r="E86" s="397"/>
      <c r="F86" s="397"/>
      <c r="G86" s="397"/>
      <c r="H86" s="397"/>
      <c r="I86" s="397"/>
      <c r="J86" s="397"/>
      <c r="K86" s="397"/>
      <c r="L86" s="398"/>
    </row>
    <row r="87" spans="2:12" s="189" customFormat="1" ht="20" x14ac:dyDescent="0.4">
      <c r="B87" s="629" t="s">
        <v>113</v>
      </c>
      <c r="C87" s="630"/>
      <c r="D87" s="630"/>
      <c r="E87" s="630"/>
      <c r="F87" s="630"/>
      <c r="G87" s="630"/>
      <c r="H87" s="630"/>
      <c r="I87" s="630"/>
      <c r="J87" s="630"/>
      <c r="K87" s="630"/>
      <c r="L87" s="631"/>
    </row>
    <row r="88" spans="2:12" ht="21" customHeight="1" x14ac:dyDescent="0.5">
      <c r="B88" s="254" t="s">
        <v>114</v>
      </c>
      <c r="C88" s="665"/>
      <c r="D88" s="666"/>
      <c r="E88" s="666"/>
      <c r="F88" s="666"/>
      <c r="G88" s="666"/>
      <c r="H88" s="666"/>
      <c r="I88" s="666"/>
      <c r="J88" s="666"/>
      <c r="K88" s="666"/>
      <c r="L88" s="667"/>
    </row>
    <row r="89" spans="2:12" x14ac:dyDescent="0.5">
      <c r="B89" s="257"/>
      <c r="C89" s="668"/>
      <c r="D89" s="669"/>
      <c r="E89" s="669"/>
      <c r="F89" s="669"/>
      <c r="G89" s="669"/>
      <c r="H89" s="669"/>
      <c r="I89" s="669"/>
      <c r="J89" s="669"/>
      <c r="K89" s="669"/>
      <c r="L89" s="670"/>
    </row>
    <row r="90" spans="2:12" x14ac:dyDescent="0.5">
      <c r="B90" s="290"/>
      <c r="C90" s="526"/>
      <c r="D90" s="527"/>
      <c r="E90" s="527"/>
      <c r="F90" s="527"/>
      <c r="G90" s="527"/>
      <c r="H90" s="527"/>
      <c r="I90" s="527"/>
      <c r="J90" s="527"/>
      <c r="K90" s="527"/>
      <c r="L90" s="477"/>
    </row>
    <row r="91" spans="2:12" x14ac:dyDescent="0.5">
      <c r="B91" s="629" t="s">
        <v>115</v>
      </c>
      <c r="C91" s="630"/>
      <c r="D91" s="630"/>
      <c r="E91" s="630"/>
      <c r="F91" s="630"/>
      <c r="G91" s="630"/>
      <c r="H91" s="630"/>
      <c r="I91" s="630"/>
      <c r="J91" s="630"/>
      <c r="K91" s="630"/>
      <c r="L91" s="631"/>
    </row>
    <row r="92" spans="2:12" ht="21" customHeight="1" x14ac:dyDescent="0.5">
      <c r="B92" s="254" t="s">
        <v>114</v>
      </c>
      <c r="C92" s="673"/>
      <c r="D92" s="674"/>
      <c r="E92" s="674"/>
      <c r="F92" s="674"/>
      <c r="G92" s="674"/>
      <c r="H92" s="674"/>
      <c r="I92" s="674"/>
      <c r="J92" s="674"/>
      <c r="K92" s="675"/>
      <c r="L92" s="291"/>
    </row>
    <row r="93" spans="2:12" ht="21" customHeight="1" x14ac:dyDescent="0.5">
      <c r="B93" s="259"/>
      <c r="C93" s="676"/>
      <c r="D93" s="677"/>
      <c r="E93" s="677"/>
      <c r="F93" s="677"/>
      <c r="G93" s="677"/>
      <c r="H93" s="677"/>
      <c r="I93" s="677"/>
      <c r="J93" s="677"/>
      <c r="K93" s="678"/>
      <c r="L93" s="291"/>
    </row>
    <row r="94" spans="2:12" ht="21" customHeight="1" x14ac:dyDescent="0.5">
      <c r="B94" s="259"/>
      <c r="C94" s="679"/>
      <c r="D94" s="680"/>
      <c r="E94" s="680"/>
      <c r="F94" s="680"/>
      <c r="G94" s="680"/>
      <c r="H94" s="680"/>
      <c r="I94" s="680"/>
      <c r="J94" s="680"/>
      <c r="K94" s="681"/>
      <c r="L94" s="291"/>
    </row>
    <row r="95" spans="2:12" ht="21" customHeight="1" x14ac:dyDescent="0.5">
      <c r="B95" s="259"/>
      <c r="C95" s="292"/>
      <c r="D95" s="292"/>
      <c r="E95" s="292"/>
      <c r="F95" s="292"/>
      <c r="G95" s="292"/>
      <c r="H95" s="292"/>
      <c r="I95" s="292"/>
      <c r="J95" s="292"/>
      <c r="K95" s="292"/>
      <c r="L95" s="291"/>
    </row>
    <row r="96" spans="2:12" ht="21" customHeight="1" x14ac:dyDescent="0.5">
      <c r="B96" s="671" t="s">
        <v>116</v>
      </c>
      <c r="C96" s="672"/>
      <c r="D96" s="392"/>
      <c r="E96" s="392"/>
      <c r="F96" s="392"/>
      <c r="G96" s="392"/>
      <c r="H96" s="392"/>
      <c r="I96" s="392"/>
      <c r="J96" s="392"/>
      <c r="K96" s="392"/>
      <c r="L96" s="393"/>
    </row>
    <row r="97" spans="2:12" x14ac:dyDescent="0.5">
      <c r="B97" s="401"/>
      <c r="D97" s="403"/>
      <c r="E97" s="403"/>
      <c r="F97" s="403"/>
      <c r="G97" s="403"/>
      <c r="H97" s="403"/>
      <c r="I97" s="403"/>
      <c r="J97" s="403"/>
      <c r="K97" s="403"/>
      <c r="L97" s="402"/>
    </row>
    <row r="98" spans="2:12" ht="21.5" thickBot="1" x14ac:dyDescent="0.55000000000000004">
      <c r="B98" s="404" t="s">
        <v>117</v>
      </c>
      <c r="C98" s="405"/>
      <c r="D98" s="430"/>
      <c r="E98" s="430"/>
      <c r="F98" s="430"/>
      <c r="G98" s="430"/>
      <c r="H98" s="430"/>
      <c r="I98" s="430"/>
      <c r="J98" s="430"/>
      <c r="K98" s="430"/>
      <c r="L98" s="406"/>
    </row>
    <row r="99" spans="2:12" x14ac:dyDescent="0.5">
      <c r="D99" s="403"/>
      <c r="E99" s="403"/>
      <c r="F99" s="403"/>
      <c r="G99" s="403"/>
      <c r="H99" s="403"/>
      <c r="I99" s="403"/>
      <c r="J99" s="403"/>
      <c r="K99" s="403"/>
    </row>
    <row r="100" spans="2:12" ht="23" customHeight="1" x14ac:dyDescent="0.5">
      <c r="D100" s="403"/>
      <c r="E100" s="403"/>
      <c r="F100" s="403"/>
      <c r="G100" s="403"/>
      <c r="H100" s="403"/>
      <c r="I100" s="403"/>
      <c r="J100" s="403"/>
      <c r="K100" s="403"/>
    </row>
    <row r="101" spans="2:12" ht="23" customHeight="1" x14ac:dyDescent="0.5">
      <c r="D101" s="403"/>
      <c r="E101" s="403"/>
      <c r="F101" s="403"/>
      <c r="G101" s="403"/>
      <c r="H101" s="403"/>
      <c r="I101" s="403"/>
      <c r="J101" s="403"/>
      <c r="K101" s="403"/>
    </row>
    <row r="102" spans="2:12" ht="23" customHeight="1" x14ac:dyDescent="0.5">
      <c r="D102" s="403"/>
      <c r="E102" s="403"/>
      <c r="F102" s="403"/>
      <c r="G102" s="403"/>
      <c r="H102" s="403"/>
      <c r="I102" s="403"/>
      <c r="J102" s="403"/>
      <c r="K102" s="403"/>
    </row>
    <row r="103" spans="2:12" ht="23" customHeight="1" x14ac:dyDescent="0.5">
      <c r="D103" s="403"/>
      <c r="E103" s="403"/>
      <c r="F103" s="403"/>
      <c r="G103" s="403"/>
      <c r="H103" s="403"/>
      <c r="I103" s="403"/>
      <c r="J103" s="403"/>
      <c r="K103" s="403"/>
    </row>
    <row r="104" spans="2:12" ht="23" customHeight="1" x14ac:dyDescent="0.5">
      <c r="D104" s="403"/>
      <c r="E104" s="403"/>
      <c r="F104" s="403"/>
      <c r="G104" s="403"/>
      <c r="H104" s="403"/>
      <c r="I104" s="403"/>
      <c r="J104" s="403"/>
      <c r="K104" s="403"/>
    </row>
    <row r="105" spans="2:12" ht="23" customHeight="1" x14ac:dyDescent="0.5">
      <c r="D105" s="403"/>
      <c r="E105" s="403"/>
      <c r="F105" s="403"/>
      <c r="G105" s="403"/>
      <c r="H105" s="403"/>
      <c r="I105" s="403"/>
      <c r="J105" s="403"/>
      <c r="K105" s="403"/>
    </row>
    <row r="106" spans="2:12" ht="23" customHeight="1" x14ac:dyDescent="0.5">
      <c r="D106" s="403"/>
      <c r="E106" s="403"/>
      <c r="F106" s="403"/>
      <c r="G106" s="403"/>
      <c r="H106" s="403"/>
      <c r="I106" s="403"/>
      <c r="J106" s="403"/>
      <c r="K106" s="403"/>
    </row>
    <row r="107" spans="2:12" ht="23" customHeight="1" x14ac:dyDescent="0.5">
      <c r="D107" s="403"/>
      <c r="E107" s="403"/>
      <c r="F107" s="403"/>
      <c r="G107" s="403"/>
      <c r="H107" s="403"/>
      <c r="I107" s="403"/>
      <c r="J107" s="403"/>
      <c r="K107" s="403"/>
    </row>
    <row r="108" spans="2:12" ht="23" customHeight="1" x14ac:dyDescent="0.5">
      <c r="D108" s="403"/>
      <c r="E108" s="403"/>
      <c r="F108" s="403"/>
      <c r="G108" s="403"/>
      <c r="H108" s="403"/>
      <c r="I108" s="403"/>
      <c r="J108" s="403"/>
      <c r="K108" s="403"/>
    </row>
    <row r="109" spans="2:12" ht="23" customHeight="1" x14ac:dyDescent="0.5">
      <c r="D109" s="403"/>
      <c r="E109" s="403"/>
      <c r="F109" s="403"/>
      <c r="G109" s="403"/>
      <c r="H109" s="403"/>
      <c r="I109" s="403"/>
      <c r="J109" s="403"/>
      <c r="K109" s="403"/>
    </row>
    <row r="110" spans="2:12" ht="23" customHeight="1" x14ac:dyDescent="0.5">
      <c r="D110" s="403"/>
      <c r="E110" s="403"/>
      <c r="F110" s="403"/>
      <c r="G110" s="403"/>
      <c r="H110" s="403"/>
      <c r="I110" s="403"/>
      <c r="J110" s="403"/>
      <c r="K110" s="403"/>
    </row>
    <row r="111" spans="2:12" ht="23" customHeight="1" x14ac:dyDescent="0.5">
      <c r="D111" s="403"/>
      <c r="E111" s="403"/>
      <c r="F111" s="403"/>
      <c r="G111" s="403"/>
      <c r="H111" s="403"/>
      <c r="I111" s="403"/>
      <c r="J111" s="403"/>
      <c r="K111" s="403"/>
    </row>
    <row r="112" spans="2:12" ht="23" customHeight="1" x14ac:dyDescent="0.5">
      <c r="D112" s="403"/>
      <c r="E112" s="403"/>
      <c r="F112" s="403"/>
      <c r="G112" s="403"/>
      <c r="H112" s="403"/>
      <c r="I112" s="403"/>
      <c r="J112" s="403"/>
      <c r="K112" s="403"/>
    </row>
    <row r="113" spans="4:11" ht="23" customHeight="1" x14ac:dyDescent="0.5">
      <c r="D113" s="403"/>
      <c r="E113" s="403"/>
      <c r="F113" s="403"/>
      <c r="G113" s="403"/>
      <c r="H113" s="403"/>
      <c r="I113" s="403"/>
      <c r="J113" s="403"/>
      <c r="K113" s="403"/>
    </row>
    <row r="114" spans="4:11" ht="23" customHeight="1" x14ac:dyDescent="0.5">
      <c r="D114" s="664"/>
      <c r="E114" s="664"/>
      <c r="F114" s="664"/>
      <c r="G114" s="664"/>
      <c r="H114" s="664"/>
      <c r="I114" s="664"/>
      <c r="J114" s="664"/>
      <c r="K114" s="664"/>
    </row>
    <row r="115" spans="4:11" ht="23" customHeight="1" x14ac:dyDescent="0.5">
      <c r="D115" s="664"/>
      <c r="E115" s="664"/>
      <c r="F115" s="664"/>
      <c r="G115" s="664"/>
      <c r="H115" s="664"/>
      <c r="I115" s="664"/>
      <c r="J115" s="664"/>
      <c r="K115" s="664"/>
    </row>
    <row r="116" spans="4:11" ht="54" customHeight="1" x14ac:dyDescent="0.5">
      <c r="D116" s="664"/>
      <c r="E116" s="664"/>
      <c r="F116" s="664"/>
      <c r="G116" s="664"/>
      <c r="H116" s="664"/>
      <c r="I116" s="664"/>
      <c r="J116" s="664"/>
      <c r="K116" s="664"/>
    </row>
    <row r="117" spans="4:11" ht="21" hidden="1" customHeight="1" x14ac:dyDescent="0.5">
      <c r="D117" s="664"/>
      <c r="E117" s="664"/>
      <c r="F117" s="664"/>
      <c r="G117" s="664"/>
      <c r="H117" s="664"/>
      <c r="I117" s="664"/>
      <c r="J117" s="664"/>
      <c r="K117" s="664"/>
    </row>
    <row r="118" spans="4:11" ht="23" customHeight="1" x14ac:dyDescent="0.5">
      <c r="D118" s="664"/>
      <c r="E118" s="664"/>
      <c r="F118" s="664"/>
      <c r="G118" s="664"/>
      <c r="H118" s="664"/>
      <c r="I118" s="664"/>
      <c r="J118" s="664"/>
      <c r="K118" s="664"/>
    </row>
    <row r="119" spans="4:11" ht="29.25" customHeight="1" x14ac:dyDescent="0.5">
      <c r="D119" s="664"/>
      <c r="E119" s="664"/>
      <c r="F119" s="664"/>
      <c r="G119" s="664"/>
      <c r="H119" s="664"/>
      <c r="I119" s="664"/>
      <c r="J119" s="664"/>
      <c r="K119" s="664"/>
    </row>
    <row r="120" spans="4:11" ht="23" customHeight="1" x14ac:dyDescent="0.5">
      <c r="D120" s="664"/>
      <c r="E120" s="664"/>
      <c r="F120" s="664"/>
      <c r="G120" s="664"/>
      <c r="H120" s="664"/>
      <c r="I120" s="664"/>
      <c r="J120" s="664"/>
      <c r="K120" s="664"/>
    </row>
    <row r="121" spans="4:11" ht="23" customHeight="1" x14ac:dyDescent="0.5">
      <c r="D121" s="664"/>
      <c r="E121" s="664"/>
      <c r="F121" s="664"/>
      <c r="G121" s="664"/>
      <c r="H121" s="664"/>
      <c r="I121" s="664"/>
      <c r="J121" s="664"/>
      <c r="K121" s="664"/>
    </row>
    <row r="122" spans="4:11" ht="23" customHeight="1" x14ac:dyDescent="0.5">
      <c r="D122" s="664"/>
      <c r="E122" s="664"/>
      <c r="F122" s="664"/>
      <c r="G122" s="664"/>
      <c r="H122" s="664"/>
      <c r="I122" s="664"/>
      <c r="J122" s="664"/>
      <c r="K122" s="664"/>
    </row>
    <row r="123" spans="4:11" ht="23" customHeight="1" x14ac:dyDescent="0.5">
      <c r="D123" s="664"/>
      <c r="E123" s="664"/>
      <c r="F123" s="664"/>
      <c r="G123" s="664"/>
      <c r="H123" s="664"/>
      <c r="I123" s="664"/>
      <c r="J123" s="664"/>
      <c r="K123" s="664"/>
    </row>
    <row r="124" spans="4:11" ht="21" hidden="1" customHeight="1" x14ac:dyDescent="0.5">
      <c r="D124" s="664"/>
      <c r="E124" s="664"/>
      <c r="F124" s="664"/>
      <c r="G124" s="664"/>
      <c r="H124" s="664"/>
      <c r="I124" s="664"/>
      <c r="J124" s="664"/>
      <c r="K124" s="664"/>
    </row>
    <row r="125" spans="4:11" ht="21" hidden="1" customHeight="1" x14ac:dyDescent="0.5">
      <c r="D125" s="664"/>
      <c r="E125" s="664"/>
      <c r="F125" s="664"/>
      <c r="G125" s="664"/>
      <c r="H125" s="664"/>
      <c r="I125" s="664"/>
      <c r="J125" s="664"/>
      <c r="K125" s="664"/>
    </row>
    <row r="126" spans="4:11" ht="23" customHeight="1" x14ac:dyDescent="0.5">
      <c r="D126" s="664"/>
      <c r="E126" s="664"/>
      <c r="F126" s="664"/>
      <c r="G126" s="664"/>
      <c r="H126" s="664"/>
      <c r="I126" s="664"/>
      <c r="J126" s="664"/>
      <c r="K126" s="664"/>
    </row>
    <row r="127" spans="4:11" x14ac:dyDescent="0.5">
      <c r="D127" s="664"/>
      <c r="E127" s="664"/>
      <c r="F127" s="664"/>
      <c r="G127" s="664"/>
      <c r="H127" s="664"/>
      <c r="I127" s="664"/>
      <c r="J127" s="664"/>
      <c r="K127" s="664"/>
    </row>
    <row r="128" spans="4:11" ht="23" customHeight="1" x14ac:dyDescent="0.5">
      <c r="D128" s="664"/>
      <c r="E128" s="664"/>
      <c r="F128" s="664"/>
      <c r="G128" s="664"/>
      <c r="H128" s="664"/>
      <c r="I128" s="664"/>
      <c r="J128" s="664"/>
      <c r="K128" s="664"/>
    </row>
    <row r="129" spans="4:11" ht="23" customHeight="1" x14ac:dyDescent="0.5">
      <c r="D129" s="664"/>
      <c r="E129" s="664"/>
      <c r="F129" s="664"/>
      <c r="G129" s="664"/>
      <c r="H129" s="664"/>
      <c r="I129" s="664"/>
      <c r="J129" s="664"/>
      <c r="K129" s="664"/>
    </row>
    <row r="130" spans="4:11" ht="23" customHeight="1" x14ac:dyDescent="0.5">
      <c r="D130" s="664"/>
      <c r="E130" s="664"/>
      <c r="F130" s="664"/>
      <c r="G130" s="664"/>
      <c r="H130" s="664"/>
      <c r="I130" s="664"/>
      <c r="J130" s="664"/>
      <c r="K130" s="664"/>
    </row>
    <row r="131" spans="4:11" x14ac:dyDescent="0.5">
      <c r="D131" s="664"/>
      <c r="E131" s="664"/>
      <c r="F131" s="664"/>
      <c r="G131" s="664"/>
      <c r="H131" s="664"/>
      <c r="I131" s="664"/>
      <c r="J131" s="664"/>
      <c r="K131" s="664"/>
    </row>
  </sheetData>
  <mergeCells count="50">
    <mergeCell ref="C75:K75"/>
    <mergeCell ref="C76:K76"/>
    <mergeCell ref="C67:K67"/>
    <mergeCell ref="C71:K71"/>
    <mergeCell ref="C72:K72"/>
    <mergeCell ref="C73:K73"/>
    <mergeCell ref="C74:K74"/>
    <mergeCell ref="C62:K62"/>
    <mergeCell ref="C63:K63"/>
    <mergeCell ref="C64:K64"/>
    <mergeCell ref="C65:K65"/>
    <mergeCell ref="C66:K66"/>
    <mergeCell ref="K5:L5"/>
    <mergeCell ref="B2:C4"/>
    <mergeCell ref="D2:I4"/>
    <mergeCell ref="J2:K2"/>
    <mergeCell ref="J3:K3"/>
    <mergeCell ref="J4:K4"/>
    <mergeCell ref="D43:E43"/>
    <mergeCell ref="G43:H43"/>
    <mergeCell ref="B87:L87"/>
    <mergeCell ref="B69:C69"/>
    <mergeCell ref="C70:D70"/>
    <mergeCell ref="B53:L53"/>
    <mergeCell ref="B54:C54"/>
    <mergeCell ref="B59:L59"/>
    <mergeCell ref="B60:C60"/>
    <mergeCell ref="B78:C78"/>
    <mergeCell ref="C79:K85"/>
    <mergeCell ref="C55:K55"/>
    <mergeCell ref="C56:K56"/>
    <mergeCell ref="C57:K57"/>
    <mergeCell ref="C58:K58"/>
    <mergeCell ref="C61:K61"/>
    <mergeCell ref="B8:L8"/>
    <mergeCell ref="B9:C9"/>
    <mergeCell ref="B30:C30"/>
    <mergeCell ref="B38:C38"/>
    <mergeCell ref="B42:C42"/>
    <mergeCell ref="C88:L88"/>
    <mergeCell ref="C89:L89"/>
    <mergeCell ref="B91:L91"/>
    <mergeCell ref="D114:E131"/>
    <mergeCell ref="F114:G131"/>
    <mergeCell ref="H114:I131"/>
    <mergeCell ref="J114:K131"/>
    <mergeCell ref="B96:C96"/>
    <mergeCell ref="C92:K92"/>
    <mergeCell ref="C93:K93"/>
    <mergeCell ref="C94:K94"/>
  </mergeCells>
  <printOptions horizontalCentered="1"/>
  <pageMargins left="0.2" right="0.2" top="0.75" bottom="0.75" header="0.3" footer="0.3"/>
  <pageSetup scale="42" fitToHeight="0" orientation="portrait" r:id="rId1"/>
  <headerFooter>
    <oddFooter>&amp;L&amp;"-,Regular"&amp;11&amp;F&amp;R&amp;"-,Regular"&amp;11ACS-SFM-CX-1016, Rev 0, 10-Oct-2022</oddFooter>
  </headerFooter>
  <rowBreaks count="1" manualBreakCount="1">
    <brk id="77" max="11"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F69C9-2106-4631-B473-09A735F59904}">
  <sheetPr>
    <tabColor theme="9" tint="-0.249977111117893"/>
    <pageSetUpPr fitToPage="1"/>
  </sheetPr>
  <dimension ref="B1:L62"/>
  <sheetViews>
    <sheetView showGridLines="0" view="pageBreakPreview" zoomScale="70" zoomScaleNormal="85" zoomScaleSheetLayoutView="70" zoomScalePageLayoutView="70" workbookViewId="0">
      <selection activeCell="G15" sqref="G15"/>
    </sheetView>
  </sheetViews>
  <sheetFormatPr defaultColWidth="14.90625" defaultRowHeight="21" x14ac:dyDescent="0.5"/>
  <cols>
    <col min="1" max="1" width="2.54296875" style="178" customWidth="1"/>
    <col min="2" max="2" width="20.08984375" style="178" customWidth="1"/>
    <col min="3" max="3" width="31.54296875" style="178" customWidth="1"/>
    <col min="4" max="4" width="23.90625" style="178" customWidth="1"/>
    <col min="5" max="5" width="25.08984375" style="178" customWidth="1"/>
    <col min="6" max="6" width="20.54296875" style="178" customWidth="1"/>
    <col min="7" max="7" width="24.90625" style="178" customWidth="1"/>
    <col min="8" max="8" width="21.08984375" style="178" customWidth="1"/>
    <col min="9" max="9" width="21" style="178" customWidth="1"/>
    <col min="10" max="10" width="16.54296875" style="178" customWidth="1"/>
    <col min="11" max="11" width="16.90625" style="178" customWidth="1"/>
    <col min="12" max="12" width="20" style="178" customWidth="1"/>
    <col min="13" max="13" width="14.90625" style="178" customWidth="1"/>
    <col min="14" max="16384" width="14.90625" style="178"/>
  </cols>
  <sheetData>
    <row r="1" spans="2:12" ht="12" customHeight="1" thickBot="1" x14ac:dyDescent="0.55000000000000004"/>
    <row r="2" spans="2:12" x14ac:dyDescent="0.5">
      <c r="B2" s="609"/>
      <c r="C2" s="610"/>
      <c r="D2" s="615" t="s">
        <v>0</v>
      </c>
      <c r="E2" s="615"/>
      <c r="F2" s="615"/>
      <c r="G2" s="615"/>
      <c r="H2" s="615"/>
      <c r="I2" s="616"/>
      <c r="J2" s="621" t="s">
        <v>1</v>
      </c>
      <c r="K2" s="622"/>
      <c r="L2" s="179"/>
    </row>
    <row r="3" spans="2:12" ht="26.15" customHeight="1" x14ac:dyDescent="0.5">
      <c r="B3" s="611"/>
      <c r="C3" s="612"/>
      <c r="D3" s="617"/>
      <c r="E3" s="617"/>
      <c r="F3" s="617"/>
      <c r="G3" s="617"/>
      <c r="H3" s="617"/>
      <c r="I3" s="618"/>
      <c r="J3" s="623" t="s">
        <v>2</v>
      </c>
      <c r="K3" s="624"/>
      <c r="L3" s="180">
        <v>0</v>
      </c>
    </row>
    <row r="4" spans="2:12" ht="24.65" customHeight="1" thickBot="1" x14ac:dyDescent="0.55000000000000004">
      <c r="B4" s="613"/>
      <c r="C4" s="614"/>
      <c r="D4" s="619"/>
      <c r="E4" s="619"/>
      <c r="F4" s="619"/>
      <c r="G4" s="619"/>
      <c r="H4" s="619"/>
      <c r="I4" s="620"/>
      <c r="J4" s="625" t="s">
        <v>3</v>
      </c>
      <c r="K4" s="626"/>
      <c r="L4" s="181"/>
    </row>
    <row r="5" spans="2:12" ht="19.399999999999999" customHeight="1" thickBot="1" x14ac:dyDescent="0.55000000000000004">
      <c r="B5" s="182"/>
      <c r="C5" s="183"/>
      <c r="D5" s="183"/>
      <c r="J5" s="184"/>
      <c r="K5" s="627"/>
      <c r="L5" s="628"/>
    </row>
    <row r="6" spans="2:12" ht="24.65" customHeight="1" thickBot="1" x14ac:dyDescent="0.55000000000000004">
      <c r="B6" s="182"/>
      <c r="C6" s="183"/>
      <c r="D6" s="183"/>
      <c r="J6" s="184"/>
      <c r="K6" s="187" t="s">
        <v>4</v>
      </c>
      <c r="L6" s="188">
        <f>Safety!L6</f>
        <v>46035</v>
      </c>
    </row>
    <row r="7" spans="2:12" ht="15" customHeight="1" x14ac:dyDescent="0.5">
      <c r="B7" s="182"/>
      <c r="C7" s="183"/>
      <c r="D7" s="183"/>
      <c r="J7" s="184"/>
      <c r="K7" s="185"/>
      <c r="L7" s="186"/>
    </row>
    <row r="8" spans="2:12" s="189" customFormat="1" ht="20.5" thickBot="1" x14ac:dyDescent="0.45">
      <c r="B8" s="732" t="s">
        <v>118</v>
      </c>
      <c r="C8" s="733"/>
      <c r="D8" s="733"/>
      <c r="E8" s="733"/>
      <c r="F8" s="733"/>
      <c r="G8" s="733"/>
      <c r="H8" s="733"/>
      <c r="I8" s="733"/>
      <c r="J8" s="733"/>
      <c r="K8" s="733"/>
      <c r="L8" s="734"/>
    </row>
    <row r="9" spans="2:12" ht="26.4" customHeight="1" x14ac:dyDescent="0.5">
      <c r="B9" s="415" t="s">
        <v>119</v>
      </c>
      <c r="C9" s="416"/>
      <c r="D9" s="417"/>
      <c r="E9" s="417"/>
      <c r="F9" s="417"/>
      <c r="G9" s="417"/>
      <c r="H9" s="417"/>
      <c r="I9" s="417"/>
      <c r="J9" s="417"/>
      <c r="K9" s="417"/>
      <c r="L9" s="418"/>
    </row>
    <row r="10" spans="2:12" ht="39.9" customHeight="1" x14ac:dyDescent="0.5">
      <c r="B10" s="257"/>
      <c r="C10" s="255"/>
      <c r="D10" s="735" t="s">
        <v>294</v>
      </c>
      <c r="E10" s="736"/>
      <c r="F10" s="736"/>
      <c r="G10" s="736"/>
      <c r="H10" s="736"/>
      <c r="I10" s="736"/>
      <c r="J10" s="736"/>
      <c r="K10" s="736"/>
      <c r="L10" s="737"/>
    </row>
    <row r="11" spans="2:12" ht="20.149999999999999" customHeight="1" x14ac:dyDescent="0.5">
      <c r="B11" s="257"/>
      <c r="C11" s="255"/>
      <c r="D11" s="735"/>
      <c r="E11" s="736"/>
      <c r="F11" s="736"/>
      <c r="G11" s="736"/>
      <c r="H11" s="736"/>
      <c r="I11" s="736"/>
      <c r="J11" s="736"/>
      <c r="K11" s="736"/>
      <c r="L11" s="737"/>
    </row>
    <row r="12" spans="2:12" ht="21" customHeight="1" thickBot="1" x14ac:dyDescent="0.55000000000000004">
      <c r="B12" s="257"/>
      <c r="C12" s="255"/>
      <c r="D12" s="738"/>
      <c r="E12" s="739"/>
      <c r="F12" s="739"/>
      <c r="G12" s="739"/>
      <c r="H12" s="739"/>
      <c r="I12" s="739"/>
      <c r="J12" s="739"/>
      <c r="K12" s="739"/>
      <c r="L12" s="740"/>
    </row>
    <row r="13" spans="2:12" ht="21" customHeight="1" x14ac:dyDescent="0.5">
      <c r="B13" s="257"/>
      <c r="C13" s="255"/>
      <c r="L13" s="258"/>
    </row>
    <row r="14" spans="2:12" ht="21" customHeight="1" thickBot="1" x14ac:dyDescent="0.55000000000000004">
      <c r="B14" s="259"/>
      <c r="C14" s="255"/>
      <c r="D14" s="260"/>
      <c r="E14" s="260"/>
      <c r="F14" s="261"/>
      <c r="G14" s="261"/>
      <c r="H14" s="261"/>
      <c r="I14" s="261"/>
      <c r="J14" s="261"/>
      <c r="K14" s="261"/>
      <c r="L14" s="262"/>
    </row>
    <row r="15" spans="2:12" x14ac:dyDescent="0.5">
      <c r="B15" s="686" t="s">
        <v>120</v>
      </c>
      <c r="C15" s="688"/>
      <c r="D15" s="195" t="s">
        <v>19</v>
      </c>
      <c r="E15" s="197" t="s">
        <v>20</v>
      </c>
      <c r="F15" s="234"/>
      <c r="G15" s="234"/>
      <c r="H15" s="234"/>
      <c r="I15" s="234"/>
      <c r="J15" s="234"/>
      <c r="K15" s="234"/>
      <c r="L15" s="263"/>
    </row>
    <row r="16" spans="2:12" x14ac:dyDescent="0.5">
      <c r="B16" s="264"/>
      <c r="C16" s="265" t="s">
        <v>121</v>
      </c>
      <c r="D16" s="210">
        <v>1</v>
      </c>
      <c r="E16" s="228">
        <v>1</v>
      </c>
      <c r="F16" s="234"/>
      <c r="G16" s="234"/>
      <c r="H16" s="234"/>
      <c r="I16" s="234"/>
      <c r="J16" s="234"/>
      <c r="K16" s="234"/>
      <c r="L16" s="263"/>
    </row>
    <row r="17" spans="2:12" x14ac:dyDescent="0.5">
      <c r="B17" s="264"/>
      <c r="C17" s="265" t="s">
        <v>122</v>
      </c>
      <c r="D17" s="210">
        <v>0</v>
      </c>
      <c r="E17" s="228">
        <v>2</v>
      </c>
      <c r="F17" s="234"/>
      <c r="G17" s="234"/>
      <c r="H17" s="234"/>
      <c r="I17" s="234"/>
      <c r="J17" s="234"/>
      <c r="K17" s="234"/>
      <c r="L17" s="263"/>
    </row>
    <row r="18" spans="2:12" x14ac:dyDescent="0.5">
      <c r="B18" s="264"/>
      <c r="C18" s="265" t="s">
        <v>123</v>
      </c>
      <c r="D18" s="210">
        <v>0</v>
      </c>
      <c r="E18" s="228">
        <v>0</v>
      </c>
      <c r="F18" s="234"/>
      <c r="G18" s="234"/>
      <c r="H18" s="234"/>
      <c r="I18" s="234"/>
      <c r="J18" s="234"/>
      <c r="K18" s="234"/>
      <c r="L18" s="263"/>
    </row>
    <row r="19" spans="2:12" ht="21.5" thickBot="1" x14ac:dyDescent="0.55000000000000004">
      <c r="B19" s="264"/>
      <c r="C19" s="265" t="s">
        <v>124</v>
      </c>
      <c r="D19" s="215">
        <v>0</v>
      </c>
      <c r="E19" s="266">
        <v>0</v>
      </c>
      <c r="F19" s="234"/>
      <c r="G19" s="234"/>
      <c r="H19" s="234"/>
      <c r="I19" s="234"/>
      <c r="J19" s="234"/>
      <c r="K19" s="234"/>
      <c r="L19" s="263"/>
    </row>
    <row r="20" spans="2:12" ht="21.5" thickBot="1" x14ac:dyDescent="0.55000000000000004">
      <c r="B20" s="257"/>
      <c r="C20" s="234"/>
      <c r="D20" s="234"/>
      <c r="E20" s="234"/>
      <c r="F20" s="234"/>
      <c r="G20" s="234"/>
      <c r="H20" s="234"/>
      <c r="I20" s="234"/>
      <c r="J20" s="234"/>
      <c r="K20" s="234"/>
      <c r="L20" s="263"/>
    </row>
    <row r="21" spans="2:12" x14ac:dyDescent="0.5">
      <c r="B21" s="195" t="s">
        <v>125</v>
      </c>
      <c r="C21" s="195" t="s">
        <v>126</v>
      </c>
      <c r="D21" s="196" t="s">
        <v>21</v>
      </c>
      <c r="E21" s="196" t="s">
        <v>68</v>
      </c>
      <c r="F21" s="196" t="s">
        <v>127</v>
      </c>
      <c r="G21" s="206" t="s">
        <v>128</v>
      </c>
      <c r="H21" s="206" t="s">
        <v>129</v>
      </c>
      <c r="I21" s="196" t="s">
        <v>130</v>
      </c>
      <c r="J21" s="207" t="s">
        <v>131</v>
      </c>
      <c r="K21" s="197" t="s">
        <v>132</v>
      </c>
      <c r="L21" s="197" t="s">
        <v>133</v>
      </c>
    </row>
    <row r="22" spans="2:12" x14ac:dyDescent="0.5">
      <c r="B22" s="268" t="s">
        <v>134</v>
      </c>
      <c r="C22" s="268">
        <v>1</v>
      </c>
      <c r="D22" s="269" t="s">
        <v>135</v>
      </c>
      <c r="E22" s="269" t="s">
        <v>122</v>
      </c>
      <c r="F22" s="270">
        <v>45960</v>
      </c>
      <c r="G22" s="271"/>
      <c r="H22" s="272"/>
      <c r="I22" s="515">
        <v>61742</v>
      </c>
      <c r="J22" s="272"/>
      <c r="K22" s="274"/>
      <c r="L22" s="517">
        <v>543042</v>
      </c>
    </row>
    <row r="23" spans="2:12" x14ac:dyDescent="0.5">
      <c r="B23" s="268" t="s">
        <v>134</v>
      </c>
      <c r="C23" s="268">
        <v>2</v>
      </c>
      <c r="D23" s="269" t="s">
        <v>295</v>
      </c>
      <c r="E23" s="269" t="s">
        <v>136</v>
      </c>
      <c r="F23" s="269" t="s">
        <v>136</v>
      </c>
      <c r="G23" s="269"/>
      <c r="H23" s="269"/>
      <c r="I23" s="514">
        <v>42752</v>
      </c>
      <c r="J23" s="269"/>
      <c r="K23" s="269"/>
      <c r="L23" s="514">
        <v>585794</v>
      </c>
    </row>
    <row r="24" spans="2:12" ht="33" customHeight="1" x14ac:dyDescent="0.5">
      <c r="B24" s="275" t="s">
        <v>137</v>
      </c>
      <c r="C24" s="275">
        <v>3</v>
      </c>
      <c r="D24" s="276" t="s">
        <v>138</v>
      </c>
      <c r="E24" s="269" t="s">
        <v>122</v>
      </c>
      <c r="F24" s="277">
        <v>45969</v>
      </c>
      <c r="G24" s="278"/>
      <c r="H24" s="279"/>
      <c r="I24" s="516"/>
      <c r="J24" s="280"/>
      <c r="K24" s="281"/>
      <c r="L24" s="518"/>
    </row>
    <row r="25" spans="2:12" x14ac:dyDescent="0.5">
      <c r="B25" s="275" t="s">
        <v>134</v>
      </c>
      <c r="C25" s="275">
        <v>4</v>
      </c>
      <c r="D25" s="276" t="s">
        <v>293</v>
      </c>
      <c r="E25" s="276" t="s">
        <v>136</v>
      </c>
      <c r="F25" s="277" t="s">
        <v>136</v>
      </c>
      <c r="G25" s="277" t="s">
        <v>136</v>
      </c>
      <c r="H25" s="277" t="s">
        <v>136</v>
      </c>
      <c r="I25" s="519">
        <v>11219</v>
      </c>
      <c r="J25" s="277" t="s">
        <v>136</v>
      </c>
      <c r="K25" s="277" t="s">
        <v>136</v>
      </c>
      <c r="L25" s="519">
        <v>554261</v>
      </c>
    </row>
    <row r="26" spans="2:12" x14ac:dyDescent="0.5">
      <c r="B26" s="520"/>
      <c r="C26" s="520"/>
      <c r="D26" s="521"/>
      <c r="E26" s="522"/>
      <c r="F26" s="523"/>
      <c r="G26" s="524"/>
      <c r="H26" s="524"/>
      <c r="I26" s="525"/>
      <c r="J26" s="524"/>
      <c r="K26" s="524"/>
      <c r="L26" s="524"/>
    </row>
    <row r="27" spans="2:12" x14ac:dyDescent="0.5">
      <c r="B27" s="520"/>
      <c r="C27" s="520"/>
      <c r="D27" s="521"/>
      <c r="E27" s="522"/>
      <c r="F27" s="523"/>
      <c r="G27" s="524"/>
      <c r="H27" s="524"/>
      <c r="I27" s="525"/>
      <c r="J27" s="524"/>
      <c r="K27" s="524"/>
      <c r="L27" s="524"/>
    </row>
    <row r="28" spans="2:12" ht="21.5" thickBot="1" x14ac:dyDescent="0.55000000000000004">
      <c r="B28" s="520"/>
      <c r="C28" s="520"/>
      <c r="D28" s="521"/>
      <c r="E28" s="522"/>
      <c r="F28" s="523"/>
      <c r="G28" s="524"/>
      <c r="H28" s="524"/>
      <c r="I28" s="525"/>
      <c r="J28" s="524"/>
      <c r="K28" s="524"/>
      <c r="L28" s="524"/>
    </row>
    <row r="29" spans="2:12" ht="21.5" thickBot="1" x14ac:dyDescent="0.55000000000000004">
      <c r="B29" s="282" t="s">
        <v>32</v>
      </c>
      <c r="C29" s="282" t="s">
        <v>32</v>
      </c>
      <c r="D29" s="283"/>
      <c r="E29" s="284"/>
      <c r="F29" s="285"/>
      <c r="G29" s="286">
        <f t="shared" ref="G29:L29" si="0">SUM(G22:G25)</f>
        <v>0</v>
      </c>
      <c r="H29" s="287">
        <f t="shared" si="0"/>
        <v>0</v>
      </c>
      <c r="I29" s="287">
        <f t="shared" si="0"/>
        <v>115713</v>
      </c>
      <c r="J29" s="287">
        <f t="shared" si="0"/>
        <v>0</v>
      </c>
      <c r="K29" s="288">
        <f t="shared" si="0"/>
        <v>0</v>
      </c>
      <c r="L29" s="288">
        <f t="shared" si="0"/>
        <v>1683097</v>
      </c>
    </row>
    <row r="30" spans="2:12" ht="21.5" thickBot="1" x14ac:dyDescent="0.55000000000000004">
      <c r="B30" s="419"/>
      <c r="C30" s="420"/>
      <c r="D30" s="421"/>
      <c r="E30" s="421"/>
      <c r="F30" s="422"/>
      <c r="G30" s="422"/>
      <c r="H30" s="422"/>
      <c r="I30" s="422"/>
      <c r="J30" s="422"/>
      <c r="K30" s="422"/>
      <c r="L30" s="423"/>
    </row>
    <row r="31" spans="2:12" x14ac:dyDescent="0.5">
      <c r="D31" s="664"/>
      <c r="E31" s="664"/>
      <c r="F31" s="664"/>
      <c r="G31" s="664"/>
      <c r="H31" s="664"/>
      <c r="I31" s="664"/>
      <c r="J31" s="403"/>
      <c r="K31" s="403"/>
    </row>
    <row r="32" spans="2:12" x14ac:dyDescent="0.5">
      <c r="D32" s="664"/>
      <c r="E32" s="664"/>
      <c r="F32" s="664"/>
      <c r="G32" s="664"/>
      <c r="H32" s="664"/>
      <c r="I32" s="664"/>
      <c r="J32" s="403"/>
      <c r="K32" s="403"/>
    </row>
    <row r="33" spans="4:11" x14ac:dyDescent="0.5">
      <c r="D33" s="664"/>
      <c r="E33" s="664"/>
      <c r="F33" s="664"/>
      <c r="G33" s="664"/>
      <c r="H33" s="664"/>
      <c r="I33" s="664"/>
      <c r="J33" s="403"/>
      <c r="K33" s="403"/>
    </row>
    <row r="34" spans="4:11" x14ac:dyDescent="0.5">
      <c r="D34" s="664"/>
      <c r="E34" s="664"/>
      <c r="F34" s="664"/>
      <c r="G34" s="664"/>
      <c r="H34" s="664"/>
      <c r="I34" s="664"/>
      <c r="J34" s="403"/>
      <c r="K34" s="403"/>
    </row>
    <row r="35" spans="4:11" x14ac:dyDescent="0.5">
      <c r="D35" s="664"/>
      <c r="E35" s="664"/>
      <c r="F35" s="664"/>
      <c r="G35" s="664"/>
      <c r="H35" s="664"/>
      <c r="I35" s="664"/>
      <c r="J35" s="403"/>
      <c r="K35" s="403"/>
    </row>
    <row r="36" spans="4:11" x14ac:dyDescent="0.5">
      <c r="D36" s="664"/>
      <c r="E36" s="664"/>
      <c r="F36" s="664"/>
      <c r="G36" s="664"/>
      <c r="H36" s="664"/>
      <c r="I36" s="664"/>
      <c r="J36" s="403"/>
      <c r="K36" s="403"/>
    </row>
    <row r="37" spans="4:11" x14ac:dyDescent="0.5">
      <c r="D37" s="664"/>
      <c r="E37" s="664"/>
      <c r="F37" s="664"/>
      <c r="G37" s="664"/>
      <c r="H37" s="664"/>
      <c r="I37" s="664"/>
      <c r="J37" s="403"/>
      <c r="K37" s="403"/>
    </row>
    <row r="38" spans="4:11" x14ac:dyDescent="0.5">
      <c r="D38" s="664"/>
      <c r="E38" s="664"/>
      <c r="F38" s="664"/>
      <c r="G38" s="664"/>
      <c r="H38" s="664"/>
      <c r="I38" s="664"/>
      <c r="J38" s="403"/>
      <c r="K38" s="403"/>
    </row>
    <row r="39" spans="4:11" x14ac:dyDescent="0.5">
      <c r="D39" s="664"/>
      <c r="E39" s="664"/>
      <c r="F39" s="664"/>
      <c r="G39" s="664"/>
      <c r="H39" s="664"/>
      <c r="I39" s="664"/>
      <c r="J39" s="392"/>
      <c r="K39" s="392"/>
    </row>
    <row r="40" spans="4:11" x14ac:dyDescent="0.5">
      <c r="D40" s="664"/>
      <c r="E40" s="664"/>
      <c r="F40" s="664"/>
      <c r="G40" s="664"/>
      <c r="H40" s="664"/>
      <c r="I40" s="664"/>
      <c r="J40" s="403"/>
      <c r="K40" s="403"/>
    </row>
    <row r="41" spans="4:11" x14ac:dyDescent="0.5">
      <c r="D41" s="664"/>
      <c r="E41" s="664"/>
      <c r="F41" s="664"/>
      <c r="G41" s="664"/>
      <c r="H41" s="664"/>
      <c r="I41" s="664"/>
      <c r="J41" s="403"/>
      <c r="K41" s="403"/>
    </row>
    <row r="42" spans="4:11" x14ac:dyDescent="0.5">
      <c r="D42" s="403"/>
      <c r="E42" s="403"/>
      <c r="F42" s="403"/>
      <c r="G42" s="403"/>
      <c r="H42" s="403"/>
      <c r="I42" s="403"/>
      <c r="J42" s="403"/>
      <c r="K42" s="403"/>
    </row>
    <row r="43" spans="4:11" x14ac:dyDescent="0.5">
      <c r="D43" s="403"/>
      <c r="E43" s="403"/>
      <c r="F43" s="403"/>
      <c r="G43" s="403"/>
      <c r="H43" s="403"/>
      <c r="I43" s="403"/>
      <c r="J43" s="403"/>
      <c r="K43" s="403"/>
    </row>
    <row r="44" spans="4:11" x14ac:dyDescent="0.5">
      <c r="D44" s="403"/>
      <c r="E44" s="403"/>
      <c r="F44" s="403"/>
      <c r="G44" s="403"/>
      <c r="H44" s="403"/>
      <c r="I44" s="403"/>
      <c r="J44" s="403"/>
      <c r="K44" s="403"/>
    </row>
    <row r="45" spans="4:11" x14ac:dyDescent="0.5">
      <c r="D45" s="664"/>
      <c r="E45" s="664"/>
      <c r="F45" s="664"/>
      <c r="G45" s="664"/>
      <c r="H45" s="664"/>
      <c r="I45" s="664"/>
      <c r="J45" s="664"/>
      <c r="K45" s="664"/>
    </row>
    <row r="46" spans="4:11" x14ac:dyDescent="0.5">
      <c r="D46" s="664"/>
      <c r="E46" s="664"/>
      <c r="F46" s="664"/>
      <c r="G46" s="664"/>
      <c r="H46" s="664"/>
      <c r="I46" s="664"/>
      <c r="J46" s="664"/>
      <c r="K46" s="664"/>
    </row>
    <row r="47" spans="4:11" x14ac:dyDescent="0.5">
      <c r="D47" s="664"/>
      <c r="E47" s="664"/>
      <c r="F47" s="664"/>
      <c r="G47" s="664"/>
      <c r="H47" s="664"/>
      <c r="I47" s="664"/>
      <c r="J47" s="664"/>
      <c r="K47" s="664"/>
    </row>
    <row r="48" spans="4:11" x14ac:dyDescent="0.5">
      <c r="D48" s="664"/>
      <c r="E48" s="664"/>
      <c r="F48" s="664"/>
      <c r="G48" s="664"/>
      <c r="H48" s="664"/>
      <c r="I48" s="664"/>
      <c r="J48" s="664"/>
      <c r="K48" s="664"/>
    </row>
    <row r="49" spans="4:11" x14ac:dyDescent="0.5">
      <c r="D49" s="664"/>
      <c r="E49" s="664"/>
      <c r="F49" s="664"/>
      <c r="G49" s="664"/>
      <c r="H49" s="664"/>
      <c r="I49" s="664"/>
      <c r="J49" s="664"/>
      <c r="K49" s="664"/>
    </row>
    <row r="50" spans="4:11" x14ac:dyDescent="0.5">
      <c r="D50" s="664"/>
      <c r="E50" s="664"/>
      <c r="F50" s="664"/>
      <c r="G50" s="664"/>
      <c r="H50" s="664"/>
      <c r="I50" s="664"/>
      <c r="J50" s="664"/>
      <c r="K50" s="664"/>
    </row>
    <row r="51" spans="4:11" x14ac:dyDescent="0.5">
      <c r="D51" s="664"/>
      <c r="E51" s="664"/>
      <c r="F51" s="664"/>
      <c r="G51" s="664"/>
      <c r="H51" s="664"/>
      <c r="I51" s="664"/>
      <c r="J51" s="664"/>
      <c r="K51" s="664"/>
    </row>
    <row r="52" spans="4:11" x14ac:dyDescent="0.5">
      <c r="D52" s="664"/>
      <c r="E52" s="664"/>
      <c r="F52" s="664"/>
      <c r="G52" s="664"/>
      <c r="H52" s="664"/>
      <c r="I52" s="664"/>
      <c r="J52" s="664"/>
      <c r="K52" s="664"/>
    </row>
    <row r="53" spans="4:11" x14ac:dyDescent="0.5">
      <c r="D53" s="664"/>
      <c r="E53" s="664"/>
      <c r="F53" s="664"/>
      <c r="G53" s="664"/>
      <c r="H53" s="664"/>
      <c r="I53" s="664"/>
      <c r="J53" s="664"/>
      <c r="K53" s="664"/>
    </row>
    <row r="54" spans="4:11" x14ac:dyDescent="0.5">
      <c r="D54" s="664"/>
      <c r="E54" s="664"/>
      <c r="F54" s="664"/>
      <c r="G54" s="664"/>
      <c r="H54" s="664"/>
      <c r="I54" s="664"/>
      <c r="J54" s="664"/>
      <c r="K54" s="664"/>
    </row>
    <row r="55" spans="4:11" x14ac:dyDescent="0.5">
      <c r="D55" s="664"/>
      <c r="E55" s="664"/>
      <c r="F55" s="664"/>
      <c r="G55" s="664"/>
      <c r="H55" s="664"/>
      <c r="I55" s="664"/>
      <c r="J55" s="664"/>
      <c r="K55" s="664"/>
    </row>
    <row r="56" spans="4:11" x14ac:dyDescent="0.5">
      <c r="D56" s="664"/>
      <c r="E56" s="664"/>
      <c r="F56" s="664"/>
      <c r="G56" s="664"/>
      <c r="H56" s="664"/>
      <c r="I56" s="664"/>
      <c r="J56" s="664"/>
      <c r="K56" s="664"/>
    </row>
    <row r="57" spans="4:11" x14ac:dyDescent="0.5">
      <c r="D57" s="664"/>
      <c r="E57" s="664"/>
      <c r="F57" s="664"/>
      <c r="G57" s="664"/>
      <c r="H57" s="664"/>
      <c r="I57" s="664"/>
      <c r="J57" s="664"/>
      <c r="K57" s="664"/>
    </row>
    <row r="58" spans="4:11" x14ac:dyDescent="0.5">
      <c r="D58" s="664"/>
      <c r="E58" s="664"/>
      <c r="F58" s="664"/>
      <c r="G58" s="664"/>
      <c r="H58" s="664"/>
      <c r="I58" s="664"/>
      <c r="J58" s="664"/>
      <c r="K58" s="664"/>
    </row>
    <row r="59" spans="4:11" x14ac:dyDescent="0.5">
      <c r="D59" s="664"/>
      <c r="E59" s="664"/>
      <c r="F59" s="664"/>
      <c r="G59" s="664"/>
      <c r="H59" s="664"/>
      <c r="I59" s="664"/>
      <c r="J59" s="664"/>
      <c r="K59" s="664"/>
    </row>
    <row r="60" spans="4:11" x14ac:dyDescent="0.5">
      <c r="D60" s="664"/>
      <c r="E60" s="664"/>
      <c r="F60" s="664"/>
      <c r="G60" s="664"/>
      <c r="H60" s="664"/>
      <c r="I60" s="664"/>
      <c r="J60" s="664"/>
      <c r="K60" s="664"/>
    </row>
    <row r="61" spans="4:11" x14ac:dyDescent="0.5">
      <c r="D61" s="664"/>
      <c r="E61" s="664"/>
      <c r="F61" s="664"/>
      <c r="G61" s="664"/>
      <c r="H61" s="664"/>
      <c r="I61" s="664"/>
      <c r="J61" s="664"/>
      <c r="K61" s="664"/>
    </row>
    <row r="62" spans="4:11" x14ac:dyDescent="0.5">
      <c r="D62" s="664"/>
      <c r="E62" s="664"/>
      <c r="F62" s="664"/>
      <c r="G62" s="664"/>
      <c r="H62" s="664"/>
      <c r="I62" s="664"/>
      <c r="J62" s="664"/>
      <c r="K62" s="664"/>
    </row>
  </sheetData>
  <mergeCells count="18">
    <mergeCell ref="K5:L5"/>
    <mergeCell ref="B2:C4"/>
    <mergeCell ref="D2:I4"/>
    <mergeCell ref="J2:K2"/>
    <mergeCell ref="J3:K3"/>
    <mergeCell ref="J4:K4"/>
    <mergeCell ref="B8:L8"/>
    <mergeCell ref="D10:L10"/>
    <mergeCell ref="D11:L11"/>
    <mergeCell ref="D12:L12"/>
    <mergeCell ref="B15:C15"/>
    <mergeCell ref="J45:K62"/>
    <mergeCell ref="D31:E41"/>
    <mergeCell ref="F31:G41"/>
    <mergeCell ref="H31:I41"/>
    <mergeCell ref="D45:E62"/>
    <mergeCell ref="F45:G62"/>
    <mergeCell ref="H45:I62"/>
  </mergeCells>
  <printOptions horizontalCentered="1"/>
  <pageMargins left="0.2" right="0.2" top="0.75" bottom="0.75" header="0.3" footer="0.3"/>
  <pageSetup scale="42" fitToHeight="0" orientation="portrait" r:id="rId1"/>
  <headerFooter>
    <oddFooter>&amp;L&amp;"-,Regular"&amp;11&amp;F&amp;R&amp;"-,Regular"&amp;11ACS-SFM-CX-1016, Rev 0, 10-Oct-2022</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DFF8A-CC75-4262-90F3-7BFF69193467}">
  <sheetPr>
    <tabColor theme="9" tint="-0.249977111117893"/>
    <pageSetUpPr fitToPage="1"/>
  </sheetPr>
  <dimension ref="B1:L79"/>
  <sheetViews>
    <sheetView showGridLines="0" view="pageBreakPreview" topLeftCell="A4" zoomScale="85" zoomScaleNormal="85" zoomScaleSheetLayoutView="85" zoomScalePageLayoutView="70" workbookViewId="0">
      <selection activeCell="E9" sqref="E9"/>
    </sheetView>
  </sheetViews>
  <sheetFormatPr defaultColWidth="14.90625" defaultRowHeight="21" x14ac:dyDescent="0.5"/>
  <cols>
    <col min="1" max="1" width="2.54296875" style="178" customWidth="1"/>
    <col min="2" max="2" width="20.08984375" style="178" customWidth="1"/>
    <col min="3" max="3" width="31.54296875" style="178" customWidth="1"/>
    <col min="4" max="4" width="23.90625" style="178" customWidth="1"/>
    <col min="5" max="5" width="25.08984375" style="178" customWidth="1"/>
    <col min="6" max="6" width="20.54296875" style="178" customWidth="1"/>
    <col min="7" max="7" width="24.90625" style="178" customWidth="1"/>
    <col min="8" max="8" width="21.08984375" style="178" customWidth="1"/>
    <col min="9" max="9" width="21" style="178" customWidth="1"/>
    <col min="10" max="10" width="16.54296875" style="178" customWidth="1"/>
    <col min="11" max="11" width="16.90625" style="178" customWidth="1"/>
    <col min="12" max="12" width="20" style="178" customWidth="1"/>
    <col min="13" max="13" width="14.90625" style="178" customWidth="1"/>
    <col min="14" max="16384" width="14.90625" style="178"/>
  </cols>
  <sheetData>
    <row r="1" spans="2:12" ht="12" customHeight="1" thickBot="1" x14ac:dyDescent="0.55000000000000004"/>
    <row r="2" spans="2:12" x14ac:dyDescent="0.5">
      <c r="B2" s="609"/>
      <c r="C2" s="610"/>
      <c r="D2" s="615" t="s">
        <v>0</v>
      </c>
      <c r="E2" s="615"/>
      <c r="F2" s="615"/>
      <c r="G2" s="615"/>
      <c r="H2" s="615"/>
      <c r="I2" s="616"/>
      <c r="J2" s="621" t="s">
        <v>1</v>
      </c>
      <c r="K2" s="622"/>
      <c r="L2" s="179"/>
    </row>
    <row r="3" spans="2:12" ht="26.15" customHeight="1" x14ac:dyDescent="0.5">
      <c r="B3" s="611"/>
      <c r="C3" s="612"/>
      <c r="D3" s="617"/>
      <c r="E3" s="617"/>
      <c r="F3" s="617"/>
      <c r="G3" s="617"/>
      <c r="H3" s="617"/>
      <c r="I3" s="618"/>
      <c r="J3" s="623" t="s">
        <v>2</v>
      </c>
      <c r="K3" s="624"/>
      <c r="L3" s="180">
        <v>0</v>
      </c>
    </row>
    <row r="4" spans="2:12" ht="24.65" customHeight="1" thickBot="1" x14ac:dyDescent="0.55000000000000004">
      <c r="B4" s="613"/>
      <c r="C4" s="614"/>
      <c r="D4" s="619"/>
      <c r="E4" s="619"/>
      <c r="F4" s="619"/>
      <c r="G4" s="619"/>
      <c r="H4" s="619"/>
      <c r="I4" s="620"/>
      <c r="J4" s="625" t="s">
        <v>3</v>
      </c>
      <c r="K4" s="626"/>
      <c r="L4" s="181"/>
    </row>
    <row r="5" spans="2:12" ht="19.399999999999999" customHeight="1" thickBot="1" x14ac:dyDescent="0.55000000000000004">
      <c r="B5" s="182"/>
      <c r="C5" s="183"/>
      <c r="D5" s="183"/>
      <c r="J5" s="184"/>
      <c r="K5" s="627"/>
      <c r="L5" s="628"/>
    </row>
    <row r="6" spans="2:12" ht="24.65" customHeight="1" thickBot="1" x14ac:dyDescent="0.55000000000000004">
      <c r="B6" s="182"/>
      <c r="C6" s="183"/>
      <c r="D6" s="183"/>
      <c r="J6" s="184"/>
      <c r="K6" s="187" t="s">
        <v>4</v>
      </c>
      <c r="L6" s="188">
        <f>Safety!L6</f>
        <v>46035</v>
      </c>
    </row>
    <row r="7" spans="2:12" ht="15" customHeight="1" x14ac:dyDescent="0.5">
      <c r="B7" s="182"/>
      <c r="C7" s="183"/>
      <c r="D7" s="183"/>
      <c r="J7" s="184"/>
      <c r="K7" s="185"/>
      <c r="L7" s="186"/>
    </row>
    <row r="8" spans="2:12" s="189" customFormat="1" ht="22.65" customHeight="1" x14ac:dyDescent="0.4">
      <c r="B8" s="629" t="s">
        <v>139</v>
      </c>
      <c r="C8" s="630"/>
      <c r="D8" s="630"/>
      <c r="E8" s="630"/>
      <c r="F8" s="630"/>
      <c r="G8" s="630"/>
      <c r="H8" s="630"/>
      <c r="I8" s="630"/>
      <c r="J8" s="630"/>
      <c r="K8" s="630"/>
      <c r="L8" s="631"/>
    </row>
    <row r="9" spans="2:12" ht="22.65" customHeight="1" thickBot="1" x14ac:dyDescent="0.55000000000000004">
      <c r="B9" s="686"/>
      <c r="C9" s="688"/>
      <c r="D9" s="293"/>
      <c r="E9" s="293"/>
      <c r="F9" s="293"/>
      <c r="G9" s="293"/>
      <c r="H9" s="293"/>
      <c r="I9" s="237"/>
      <c r="J9" s="234"/>
      <c r="K9" s="234"/>
      <c r="L9" s="263"/>
    </row>
    <row r="10" spans="2:12" ht="21.5" thickBot="1" x14ac:dyDescent="0.55000000000000004">
      <c r="B10" s="294"/>
      <c r="C10" s="343" t="s">
        <v>140</v>
      </c>
      <c r="D10" s="343"/>
      <c r="E10" s="196" t="s">
        <v>141</v>
      </c>
      <c r="F10" s="197" t="s">
        <v>142</v>
      </c>
      <c r="G10" s="197" t="s">
        <v>143</v>
      </c>
      <c r="H10" s="197" t="s">
        <v>144</v>
      </c>
      <c r="I10" s="234"/>
      <c r="J10" s="234"/>
      <c r="K10" s="234"/>
      <c r="L10" s="263"/>
    </row>
    <row r="11" spans="2:12" ht="22.65" customHeight="1" thickBot="1" x14ac:dyDescent="0.55000000000000004">
      <c r="B11" s="294"/>
      <c r="C11" s="344" t="s">
        <v>145</v>
      </c>
      <c r="D11" s="345"/>
      <c r="E11" s="471">
        <f>IF('E&amp;H - Daily Report'!E137 = 0, "",'E&amp;H - Daily Report'!E137)</f>
        <v>84</v>
      </c>
      <c r="F11" s="473" t="str">
        <f>IF('E&amp;H - Daily Report'!F137 = 0, "",'E&amp;H - Daily Report'!F137)</f>
        <v/>
      </c>
      <c r="G11" s="472" t="str">
        <f>IF('E&amp;H - Daily Report'!G137 = 0, "",'E&amp;H - Daily Report'!G137)</f>
        <v/>
      </c>
      <c r="H11" s="472" t="str">
        <f>IF('E&amp;H - Daily Report'!H137 = 0, "",'E&amp;H - Daily Report'!H137)</f>
        <v/>
      </c>
      <c r="I11" s="234"/>
      <c r="J11" s="234"/>
      <c r="K11" s="234"/>
      <c r="L11" s="263"/>
    </row>
    <row r="12" spans="2:12" ht="22.65" customHeight="1" thickBot="1" x14ac:dyDescent="0.55000000000000004">
      <c r="B12" s="294"/>
      <c r="C12" s="348" t="s">
        <v>146</v>
      </c>
      <c r="D12" s="349"/>
      <c r="E12" s="471" t="s">
        <v>265</v>
      </c>
      <c r="F12" s="473" t="str">
        <f>IF('E&amp;H - Daily Report'!F138 = 0, "",'E&amp;H - Daily Report'!F138)</f>
        <v/>
      </c>
      <c r="G12" s="472" t="str">
        <f>IF('E&amp;H - Daily Report'!G138 = 0, "",'E&amp;H - Daily Report'!G138)</f>
        <v/>
      </c>
      <c r="H12" s="472" t="str">
        <f>IF('E&amp;H - Daily Report'!H138 = 0, "",'E&amp;H - Daily Report'!H138)</f>
        <v/>
      </c>
      <c r="I12" s="234"/>
      <c r="J12" s="234"/>
      <c r="K12" s="234"/>
      <c r="L12" s="263"/>
    </row>
    <row r="13" spans="2:12" ht="22.65" customHeight="1" thickBot="1" x14ac:dyDescent="0.55000000000000004">
      <c r="B13" s="294"/>
      <c r="C13" s="348" t="s">
        <v>147</v>
      </c>
      <c r="D13" s="349"/>
      <c r="E13" s="471" t="str">
        <f>IF('E&amp;H - Daily Report'!E139 = 0, "",'E&amp;H - Daily Report'!E139)</f>
        <v/>
      </c>
      <c r="F13" s="473" t="str">
        <f>IF('E&amp;H - Daily Report'!F139 = 0, "",'E&amp;H - Daily Report'!F139)</f>
        <v/>
      </c>
      <c r="G13" s="472" t="str">
        <f>IF('E&amp;H - Daily Report'!G139 = 0, "",'E&amp;H - Daily Report'!G139)</f>
        <v/>
      </c>
      <c r="H13" s="472" t="str">
        <f>IF('E&amp;H - Daily Report'!H139 = 0, "",'E&amp;H - Daily Report'!H139)</f>
        <v/>
      </c>
      <c r="I13" s="234"/>
      <c r="J13" s="234"/>
      <c r="K13" s="234"/>
      <c r="L13" s="263"/>
    </row>
    <row r="14" spans="2:12" ht="22.65" customHeight="1" thickBot="1" x14ac:dyDescent="0.55000000000000004">
      <c r="B14" s="294"/>
      <c r="C14" s="348" t="s">
        <v>148</v>
      </c>
      <c r="D14" s="349"/>
      <c r="E14" s="471" t="str">
        <f>IF('E&amp;H - Daily Report'!E140 = 0, "",'E&amp;H - Daily Report'!E140)</f>
        <v/>
      </c>
      <c r="F14" s="473" t="str">
        <f>IF('E&amp;H - Daily Report'!F140 = 0, "",'E&amp;H - Daily Report'!F140)</f>
        <v/>
      </c>
      <c r="G14" s="472" t="str">
        <f>IF('E&amp;H - Daily Report'!G140 = 0, "",'E&amp;H - Daily Report'!G140)</f>
        <v/>
      </c>
      <c r="H14" s="472" t="str">
        <f>IF('E&amp;H - Daily Report'!H140 = 0, "",'E&amp;H - Daily Report'!H140)</f>
        <v/>
      </c>
      <c r="I14" s="234"/>
      <c r="J14" s="234"/>
      <c r="K14" s="234"/>
      <c r="L14" s="263"/>
    </row>
    <row r="15" spans="2:12" ht="22.65" customHeight="1" thickBot="1" x14ac:dyDescent="0.55000000000000004">
      <c r="B15" s="294"/>
      <c r="C15" s="348" t="s">
        <v>149</v>
      </c>
      <c r="D15" s="349"/>
      <c r="E15" s="471" t="s">
        <v>265</v>
      </c>
      <c r="F15" s="473" t="str">
        <f>IF('E&amp;H - Daily Report'!F141 = 0, "",'E&amp;H - Daily Report'!F141)</f>
        <v/>
      </c>
      <c r="G15" s="472" t="str">
        <f>IF('E&amp;H - Daily Report'!G141 = 0, "",'E&amp;H - Daily Report'!G141)</f>
        <v/>
      </c>
      <c r="H15" s="472" t="str">
        <f>IF('E&amp;H - Daily Report'!H141 = 0, "",'E&amp;H - Daily Report'!H141)</f>
        <v/>
      </c>
      <c r="I15" s="234"/>
      <c r="J15" s="234"/>
      <c r="K15" s="234"/>
      <c r="L15" s="263"/>
    </row>
    <row r="16" spans="2:12" ht="22.65" customHeight="1" thickBot="1" x14ac:dyDescent="0.55000000000000004">
      <c r="B16" s="294"/>
      <c r="C16" s="348" t="s">
        <v>150</v>
      </c>
      <c r="D16" s="349"/>
      <c r="E16" s="471" t="str">
        <f>IF('E&amp;H - Daily Report'!E142 = 0, "",'E&amp;H - Daily Report'!E142)</f>
        <v/>
      </c>
      <c r="F16" s="473" t="str">
        <f>IF('E&amp;H - Daily Report'!F142 = 0, "",'E&amp;H - Daily Report'!F142)</f>
        <v/>
      </c>
      <c r="G16" s="472" t="str">
        <f>IF('E&amp;H - Daily Report'!G142 = 0, "",'E&amp;H - Daily Report'!G142)</f>
        <v/>
      </c>
      <c r="H16" s="472" t="str">
        <f>IF('E&amp;H - Daily Report'!H142 = 0, "",'E&amp;H - Daily Report'!H142)</f>
        <v/>
      </c>
      <c r="I16" s="234"/>
      <c r="J16" s="234"/>
      <c r="K16" s="234"/>
      <c r="L16" s="263"/>
    </row>
    <row r="17" spans="2:12" ht="22.65" customHeight="1" thickBot="1" x14ac:dyDescent="0.55000000000000004">
      <c r="B17" s="294"/>
      <c r="C17" s="348" t="s">
        <v>151</v>
      </c>
      <c r="D17" s="349"/>
      <c r="E17" s="471" t="str">
        <f>IF('E&amp;H - Daily Report'!E143 = 0, "",'E&amp;H - Daily Report'!E143)</f>
        <v/>
      </c>
      <c r="F17" s="473" t="str">
        <f>IF('E&amp;H - Daily Report'!F143 = 0, "",'E&amp;H - Daily Report'!F143)</f>
        <v/>
      </c>
      <c r="G17" s="472" t="str">
        <f>IF('E&amp;H - Daily Report'!G143 = 0, "",'E&amp;H - Daily Report'!G143)</f>
        <v/>
      </c>
      <c r="H17" s="472" t="str">
        <f>IF('E&amp;H - Daily Report'!H143 = 0, "",'E&amp;H - Daily Report'!H143)</f>
        <v/>
      </c>
      <c r="I17" s="234"/>
      <c r="J17" s="234"/>
      <c r="K17" s="234"/>
      <c r="L17" s="263"/>
    </row>
    <row r="18" spans="2:12" ht="22.65" customHeight="1" thickBot="1" x14ac:dyDescent="0.55000000000000004">
      <c r="B18" s="294"/>
      <c r="C18" s="348" t="s">
        <v>152</v>
      </c>
      <c r="D18" s="349"/>
      <c r="E18" s="471" t="str">
        <f>IF('E&amp;H - Daily Report'!E144 = 0, "",'E&amp;H - Daily Report'!E144)</f>
        <v/>
      </c>
      <c r="F18" s="473" t="str">
        <f>IF('E&amp;H - Daily Report'!F144 = 0, "",'E&amp;H - Daily Report'!F144)</f>
        <v/>
      </c>
      <c r="G18" s="472" t="str">
        <f>IF('E&amp;H - Daily Report'!G144 = 0, "",'E&amp;H - Daily Report'!G144)</f>
        <v/>
      </c>
      <c r="H18" s="472" t="str">
        <f>IF('E&amp;H - Daily Report'!H144 = 0, "",'E&amp;H - Daily Report'!H144)</f>
        <v/>
      </c>
      <c r="I18" s="234"/>
      <c r="J18" s="234"/>
      <c r="K18" s="234"/>
      <c r="L18" s="263"/>
    </row>
    <row r="19" spans="2:12" ht="22.65" customHeight="1" thickBot="1" x14ac:dyDescent="0.55000000000000004">
      <c r="B19" s="294"/>
      <c r="C19" s="348" t="s">
        <v>153</v>
      </c>
      <c r="D19" s="349"/>
      <c r="E19" s="471" t="str">
        <f>IF('E&amp;H - Daily Report'!E145 = 0, "",'E&amp;H - Daily Report'!E145)</f>
        <v/>
      </c>
      <c r="F19" s="473" t="str">
        <f>IF('E&amp;H - Daily Report'!F145 = 0, "",'E&amp;H - Daily Report'!F145)</f>
        <v/>
      </c>
      <c r="G19" s="472" t="str">
        <f>IF('E&amp;H - Daily Report'!G145 = 0, "",'E&amp;H - Daily Report'!G145)</f>
        <v/>
      </c>
      <c r="H19" s="472" t="str">
        <f>IF('E&amp;H - Daily Report'!H145 = 0, "",'E&amp;H - Daily Report'!H145)</f>
        <v/>
      </c>
      <c r="I19" s="234"/>
      <c r="J19" s="234"/>
      <c r="K19" s="234"/>
      <c r="L19" s="263"/>
    </row>
    <row r="20" spans="2:12" ht="22.65" customHeight="1" thickBot="1" x14ac:dyDescent="0.55000000000000004">
      <c r="B20" s="294"/>
      <c r="C20" s="348" t="s">
        <v>154</v>
      </c>
      <c r="D20" s="349"/>
      <c r="E20" s="471" t="str">
        <f>IF('E&amp;H - Daily Report'!E146 = 0, "",'E&amp;H - Daily Report'!E146)</f>
        <v/>
      </c>
      <c r="F20" s="473" t="str">
        <f>IF('E&amp;H - Daily Report'!F146 = 0, "",'E&amp;H - Daily Report'!F146)</f>
        <v/>
      </c>
      <c r="G20" s="472" t="str">
        <f>IF('E&amp;H - Daily Report'!G146 = 0, "",'E&amp;H - Daily Report'!G146)</f>
        <v/>
      </c>
      <c r="H20" s="472" t="str">
        <f>IF('E&amp;H - Daily Report'!H146 = 0, "",'E&amp;H - Daily Report'!H146)</f>
        <v/>
      </c>
      <c r="I20" s="234"/>
      <c r="J20" s="234"/>
      <c r="K20" s="234"/>
      <c r="L20" s="263"/>
    </row>
    <row r="21" spans="2:12" ht="22.65" customHeight="1" thickBot="1" x14ac:dyDescent="0.55000000000000004">
      <c r="B21" s="294"/>
      <c r="C21" s="348" t="s">
        <v>155</v>
      </c>
      <c r="D21" s="349"/>
      <c r="E21" s="471" t="str">
        <f>IF('E&amp;H - Daily Report'!E147 = 0, "",'E&amp;H - Daily Report'!E147)</f>
        <v/>
      </c>
      <c r="F21" s="473" t="str">
        <f>IF('E&amp;H - Daily Report'!F147 = 0, "",'E&amp;H - Daily Report'!F147)</f>
        <v/>
      </c>
      <c r="G21" s="472" t="str">
        <f>IF('E&amp;H - Daily Report'!G147 = 0, "",'E&amp;H - Daily Report'!G147)</f>
        <v/>
      </c>
      <c r="H21" s="472" t="str">
        <f>IF('E&amp;H - Daily Report'!H147 = 0, "",'E&amp;H - Daily Report'!H147)</f>
        <v/>
      </c>
      <c r="I21" s="234"/>
      <c r="J21" s="234"/>
      <c r="K21" s="234"/>
      <c r="L21" s="263"/>
    </row>
    <row r="22" spans="2:12" ht="22.65" customHeight="1" thickBot="1" x14ac:dyDescent="0.55000000000000004">
      <c r="B22" s="294"/>
      <c r="C22" s="348" t="s">
        <v>156</v>
      </c>
      <c r="D22" s="349"/>
      <c r="E22" s="471" t="str">
        <f>IF('E&amp;H - Daily Report'!E148 = 0, "",'E&amp;H - Daily Report'!E148)</f>
        <v/>
      </c>
      <c r="F22" s="473" t="str">
        <f>IF('E&amp;H - Daily Report'!F148 = 0, "",'E&amp;H - Daily Report'!F148)</f>
        <v/>
      </c>
      <c r="G22" s="472" t="str">
        <f>IF('E&amp;H - Daily Report'!G148 = 0, "",'E&amp;H - Daily Report'!G148)</f>
        <v/>
      </c>
      <c r="H22" s="472" t="str">
        <f>IF('E&amp;H - Daily Report'!H148 = 0, "",'E&amp;H - Daily Report'!H148)</f>
        <v/>
      </c>
      <c r="I22" s="234"/>
      <c r="J22" s="234"/>
      <c r="K22" s="234"/>
      <c r="L22" s="263"/>
    </row>
    <row r="23" spans="2:12" ht="22.65" customHeight="1" thickBot="1" x14ac:dyDescent="0.55000000000000004">
      <c r="B23" s="294"/>
      <c r="C23" s="348" t="s">
        <v>157</v>
      </c>
      <c r="D23" s="349"/>
      <c r="E23" s="471" t="str">
        <f>IF('E&amp;H - Daily Report'!E149 = 0, "",'E&amp;H - Daily Report'!E149)</f>
        <v/>
      </c>
      <c r="F23" s="473" t="str">
        <f>IF('E&amp;H - Daily Report'!F149 = 0, "",'E&amp;H - Daily Report'!F149)</f>
        <v/>
      </c>
      <c r="G23" s="472" t="str">
        <f>IF('E&amp;H - Daily Report'!G149 = 0, "",'E&amp;H - Daily Report'!G149)</f>
        <v/>
      </c>
      <c r="H23" s="472" t="str">
        <f>IF('E&amp;H - Daily Report'!H149 = 0, "",'E&amp;H - Daily Report'!H149)</f>
        <v/>
      </c>
      <c r="I23" s="234"/>
      <c r="J23" s="234"/>
      <c r="K23" s="234"/>
      <c r="L23" s="263"/>
    </row>
    <row r="24" spans="2:12" ht="22.65" customHeight="1" thickBot="1" x14ac:dyDescent="0.55000000000000004">
      <c r="B24" s="294"/>
      <c r="C24" s="348" t="s">
        <v>158</v>
      </c>
      <c r="D24" s="349"/>
      <c r="E24" s="471" t="str">
        <f>IF('E&amp;H - Daily Report'!E150 = 0, "",'E&amp;H - Daily Report'!E150)</f>
        <v/>
      </c>
      <c r="F24" s="473" t="str">
        <f>IF('E&amp;H - Daily Report'!F150 = 0, "",'E&amp;H - Daily Report'!F150)</f>
        <v/>
      </c>
      <c r="G24" s="472" t="str">
        <f>IF('E&amp;H - Daily Report'!G150 = 0, "",'E&amp;H - Daily Report'!G150)</f>
        <v/>
      </c>
      <c r="H24" s="472" t="str">
        <f>IF('E&amp;H - Daily Report'!H150 = 0, "",'E&amp;H - Daily Report'!H150)</f>
        <v/>
      </c>
      <c r="I24" s="234"/>
      <c r="J24" s="234"/>
      <c r="K24" s="234"/>
      <c r="L24" s="263"/>
    </row>
    <row r="25" spans="2:12" ht="22.65" customHeight="1" thickBot="1" x14ac:dyDescent="0.55000000000000004">
      <c r="B25" s="294"/>
      <c r="C25" s="348" t="s">
        <v>159</v>
      </c>
      <c r="D25" s="349"/>
      <c r="E25" s="471" t="str">
        <f>IF('E&amp;H - Daily Report'!E151 = 0, "",'E&amp;H - Daily Report'!E151)</f>
        <v/>
      </c>
      <c r="F25" s="473" t="str">
        <f>IF('E&amp;H - Daily Report'!F151 = 0, "",'E&amp;H - Daily Report'!F151)</f>
        <v/>
      </c>
      <c r="G25" s="472" t="str">
        <f>IF('E&amp;H - Daily Report'!G151 = 0, "",'E&amp;H - Daily Report'!G151)</f>
        <v/>
      </c>
      <c r="H25" s="472" t="str">
        <f>IF('E&amp;H - Daily Report'!H151 = 0, "",'E&amp;H - Daily Report'!H151)</f>
        <v/>
      </c>
      <c r="I25" s="234"/>
      <c r="J25" s="234"/>
      <c r="K25" s="234"/>
      <c r="L25" s="263"/>
    </row>
    <row r="26" spans="2:12" ht="22.65" customHeight="1" thickBot="1" x14ac:dyDescent="0.55000000000000004">
      <c r="B26" s="294"/>
      <c r="C26" s="348" t="s">
        <v>158</v>
      </c>
      <c r="D26" s="349"/>
      <c r="E26" s="471" t="str">
        <f>IF('E&amp;H - Daily Report'!E152 = 0, "",'E&amp;H - Daily Report'!E152)</f>
        <v>RPS / Contractor</v>
      </c>
      <c r="F26" s="473" t="str">
        <f>IF('E&amp;H - Daily Report'!F152 = 0, "",'E&amp;H - Daily Report'!F152)</f>
        <v>Qty</v>
      </c>
      <c r="G26" s="472" t="str">
        <f>IF('E&amp;H - Daily Report'!G152 = 0, "",'E&amp;H - Daily Report'!G152)</f>
        <v>On Rent Date</v>
      </c>
      <c r="H26" s="472" t="str">
        <f>IF('E&amp;H - Daily Report'!H152 = 0, "",'E&amp;H - Daily Report'!H152)</f>
        <v>On Rent Finish</v>
      </c>
      <c r="I26" s="234"/>
      <c r="J26" s="234"/>
      <c r="K26" s="234"/>
      <c r="L26" s="263"/>
    </row>
    <row r="27" spans="2:12" ht="22.65" customHeight="1" thickBot="1" x14ac:dyDescent="0.55000000000000004">
      <c r="B27" s="294"/>
      <c r="C27" s="348" t="s">
        <v>160</v>
      </c>
      <c r="D27" s="349"/>
      <c r="E27" s="471" t="s">
        <v>265</v>
      </c>
      <c r="F27" s="473" t="str">
        <f>IF('E&amp;H - Daily Report'!F153 = 0, "",'E&amp;H - Daily Report'!F153)</f>
        <v/>
      </c>
      <c r="G27" s="472" t="str">
        <f>IF('E&amp;H - Daily Report'!G153 = 0, "",'E&amp;H - Daily Report'!G153)</f>
        <v/>
      </c>
      <c r="H27" s="472" t="str">
        <f>IF('E&amp;H - Daily Report'!H153 = 0, "",'E&amp;H - Daily Report'!H153)</f>
        <v/>
      </c>
      <c r="I27" s="234"/>
      <c r="J27" s="234"/>
      <c r="K27" s="234"/>
      <c r="L27" s="263"/>
    </row>
    <row r="28" spans="2:12" ht="22.65" customHeight="1" thickBot="1" x14ac:dyDescent="0.55000000000000004">
      <c r="B28" s="294"/>
      <c r="C28" s="348" t="s">
        <v>161</v>
      </c>
      <c r="D28" s="349"/>
      <c r="E28" s="471" t="str">
        <f>IF('E&amp;H - Daily Report'!E154 = 0, "",'E&amp;H - Daily Report'!E154)</f>
        <v/>
      </c>
      <c r="F28" s="473">
        <f>IF('E&amp;H - Daily Report'!F154 = 0, "",'E&amp;H - Daily Report'!F154)</f>
        <v>1</v>
      </c>
      <c r="G28" s="472">
        <f>IF('E&amp;H - Daily Report'!G154 = 0, "",'E&amp;H - Daily Report'!G154)</f>
        <v>45950</v>
      </c>
      <c r="H28" s="472" t="str">
        <f>IF('E&amp;H - Daily Report'!H154 = 0, "",'E&amp;H - Daily Report'!H154)</f>
        <v/>
      </c>
      <c r="I28" s="234"/>
      <c r="J28" s="234"/>
      <c r="K28" s="234"/>
      <c r="L28" s="263"/>
    </row>
    <row r="29" spans="2:12" ht="22.65" customHeight="1" thickBot="1" x14ac:dyDescent="0.55000000000000004">
      <c r="B29" s="294"/>
      <c r="C29" s="348" t="s">
        <v>162</v>
      </c>
      <c r="D29" s="349"/>
      <c r="E29" s="471" t="str">
        <f>IF('E&amp;H - Daily Report'!E155 = 0, "",'E&amp;H - Daily Report'!E155)</f>
        <v/>
      </c>
      <c r="F29" s="473" t="str">
        <f>IF('E&amp;H - Daily Report'!F155 = 0, "",'E&amp;H - Daily Report'!F155)</f>
        <v/>
      </c>
      <c r="G29" s="472" t="str">
        <f>IF('E&amp;H - Daily Report'!G155 = 0, "",'E&amp;H - Daily Report'!G155)</f>
        <v/>
      </c>
      <c r="H29" s="472" t="str">
        <f>IF('E&amp;H - Daily Report'!H155 = 0, "",'E&amp;H - Daily Report'!H155)</f>
        <v/>
      </c>
      <c r="I29" s="234"/>
      <c r="J29" s="234"/>
      <c r="K29" s="234"/>
      <c r="L29" s="263"/>
    </row>
    <row r="30" spans="2:12" ht="22.65" customHeight="1" thickBot="1" x14ac:dyDescent="0.55000000000000004">
      <c r="B30" s="294"/>
      <c r="C30" s="348" t="s">
        <v>163</v>
      </c>
      <c r="D30" s="349"/>
      <c r="E30" s="471" t="str">
        <f>IF('E&amp;H - Daily Report'!E156 = 0, "",'E&amp;H - Daily Report'!E156)</f>
        <v/>
      </c>
      <c r="F30" s="473" t="str">
        <f>IF('E&amp;H - Daily Report'!F156 = 0, "",'E&amp;H - Daily Report'!F156)</f>
        <v/>
      </c>
      <c r="G30" s="472" t="str">
        <f>IF('E&amp;H - Daily Report'!G156 = 0, "",'E&amp;H - Daily Report'!G156)</f>
        <v/>
      </c>
      <c r="H30" s="472" t="str">
        <f>IF('E&amp;H - Daily Report'!H156 = 0, "",'E&amp;H - Daily Report'!H156)</f>
        <v/>
      </c>
      <c r="I30" s="234"/>
      <c r="J30" s="234"/>
      <c r="K30" s="234"/>
      <c r="L30" s="263"/>
    </row>
    <row r="31" spans="2:12" ht="22.65" customHeight="1" thickBot="1" x14ac:dyDescent="0.55000000000000004">
      <c r="B31" s="294"/>
      <c r="C31" s="348" t="s">
        <v>164</v>
      </c>
      <c r="D31" s="349"/>
      <c r="E31" s="471" t="str">
        <f>IF('E&amp;H - Daily Report'!E157 = 0, "",'E&amp;H - Daily Report'!E157)</f>
        <v/>
      </c>
      <c r="F31" s="473">
        <f>IF('E&amp;H - Daily Report'!F157 = 0, "",'E&amp;H - Daily Report'!F157)</f>
        <v>1</v>
      </c>
      <c r="G31" s="472">
        <f>IF('E&amp;H - Daily Report'!G157 = 0, "",'E&amp;H - Daily Report'!G157)</f>
        <v>45950</v>
      </c>
      <c r="H31" s="472" t="str">
        <f>IF('E&amp;H - Daily Report'!H157 = 0, "",'E&amp;H - Daily Report'!H157)</f>
        <v/>
      </c>
      <c r="I31" s="234"/>
      <c r="J31" s="234"/>
      <c r="K31" s="234"/>
      <c r="L31" s="263"/>
    </row>
    <row r="32" spans="2:12" ht="22.65" customHeight="1" thickBot="1" x14ac:dyDescent="0.55000000000000004">
      <c r="B32" s="294"/>
      <c r="C32" s="348" t="s">
        <v>165</v>
      </c>
      <c r="D32" s="349"/>
      <c r="E32" s="471" t="str">
        <f>IF('E&amp;H - Daily Report'!E158 = 0, "",'E&amp;H - Daily Report'!E158)</f>
        <v/>
      </c>
      <c r="F32" s="473" t="str">
        <f>IF('E&amp;H - Daily Report'!F158 = 0, "",'E&amp;H - Daily Report'!F158)</f>
        <v/>
      </c>
      <c r="G32" s="472" t="str">
        <f>IF('E&amp;H - Daily Report'!G158 = 0, "",'E&amp;H - Daily Report'!G158)</f>
        <v/>
      </c>
      <c r="H32" s="472" t="str">
        <f>IF('E&amp;H - Daily Report'!H158 = 0, "",'E&amp;H - Daily Report'!H158)</f>
        <v/>
      </c>
      <c r="I32" s="234"/>
      <c r="J32" s="234"/>
      <c r="K32" s="234"/>
      <c r="L32" s="263"/>
    </row>
    <row r="33" spans="2:12" ht="22.65" customHeight="1" thickBot="1" x14ac:dyDescent="0.55000000000000004">
      <c r="B33" s="294"/>
      <c r="C33" s="348" t="s">
        <v>166</v>
      </c>
      <c r="D33" s="349"/>
      <c r="E33" s="471" t="s">
        <v>265</v>
      </c>
      <c r="F33" s="473" t="str">
        <f>IF('E&amp;H - Daily Report'!F159 = 0, "",'E&amp;H - Daily Report'!F159)</f>
        <v/>
      </c>
      <c r="G33" s="472" t="str">
        <f>IF('E&amp;H - Daily Report'!G159 = 0, "",'E&amp;H - Daily Report'!G159)</f>
        <v/>
      </c>
      <c r="H33" s="472" t="str">
        <f>IF('E&amp;H - Daily Report'!H159 = 0, "",'E&amp;H - Daily Report'!H159)</f>
        <v/>
      </c>
      <c r="I33" s="234"/>
      <c r="J33" s="234"/>
      <c r="K33" s="234"/>
      <c r="L33" s="263"/>
    </row>
    <row r="34" spans="2:12" ht="22.65" customHeight="1" thickBot="1" x14ac:dyDescent="0.55000000000000004">
      <c r="B34" s="294"/>
      <c r="C34" s="348" t="s">
        <v>167</v>
      </c>
      <c r="D34" s="349"/>
      <c r="E34" s="471" t="str">
        <f>IF('E&amp;H - Daily Report'!E160 = 0, "",'E&amp;H - Daily Report'!E160)</f>
        <v/>
      </c>
      <c r="F34" s="473" t="str">
        <f>IF('E&amp;H - Daily Report'!F160 = 0, "",'E&amp;H - Daily Report'!F160)</f>
        <v/>
      </c>
      <c r="G34" s="472" t="str">
        <f>IF('E&amp;H - Daily Report'!G160 = 0, "",'E&amp;H - Daily Report'!G160)</f>
        <v/>
      </c>
      <c r="H34" s="472" t="str">
        <f>IF('E&amp;H - Daily Report'!H160 = 0, "",'E&amp;H - Daily Report'!H160)</f>
        <v/>
      </c>
      <c r="I34" s="234"/>
      <c r="J34" s="234"/>
      <c r="K34" s="234"/>
      <c r="L34" s="263"/>
    </row>
    <row r="35" spans="2:12" ht="22.65" customHeight="1" thickBot="1" x14ac:dyDescent="0.55000000000000004">
      <c r="B35" s="294"/>
      <c r="C35" s="348" t="s">
        <v>168</v>
      </c>
      <c r="D35" s="349"/>
      <c r="E35" s="471" t="str">
        <f>IF('E&amp;H - Daily Report'!E161 = 0, "",'E&amp;H - Daily Report'!E161)</f>
        <v/>
      </c>
      <c r="F35" s="473" t="str">
        <f>IF('E&amp;H - Daily Report'!F161 = 0, "",'E&amp;H - Daily Report'!F161)</f>
        <v/>
      </c>
      <c r="G35" s="472" t="str">
        <f>IF('E&amp;H - Daily Report'!G161 = 0, "",'E&amp;H - Daily Report'!G161)</f>
        <v/>
      </c>
      <c r="H35" s="472" t="str">
        <f>IF('E&amp;H - Daily Report'!H161 = 0, "",'E&amp;H - Daily Report'!H161)</f>
        <v/>
      </c>
      <c r="I35" s="234"/>
      <c r="J35" s="234"/>
      <c r="K35" s="234"/>
      <c r="L35" s="263"/>
    </row>
    <row r="36" spans="2:12" ht="22.65" customHeight="1" thickBot="1" x14ac:dyDescent="0.55000000000000004">
      <c r="B36" s="294"/>
      <c r="C36" s="348" t="s">
        <v>169</v>
      </c>
      <c r="D36" s="349"/>
      <c r="E36" s="471" t="str">
        <f>IF('E&amp;H - Daily Report'!E162 = 0, "",'E&amp;H - Daily Report'!E162)</f>
        <v/>
      </c>
      <c r="F36" s="473" t="str">
        <f>IF('E&amp;H - Daily Report'!F162 = 0, "",'E&amp;H - Daily Report'!F162)</f>
        <v/>
      </c>
      <c r="G36" s="472" t="str">
        <f>IF('E&amp;H - Daily Report'!G162 = 0, "",'E&amp;H - Daily Report'!G162)</f>
        <v/>
      </c>
      <c r="H36" s="472" t="str">
        <f>IF('E&amp;H - Daily Report'!H162 = 0, "",'E&amp;H - Daily Report'!H162)</f>
        <v/>
      </c>
      <c r="I36" s="234"/>
      <c r="J36" s="234"/>
      <c r="K36" s="234"/>
      <c r="L36" s="263"/>
    </row>
    <row r="37" spans="2:12" ht="22.65" customHeight="1" thickBot="1" x14ac:dyDescent="0.55000000000000004">
      <c r="B37" s="294"/>
      <c r="C37" s="350" t="s">
        <v>170</v>
      </c>
      <c r="D37" s="349"/>
      <c r="E37" s="471" t="s">
        <v>265</v>
      </c>
      <c r="F37" s="473" t="str">
        <f>IF('E&amp;H - Daily Report'!F163 = 0, "",'E&amp;H - Daily Report'!F163)</f>
        <v/>
      </c>
      <c r="G37" s="472" t="str">
        <f>IF('E&amp;H - Daily Report'!G163 = 0, "",'E&amp;H - Daily Report'!G163)</f>
        <v/>
      </c>
      <c r="H37" s="472" t="str">
        <f>IF('E&amp;H - Daily Report'!H163 = 0, "",'E&amp;H - Daily Report'!H163)</f>
        <v/>
      </c>
      <c r="I37" s="234"/>
      <c r="J37" s="234"/>
      <c r="K37" s="234"/>
      <c r="L37" s="263"/>
    </row>
    <row r="38" spans="2:12" ht="22.65" customHeight="1" thickBot="1" x14ac:dyDescent="0.55000000000000004">
      <c r="B38" s="294"/>
      <c r="C38" s="350" t="s">
        <v>171</v>
      </c>
      <c r="D38" s="349"/>
      <c r="E38" s="471" t="s">
        <v>265</v>
      </c>
      <c r="F38" s="473" t="str">
        <f>IF('E&amp;H - Daily Report'!F164 = 0, "",'E&amp;H - Daily Report'!F164)</f>
        <v/>
      </c>
      <c r="G38" s="472" t="str">
        <f>IF('E&amp;H - Daily Report'!G164 = 0, "",'E&amp;H - Daily Report'!G164)</f>
        <v/>
      </c>
      <c r="H38" s="472" t="str">
        <f>IF('E&amp;H - Daily Report'!H164 = 0, "",'E&amp;H - Daily Report'!H164)</f>
        <v/>
      </c>
      <c r="I38" s="234"/>
      <c r="J38" s="234"/>
      <c r="K38" s="234"/>
      <c r="L38" s="263"/>
    </row>
    <row r="39" spans="2:12" ht="22.65" customHeight="1" thickBot="1" x14ac:dyDescent="0.55000000000000004">
      <c r="B39" s="294"/>
      <c r="C39" s="350" t="s">
        <v>172</v>
      </c>
      <c r="D39" s="349"/>
      <c r="E39" s="471" t="s">
        <v>265</v>
      </c>
      <c r="F39" s="473" t="str">
        <f>IF('E&amp;H - Daily Report'!F165 = 0, "",'E&amp;H - Daily Report'!F165)</f>
        <v/>
      </c>
      <c r="G39" s="472" t="str">
        <f>IF('E&amp;H - Daily Report'!G165 = 0, "",'E&amp;H - Daily Report'!G165)</f>
        <v/>
      </c>
      <c r="H39" s="472" t="str">
        <f>IF('E&amp;H - Daily Report'!H165 = 0, "",'E&amp;H - Daily Report'!H165)</f>
        <v/>
      </c>
      <c r="I39" s="234"/>
      <c r="J39" s="234"/>
      <c r="K39" s="234"/>
      <c r="L39" s="263"/>
    </row>
    <row r="40" spans="2:12" ht="22.65" customHeight="1" thickBot="1" x14ac:dyDescent="0.55000000000000004">
      <c r="B40" s="294"/>
      <c r="C40" s="350" t="s">
        <v>173</v>
      </c>
      <c r="D40" s="349"/>
      <c r="E40" s="471" t="s">
        <v>265</v>
      </c>
      <c r="F40" s="473" t="str">
        <f>IF('E&amp;H - Daily Report'!F166 = 0, "",'E&amp;H - Daily Report'!F166)</f>
        <v/>
      </c>
      <c r="G40" s="472" t="str">
        <f>IF('E&amp;H - Daily Report'!G166 = 0, "",'E&amp;H - Daily Report'!G166)</f>
        <v/>
      </c>
      <c r="H40" s="472" t="str">
        <f>IF('E&amp;H - Daily Report'!H166 = 0, "",'E&amp;H - Daily Report'!H166)</f>
        <v/>
      </c>
      <c r="I40" s="234"/>
      <c r="J40" s="234"/>
      <c r="K40" s="234"/>
      <c r="L40" s="263"/>
    </row>
    <row r="41" spans="2:12" ht="22.65" customHeight="1" thickBot="1" x14ac:dyDescent="0.55000000000000004">
      <c r="B41" s="294"/>
      <c r="C41" s="350" t="s">
        <v>174</v>
      </c>
      <c r="D41" s="349"/>
      <c r="E41" s="471" t="s">
        <v>265</v>
      </c>
      <c r="F41" s="473" t="str">
        <f>IF('E&amp;H - Daily Report'!F167 = 0, "",'E&amp;H - Daily Report'!F167)</f>
        <v/>
      </c>
      <c r="G41" s="472" t="str">
        <f>IF('E&amp;H - Daily Report'!G167 = 0, "",'E&amp;H - Daily Report'!G167)</f>
        <v/>
      </c>
      <c r="H41" s="472" t="str">
        <f>IF('E&amp;H - Daily Report'!H167 = 0, "",'E&amp;H - Daily Report'!H167)</f>
        <v/>
      </c>
      <c r="I41" s="234"/>
      <c r="J41" s="234"/>
      <c r="K41" s="234"/>
      <c r="L41" s="263"/>
    </row>
    <row r="42" spans="2:12" ht="22.65" customHeight="1" thickBot="1" x14ac:dyDescent="0.55000000000000004">
      <c r="B42" s="294"/>
      <c r="C42" s="350" t="s">
        <v>175</v>
      </c>
      <c r="D42" s="349"/>
      <c r="E42" s="471" t="s">
        <v>265</v>
      </c>
      <c r="F42" s="473" t="str">
        <f>IF('E&amp;H - Daily Report'!F168 = 0, "",'E&amp;H - Daily Report'!F168)</f>
        <v/>
      </c>
      <c r="G42" s="472" t="str">
        <f>IF('E&amp;H - Daily Report'!G168 = 0, "",'E&amp;H - Daily Report'!G168)</f>
        <v/>
      </c>
      <c r="H42" s="472" t="str">
        <f>IF('E&amp;H - Daily Report'!H168 = 0, "",'E&amp;H - Daily Report'!H168)</f>
        <v/>
      </c>
      <c r="I42" s="234"/>
      <c r="J42" s="234"/>
      <c r="K42" s="234"/>
      <c r="L42" s="263"/>
    </row>
    <row r="43" spans="2:12" ht="22.65" customHeight="1" thickBot="1" x14ac:dyDescent="0.55000000000000004">
      <c r="B43" s="294"/>
      <c r="C43" s="351" t="s">
        <v>176</v>
      </c>
      <c r="D43" s="352"/>
      <c r="E43" s="471" t="s">
        <v>265</v>
      </c>
      <c r="F43" s="473">
        <f>IF('E&amp;H - Daily Report'!F169 = 0, "",'E&amp;H - Daily Report'!F169)</f>
        <v>1</v>
      </c>
      <c r="G43" s="472">
        <f>IF('E&amp;H - Daily Report'!G169 = 0, "",'E&amp;H - Daily Report'!G169)</f>
        <v>45951</v>
      </c>
      <c r="H43" s="472" t="str">
        <f>IF('E&amp;H - Daily Report'!H169 = 0, "",'E&amp;H - Daily Report'!H169)</f>
        <v/>
      </c>
      <c r="I43" s="234"/>
      <c r="J43" s="234"/>
      <c r="K43" s="234"/>
      <c r="L43" s="263"/>
    </row>
    <row r="44" spans="2:12" ht="22.65" customHeight="1" thickBot="1" x14ac:dyDescent="0.55000000000000004">
      <c r="B44" s="294"/>
      <c r="C44" s="351" t="s">
        <v>170</v>
      </c>
      <c r="D44" s="352"/>
      <c r="E44" s="471" t="s">
        <v>265</v>
      </c>
      <c r="F44" s="473" t="str">
        <f>IF('E&amp;H - Daily Report'!F170 = 0, "",'E&amp;H - Daily Report'!F170)</f>
        <v/>
      </c>
      <c r="G44" s="472" t="str">
        <f>IF('E&amp;H - Daily Report'!G170 = 0, "",'E&amp;H - Daily Report'!G170)</f>
        <v/>
      </c>
      <c r="H44" s="472" t="str">
        <f>IF('E&amp;H - Daily Report'!H170 = 0, "",'E&amp;H - Daily Report'!H170)</f>
        <v/>
      </c>
      <c r="I44" s="234"/>
      <c r="J44" s="234"/>
      <c r="K44" s="234"/>
      <c r="L44" s="263"/>
    </row>
    <row r="45" spans="2:12" ht="22.65" customHeight="1" thickBot="1" x14ac:dyDescent="0.55000000000000004">
      <c r="B45" s="294"/>
      <c r="C45" s="351" t="s">
        <v>170</v>
      </c>
      <c r="D45" s="352"/>
      <c r="E45" s="471" t="s">
        <v>265</v>
      </c>
      <c r="F45" s="473" t="str">
        <f>IF('E&amp;H - Daily Report'!F171 = 0, "",'E&amp;H - Daily Report'!F171)</f>
        <v/>
      </c>
      <c r="G45" s="472" t="str">
        <f>IF('E&amp;H - Daily Report'!G171 = 0, "",'E&amp;H - Daily Report'!G171)</f>
        <v/>
      </c>
      <c r="H45" s="472" t="str">
        <f>IF('E&amp;H - Daily Report'!H171 = 0, "",'E&amp;H - Daily Report'!H171)</f>
        <v/>
      </c>
      <c r="I45" s="234"/>
      <c r="J45" s="234"/>
      <c r="K45" s="234"/>
      <c r="L45" s="263"/>
    </row>
    <row r="46" spans="2:12" ht="22.65" customHeight="1" thickBot="1" x14ac:dyDescent="0.55000000000000004">
      <c r="B46" s="294"/>
      <c r="C46" s="353" t="s">
        <v>177</v>
      </c>
      <c r="D46" s="354"/>
      <c r="E46" s="471" t="s">
        <v>265</v>
      </c>
      <c r="F46" s="473" t="str">
        <f>IF('E&amp;H - Daily Report'!F172 = 0, "",'E&amp;H - Daily Report'!F172)</f>
        <v/>
      </c>
      <c r="G46" s="472" t="str">
        <f>IF('E&amp;H - Daily Report'!G172 = 0, "",'E&amp;H - Daily Report'!G172)</f>
        <v/>
      </c>
      <c r="H46" s="472" t="str">
        <f>IF('E&amp;H - Daily Report'!H172 = 0, "",'E&amp;H - Daily Report'!H172)</f>
        <v/>
      </c>
      <c r="I46" s="234"/>
      <c r="J46" s="234"/>
      <c r="K46" s="234"/>
      <c r="L46" s="263"/>
    </row>
    <row r="47" spans="2:12" x14ac:dyDescent="0.5">
      <c r="B47" s="401"/>
      <c r="D47" s="403"/>
      <c r="E47" s="403"/>
      <c r="F47" s="403"/>
      <c r="G47" s="403"/>
      <c r="H47" s="403"/>
      <c r="I47" s="403"/>
      <c r="J47" s="403"/>
      <c r="K47" s="403"/>
      <c r="L47" s="402"/>
    </row>
    <row r="48" spans="2:12" x14ac:dyDescent="0.5">
      <c r="B48" s="401"/>
      <c r="D48" s="403"/>
      <c r="E48" s="403"/>
      <c r="F48" s="403"/>
      <c r="G48" s="403"/>
      <c r="H48" s="403"/>
      <c r="I48" s="403"/>
      <c r="J48" s="403"/>
      <c r="K48" s="403"/>
      <c r="L48" s="402"/>
    </row>
    <row r="49" spans="2:12" ht="21.5" thickBot="1" x14ac:dyDescent="0.55000000000000004">
      <c r="B49" s="435"/>
      <c r="C49" s="436"/>
      <c r="D49" s="430"/>
      <c r="E49" s="430"/>
      <c r="F49" s="430"/>
      <c r="G49" s="430"/>
      <c r="H49" s="430"/>
      <c r="I49" s="430"/>
      <c r="J49" s="430"/>
      <c r="K49" s="430"/>
      <c r="L49" s="406"/>
    </row>
    <row r="50" spans="2:12" x14ac:dyDescent="0.5">
      <c r="D50" s="403"/>
      <c r="E50" s="403"/>
      <c r="F50" s="403"/>
      <c r="G50" s="403"/>
      <c r="H50" s="403"/>
      <c r="I50" s="403"/>
      <c r="J50" s="403"/>
      <c r="K50" s="403"/>
    </row>
    <row r="51" spans="2:12" x14ac:dyDescent="0.5">
      <c r="D51" s="403"/>
      <c r="E51" s="403"/>
      <c r="F51" s="403"/>
      <c r="G51" s="403"/>
      <c r="H51" s="403"/>
      <c r="I51" s="403"/>
      <c r="J51" s="403"/>
      <c r="K51" s="403"/>
    </row>
    <row r="52" spans="2:12" x14ac:dyDescent="0.5">
      <c r="D52" s="403"/>
      <c r="E52" s="403"/>
      <c r="F52" s="403"/>
      <c r="G52" s="403"/>
      <c r="H52" s="403"/>
      <c r="I52" s="403"/>
      <c r="J52" s="403"/>
      <c r="K52" s="403"/>
    </row>
    <row r="53" spans="2:12" x14ac:dyDescent="0.5">
      <c r="D53" s="403"/>
      <c r="E53" s="403"/>
      <c r="F53" s="403"/>
      <c r="G53" s="403"/>
      <c r="H53" s="403"/>
      <c r="I53" s="403"/>
      <c r="J53" s="403"/>
      <c r="K53" s="403"/>
    </row>
    <row r="54" spans="2:12" x14ac:dyDescent="0.5">
      <c r="D54" s="403"/>
      <c r="E54" s="403"/>
      <c r="F54" s="403"/>
      <c r="G54" s="403"/>
      <c r="H54" s="403"/>
      <c r="I54" s="403"/>
      <c r="J54" s="403"/>
      <c r="K54" s="403"/>
    </row>
    <row r="55" spans="2:12" x14ac:dyDescent="0.5">
      <c r="D55" s="403"/>
      <c r="E55" s="403"/>
      <c r="F55" s="403"/>
      <c r="G55" s="403"/>
      <c r="H55" s="403"/>
      <c r="I55" s="403"/>
      <c r="J55" s="403"/>
      <c r="K55" s="403"/>
    </row>
    <row r="56" spans="2:12" x14ac:dyDescent="0.5">
      <c r="D56" s="403"/>
      <c r="E56" s="403"/>
      <c r="F56" s="403"/>
      <c r="G56" s="403"/>
      <c r="H56" s="403"/>
      <c r="I56" s="403"/>
      <c r="J56" s="403"/>
      <c r="K56" s="403"/>
    </row>
    <row r="57" spans="2:12" x14ac:dyDescent="0.5">
      <c r="D57" s="403"/>
      <c r="E57" s="403"/>
      <c r="F57" s="403"/>
      <c r="G57" s="403"/>
      <c r="H57" s="403"/>
      <c r="I57" s="403"/>
      <c r="J57" s="403"/>
      <c r="K57" s="403"/>
    </row>
    <row r="58" spans="2:12" x14ac:dyDescent="0.5">
      <c r="D58" s="403"/>
      <c r="E58" s="403"/>
      <c r="F58" s="403"/>
      <c r="G58" s="403"/>
      <c r="H58" s="403"/>
      <c r="I58" s="403"/>
      <c r="J58" s="403"/>
      <c r="K58" s="403"/>
    </row>
    <row r="59" spans="2:12" x14ac:dyDescent="0.5">
      <c r="D59" s="403"/>
      <c r="E59" s="403"/>
      <c r="F59" s="403"/>
      <c r="G59" s="403"/>
      <c r="H59" s="403"/>
      <c r="I59" s="403"/>
      <c r="J59" s="403"/>
      <c r="K59" s="403"/>
    </row>
    <row r="60" spans="2:12" x14ac:dyDescent="0.5">
      <c r="D60" s="403"/>
      <c r="E60" s="403"/>
      <c r="F60" s="403"/>
      <c r="G60" s="403"/>
      <c r="H60" s="403"/>
      <c r="I60" s="403"/>
      <c r="J60" s="403"/>
      <c r="K60" s="403"/>
    </row>
    <row r="61" spans="2:12" x14ac:dyDescent="0.5">
      <c r="D61" s="403"/>
      <c r="E61" s="403"/>
      <c r="F61" s="403"/>
      <c r="G61" s="403"/>
      <c r="H61" s="403"/>
      <c r="I61" s="403"/>
      <c r="J61" s="403"/>
      <c r="K61" s="403"/>
    </row>
    <row r="62" spans="2:12" x14ac:dyDescent="0.5">
      <c r="D62" s="664"/>
      <c r="E62" s="664"/>
      <c r="F62" s="664"/>
      <c r="G62" s="664"/>
      <c r="H62" s="664"/>
      <c r="I62" s="664"/>
      <c r="J62" s="664"/>
      <c r="K62" s="664"/>
    </row>
    <row r="63" spans="2:12" x14ac:dyDescent="0.5">
      <c r="D63" s="664"/>
      <c r="E63" s="664"/>
      <c r="F63" s="664"/>
      <c r="G63" s="664"/>
      <c r="H63" s="664"/>
      <c r="I63" s="664"/>
      <c r="J63" s="664"/>
      <c r="K63" s="664"/>
    </row>
    <row r="64" spans="2:12" x14ac:dyDescent="0.5">
      <c r="D64" s="664"/>
      <c r="E64" s="664"/>
      <c r="F64" s="664"/>
      <c r="G64" s="664"/>
      <c r="H64" s="664"/>
      <c r="I64" s="664"/>
      <c r="J64" s="664"/>
      <c r="K64" s="664"/>
    </row>
    <row r="65" spans="4:11" x14ac:dyDescent="0.5">
      <c r="D65" s="664"/>
      <c r="E65" s="664"/>
      <c r="F65" s="664"/>
      <c r="G65" s="664"/>
      <c r="H65" s="664"/>
      <c r="I65" s="664"/>
      <c r="J65" s="664"/>
      <c r="K65" s="664"/>
    </row>
    <row r="66" spans="4:11" x14ac:dyDescent="0.5">
      <c r="D66" s="664"/>
      <c r="E66" s="664"/>
      <c r="F66" s="664"/>
      <c r="G66" s="664"/>
      <c r="H66" s="664"/>
      <c r="I66" s="664"/>
      <c r="J66" s="664"/>
      <c r="K66" s="664"/>
    </row>
    <row r="67" spans="4:11" x14ac:dyDescent="0.5">
      <c r="D67" s="664"/>
      <c r="E67" s="664"/>
      <c r="F67" s="664"/>
      <c r="G67" s="664"/>
      <c r="H67" s="664"/>
      <c r="I67" s="664"/>
      <c r="J67" s="664"/>
      <c r="K67" s="664"/>
    </row>
    <row r="68" spans="4:11" x14ac:dyDescent="0.5">
      <c r="D68" s="664"/>
      <c r="E68" s="664"/>
      <c r="F68" s="664"/>
      <c r="G68" s="664"/>
      <c r="H68" s="664"/>
      <c r="I68" s="664"/>
      <c r="J68" s="664"/>
      <c r="K68" s="664"/>
    </row>
    <row r="69" spans="4:11" x14ac:dyDescent="0.5">
      <c r="D69" s="664"/>
      <c r="E69" s="664"/>
      <c r="F69" s="664"/>
      <c r="G69" s="664"/>
      <c r="H69" s="664"/>
      <c r="I69" s="664"/>
      <c r="J69" s="664"/>
      <c r="K69" s="664"/>
    </row>
    <row r="70" spans="4:11" x14ac:dyDescent="0.5">
      <c r="D70" s="664"/>
      <c r="E70" s="664"/>
      <c r="F70" s="664"/>
      <c r="G70" s="664"/>
      <c r="H70" s="664"/>
      <c r="I70" s="664"/>
      <c r="J70" s="664"/>
      <c r="K70" s="664"/>
    </row>
    <row r="71" spans="4:11" x14ac:dyDescent="0.5">
      <c r="D71" s="664"/>
      <c r="E71" s="664"/>
      <c r="F71" s="664"/>
      <c r="G71" s="664"/>
      <c r="H71" s="664"/>
      <c r="I71" s="664"/>
      <c r="J71" s="664"/>
      <c r="K71" s="664"/>
    </row>
    <row r="72" spans="4:11" x14ac:dyDescent="0.5">
      <c r="D72" s="664"/>
      <c r="E72" s="664"/>
      <c r="F72" s="664"/>
      <c r="G72" s="664"/>
      <c r="H72" s="664"/>
      <c r="I72" s="664"/>
      <c r="J72" s="664"/>
      <c r="K72" s="664"/>
    </row>
    <row r="73" spans="4:11" x14ac:dyDescent="0.5">
      <c r="D73" s="664"/>
      <c r="E73" s="664"/>
      <c r="F73" s="664"/>
      <c r="G73" s="664"/>
      <c r="H73" s="664"/>
      <c r="I73" s="664"/>
      <c r="J73" s="664"/>
      <c r="K73" s="664"/>
    </row>
    <row r="74" spans="4:11" x14ac:dyDescent="0.5">
      <c r="D74" s="664"/>
      <c r="E74" s="664"/>
      <c r="F74" s="664"/>
      <c r="G74" s="664"/>
      <c r="H74" s="664"/>
      <c r="I74" s="664"/>
      <c r="J74" s="664"/>
      <c r="K74" s="664"/>
    </row>
    <row r="75" spans="4:11" x14ac:dyDescent="0.5">
      <c r="D75" s="664"/>
      <c r="E75" s="664"/>
      <c r="F75" s="664"/>
      <c r="G75" s="664"/>
      <c r="H75" s="664"/>
      <c r="I75" s="664"/>
      <c r="J75" s="664"/>
      <c r="K75" s="664"/>
    </row>
    <row r="76" spans="4:11" x14ac:dyDescent="0.5">
      <c r="D76" s="664"/>
      <c r="E76" s="664"/>
      <c r="F76" s="664"/>
      <c r="G76" s="664"/>
      <c r="H76" s="664"/>
      <c r="I76" s="664"/>
      <c r="J76" s="664"/>
      <c r="K76" s="664"/>
    </row>
    <row r="77" spans="4:11" x14ac:dyDescent="0.5">
      <c r="D77" s="664"/>
      <c r="E77" s="664"/>
      <c r="F77" s="664"/>
      <c r="G77" s="664"/>
      <c r="H77" s="664"/>
      <c r="I77" s="664"/>
      <c r="J77" s="664"/>
      <c r="K77" s="664"/>
    </row>
    <row r="78" spans="4:11" x14ac:dyDescent="0.5">
      <c r="D78" s="664"/>
      <c r="E78" s="664"/>
      <c r="F78" s="664"/>
      <c r="G78" s="664"/>
      <c r="H78" s="664"/>
      <c r="I78" s="664"/>
      <c r="J78" s="664"/>
      <c r="K78" s="664"/>
    </row>
    <row r="79" spans="4:11" x14ac:dyDescent="0.5">
      <c r="D79" s="664"/>
      <c r="E79" s="664"/>
      <c r="F79" s="664"/>
      <c r="G79" s="664"/>
      <c r="H79" s="664"/>
      <c r="I79" s="664"/>
      <c r="J79" s="664"/>
      <c r="K79" s="664"/>
    </row>
  </sheetData>
  <mergeCells count="12">
    <mergeCell ref="K5:L5"/>
    <mergeCell ref="B2:C4"/>
    <mergeCell ref="D2:I4"/>
    <mergeCell ref="J2:K2"/>
    <mergeCell ref="J3:K3"/>
    <mergeCell ref="J4:K4"/>
    <mergeCell ref="J62:K79"/>
    <mergeCell ref="D62:E79"/>
    <mergeCell ref="F62:G79"/>
    <mergeCell ref="H62:I79"/>
    <mergeCell ref="B8:L8"/>
    <mergeCell ref="B9:C9"/>
  </mergeCells>
  <printOptions horizontalCentered="1"/>
  <pageMargins left="0.2" right="0.2" top="0.75" bottom="0.75" header="0.3" footer="0.3"/>
  <pageSetup scale="42" fitToHeight="0" orientation="portrait" r:id="rId1"/>
  <headerFooter>
    <oddFooter>&amp;L&amp;"-,Regular"&amp;11&amp;F&amp;R&amp;"-,Regular"&amp;11ACS-SFM-CX-1016, Rev 0, 10-Oct-2022</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A8B76-2C39-4B2D-9D24-F76417428F86}">
  <sheetPr>
    <tabColor theme="9" tint="-0.249977111117893"/>
    <pageSetUpPr fitToPage="1"/>
  </sheetPr>
  <dimension ref="B1:L45"/>
  <sheetViews>
    <sheetView showGridLines="0" view="pageBreakPreview" zoomScale="70" zoomScaleNormal="85" zoomScaleSheetLayoutView="70" zoomScalePageLayoutView="70" workbookViewId="0">
      <selection activeCell="J15" sqref="J15"/>
    </sheetView>
  </sheetViews>
  <sheetFormatPr defaultColWidth="14.90625" defaultRowHeight="21" x14ac:dyDescent="0.5"/>
  <cols>
    <col min="1" max="1" width="2.54296875" style="178" customWidth="1"/>
    <col min="2" max="2" width="20.08984375" style="178" customWidth="1"/>
    <col min="3" max="3" width="31.54296875" style="178" customWidth="1"/>
    <col min="4" max="4" width="23.90625" style="178" customWidth="1"/>
    <col min="5" max="5" width="25.08984375" style="178" customWidth="1"/>
    <col min="6" max="6" width="20.54296875" style="178" customWidth="1"/>
    <col min="7" max="7" width="24.90625" style="178" customWidth="1"/>
    <col min="8" max="8" width="21.08984375" style="178" customWidth="1"/>
    <col min="9" max="9" width="21" style="178" customWidth="1"/>
    <col min="10" max="10" width="16.54296875" style="178" customWidth="1"/>
    <col min="11" max="11" width="16.90625" style="178" customWidth="1"/>
    <col min="12" max="12" width="20" style="178" customWidth="1"/>
    <col min="13" max="13" width="14.90625" style="178" customWidth="1"/>
    <col min="14" max="16384" width="14.90625" style="178"/>
  </cols>
  <sheetData>
    <row r="1" spans="2:12" ht="12" customHeight="1" thickBot="1" x14ac:dyDescent="0.55000000000000004"/>
    <row r="2" spans="2:12" x14ac:dyDescent="0.5">
      <c r="B2" s="609"/>
      <c r="C2" s="610"/>
      <c r="D2" s="615" t="s">
        <v>0</v>
      </c>
      <c r="E2" s="615"/>
      <c r="F2" s="615"/>
      <c r="G2" s="615"/>
      <c r="H2" s="615"/>
      <c r="I2" s="616"/>
      <c r="J2" s="621" t="s">
        <v>1</v>
      </c>
      <c r="K2" s="622"/>
      <c r="L2" s="179"/>
    </row>
    <row r="3" spans="2:12" ht="26.15" customHeight="1" x14ac:dyDescent="0.5">
      <c r="B3" s="611"/>
      <c r="C3" s="612"/>
      <c r="D3" s="617"/>
      <c r="E3" s="617"/>
      <c r="F3" s="617"/>
      <c r="G3" s="617"/>
      <c r="H3" s="617"/>
      <c r="I3" s="618"/>
      <c r="J3" s="623" t="s">
        <v>2</v>
      </c>
      <c r="K3" s="624"/>
      <c r="L3" s="180">
        <v>0</v>
      </c>
    </row>
    <row r="4" spans="2:12" ht="24.65" customHeight="1" thickBot="1" x14ac:dyDescent="0.55000000000000004">
      <c r="B4" s="613"/>
      <c r="C4" s="614"/>
      <c r="D4" s="619"/>
      <c r="E4" s="619"/>
      <c r="F4" s="619"/>
      <c r="G4" s="619"/>
      <c r="H4" s="619"/>
      <c r="I4" s="620"/>
      <c r="J4" s="625" t="s">
        <v>3</v>
      </c>
      <c r="K4" s="626"/>
      <c r="L4" s="181"/>
    </row>
    <row r="5" spans="2:12" ht="19.399999999999999" customHeight="1" thickBot="1" x14ac:dyDescent="0.55000000000000004">
      <c r="B5" s="182"/>
      <c r="C5" s="183"/>
      <c r="D5" s="183"/>
      <c r="J5" s="184"/>
      <c r="K5" s="627"/>
      <c r="L5" s="628"/>
    </row>
    <row r="6" spans="2:12" ht="24.65" customHeight="1" thickBot="1" x14ac:dyDescent="0.55000000000000004">
      <c r="B6" s="182"/>
      <c r="C6" s="183"/>
      <c r="D6" s="183"/>
      <c r="J6" s="184"/>
      <c r="K6" s="187" t="s">
        <v>4</v>
      </c>
      <c r="L6" s="188">
        <v>46035</v>
      </c>
    </row>
    <row r="7" spans="2:12" ht="15" customHeight="1" x14ac:dyDescent="0.5">
      <c r="B7" s="182"/>
      <c r="C7" s="183"/>
      <c r="D7" s="183"/>
      <c r="J7" s="184"/>
      <c r="K7" s="185"/>
      <c r="L7" s="186"/>
    </row>
    <row r="8" spans="2:12" s="189" customFormat="1" ht="22.5" customHeight="1" x14ac:dyDescent="0.4">
      <c r="B8" s="747" t="s">
        <v>178</v>
      </c>
      <c r="C8" s="747"/>
      <c r="D8" s="747"/>
      <c r="E8" s="747"/>
      <c r="F8" s="747"/>
      <c r="G8" s="747"/>
      <c r="H8" s="747"/>
      <c r="I8" s="747"/>
      <c r="J8" s="747"/>
      <c r="K8" s="747"/>
      <c r="L8" s="747"/>
    </row>
    <row r="9" spans="2:12" ht="22.65" customHeight="1" x14ac:dyDescent="0.5">
      <c r="B9" s="682" t="s">
        <v>179</v>
      </c>
      <c r="C9" s="683"/>
      <c r="D9" s="355"/>
      <c r="E9" s="355"/>
      <c r="F9" s="355"/>
      <c r="G9" s="355"/>
      <c r="H9" s="355"/>
      <c r="I9" s="355"/>
      <c r="J9" s="355"/>
      <c r="K9" s="355"/>
      <c r="L9" s="356"/>
    </row>
    <row r="10" spans="2:12" ht="22.65" customHeight="1" x14ac:dyDescent="0.5">
      <c r="B10" s="357"/>
      <c r="C10" s="358" t="s">
        <v>84</v>
      </c>
      <c r="D10" s="359"/>
      <c r="E10" s="359"/>
      <c r="F10" s="359"/>
      <c r="G10" s="359"/>
      <c r="H10" s="359"/>
      <c r="I10" s="359"/>
      <c r="J10" s="359"/>
      <c r="K10" s="359"/>
      <c r="L10" s="360"/>
    </row>
    <row r="11" spans="2:12" ht="41.4" customHeight="1" x14ac:dyDescent="0.5">
      <c r="B11" s="748" t="s">
        <v>180</v>
      </c>
      <c r="C11" s="751" t="s">
        <v>309</v>
      </c>
      <c r="D11" s="752"/>
      <c r="E11" s="752"/>
      <c r="F11" s="752"/>
      <c r="G11" s="752"/>
      <c r="H11" s="752"/>
      <c r="I11" s="752"/>
      <c r="J11" s="752"/>
      <c r="K11" s="753"/>
      <c r="L11" s="360"/>
    </row>
    <row r="12" spans="2:12" ht="30.65" customHeight="1" x14ac:dyDescent="0.5">
      <c r="B12" s="749"/>
      <c r="C12" s="751" t="s">
        <v>299</v>
      </c>
      <c r="D12" s="752"/>
      <c r="E12" s="752"/>
      <c r="F12" s="752"/>
      <c r="G12" s="752"/>
      <c r="H12" s="752"/>
      <c r="I12" s="752"/>
      <c r="J12" s="752"/>
      <c r="K12" s="753"/>
      <c r="L12" s="360"/>
    </row>
    <row r="13" spans="2:12" ht="32.15" customHeight="1" x14ac:dyDescent="0.5">
      <c r="B13" s="749"/>
      <c r="C13" s="751" t="s">
        <v>308</v>
      </c>
      <c r="D13" s="752"/>
      <c r="E13" s="752"/>
      <c r="F13" s="752"/>
      <c r="G13" s="752"/>
      <c r="H13" s="752"/>
      <c r="I13" s="752"/>
      <c r="J13" s="752"/>
      <c r="K13" s="753"/>
      <c r="L13" s="360"/>
    </row>
    <row r="14" spans="2:12" ht="39" customHeight="1" x14ac:dyDescent="0.5">
      <c r="B14" s="750"/>
      <c r="C14" s="751"/>
      <c r="D14" s="752"/>
      <c r="E14" s="752"/>
      <c r="F14" s="752"/>
      <c r="G14" s="752"/>
      <c r="H14" s="752"/>
      <c r="I14" s="752"/>
      <c r="J14" s="752"/>
      <c r="K14" s="753"/>
      <c r="L14" s="360"/>
    </row>
    <row r="15" spans="2:12" ht="22.4" customHeight="1" x14ac:dyDescent="0.5">
      <c r="B15" s="357"/>
      <c r="C15" s="361"/>
      <c r="D15" s="361"/>
      <c r="E15" s="361"/>
      <c r="F15" s="361"/>
      <c r="G15" s="361"/>
      <c r="H15" s="361"/>
      <c r="I15" s="361"/>
      <c r="J15" s="361"/>
      <c r="K15" s="361"/>
      <c r="L15" s="360"/>
    </row>
    <row r="16" spans="2:12" ht="22.65" hidden="1" customHeight="1" thickBot="1" x14ac:dyDescent="0.55000000000000004">
      <c r="B16" s="686" t="s">
        <v>181</v>
      </c>
      <c r="C16" s="688"/>
      <c r="D16" s="362"/>
      <c r="E16" s="362"/>
      <c r="F16" s="362"/>
      <c r="G16" s="362"/>
      <c r="H16" s="362"/>
      <c r="I16" s="362"/>
      <c r="J16" s="362"/>
      <c r="K16" s="362"/>
      <c r="L16" s="360"/>
    </row>
    <row r="17" spans="2:12" ht="60" hidden="1" customHeight="1" thickBot="1" x14ac:dyDescent="0.55000000000000004">
      <c r="B17" s="363"/>
      <c r="C17" s="741" t="s">
        <v>182</v>
      </c>
      <c r="D17" s="742"/>
      <c r="E17" s="364" t="s">
        <v>183</v>
      </c>
      <c r="F17" s="364" t="s">
        <v>184</v>
      </c>
      <c r="G17" s="365" t="s">
        <v>185</v>
      </c>
      <c r="H17" s="183"/>
      <c r="I17" s="183"/>
      <c r="J17" s="183"/>
      <c r="K17" s="183"/>
      <c r="L17" s="256"/>
    </row>
    <row r="18" spans="2:12" ht="22.65" hidden="1" customHeight="1" thickBot="1" x14ac:dyDescent="0.55000000000000004">
      <c r="B18" s="366" t="s">
        <v>186</v>
      </c>
      <c r="C18" s="743"/>
      <c r="D18" s="744"/>
      <c r="E18" s="367"/>
      <c r="F18" s="367">
        <f>+C18-E18</f>
        <v>0</v>
      </c>
      <c r="G18" s="368">
        <v>0</v>
      </c>
      <c r="H18" s="183"/>
      <c r="I18" s="183"/>
      <c r="J18" s="183"/>
      <c r="K18" s="183"/>
      <c r="L18" s="256"/>
    </row>
    <row r="19" spans="2:12" ht="22.65" hidden="1" customHeight="1" thickBot="1" x14ac:dyDescent="0.55000000000000004">
      <c r="B19" s="366"/>
      <c r="C19" s="369"/>
      <c r="D19" s="369"/>
      <c r="E19" s="359"/>
      <c r="F19" s="370"/>
      <c r="G19" s="183"/>
      <c r="H19" s="183"/>
      <c r="I19" s="183"/>
      <c r="J19" s="183"/>
      <c r="K19" s="183"/>
      <c r="L19" s="256"/>
    </row>
    <row r="20" spans="2:12" ht="42.75" hidden="1" customHeight="1" thickBot="1" x14ac:dyDescent="0.55000000000000004">
      <c r="B20" s="371"/>
      <c r="C20" s="372" t="s">
        <v>187</v>
      </c>
      <c r="D20" s="364" t="s">
        <v>188</v>
      </c>
      <c r="E20" s="364" t="s">
        <v>189</v>
      </c>
      <c r="F20" s="365" t="s">
        <v>190</v>
      </c>
      <c r="G20" s="365" t="s">
        <v>191</v>
      </c>
      <c r="H20" s="183"/>
      <c r="I20" s="745"/>
      <c r="J20" s="745"/>
      <c r="K20" s="745"/>
      <c r="L20" s="746"/>
    </row>
    <row r="21" spans="2:12" ht="22.5" hidden="1" customHeight="1" thickBot="1" x14ac:dyDescent="0.55000000000000004">
      <c r="B21" s="366" t="s">
        <v>192</v>
      </c>
      <c r="C21" s="373"/>
      <c r="D21" s="374"/>
      <c r="E21" s="375">
        <v>0</v>
      </c>
      <c r="F21" s="376">
        <v>0</v>
      </c>
      <c r="G21" s="376">
        <v>0</v>
      </c>
      <c r="H21" s="377"/>
      <c r="I21" s="745"/>
      <c r="J21" s="745"/>
      <c r="K21" s="745"/>
      <c r="L21" s="746"/>
    </row>
    <row r="22" spans="2:12" ht="22.5" hidden="1" customHeight="1" x14ac:dyDescent="0.5">
      <c r="B22" s="366"/>
      <c r="C22" s="378"/>
      <c r="D22" s="379"/>
      <c r="E22" s="378"/>
      <c r="F22" s="380"/>
      <c r="G22" s="377"/>
      <c r="H22" s="377"/>
      <c r="I22" s="377"/>
      <c r="J22" s="377"/>
      <c r="K22" s="377"/>
      <c r="L22" s="381"/>
    </row>
    <row r="23" spans="2:12" ht="22.65" customHeight="1" x14ac:dyDescent="0.5">
      <c r="B23" s="371"/>
      <c r="C23" s="382" t="s">
        <v>46</v>
      </c>
      <c r="D23" s="359"/>
      <c r="E23" s="359"/>
      <c r="F23" s="370"/>
      <c r="G23" s="377"/>
      <c r="H23" s="377"/>
      <c r="I23" s="377"/>
      <c r="J23" s="377"/>
      <c r="K23" s="377"/>
      <c r="L23" s="381"/>
    </row>
    <row r="24" spans="2:12" ht="22.65" customHeight="1" thickBot="1" x14ac:dyDescent="0.55000000000000004">
      <c r="B24" s="686" t="s">
        <v>193</v>
      </c>
      <c r="C24" s="688"/>
      <c r="D24" s="380"/>
      <c r="E24" s="359"/>
      <c r="F24" s="370"/>
      <c r="G24" s="370"/>
      <c r="H24" s="370"/>
      <c r="I24" s="370"/>
      <c r="J24" s="370"/>
      <c r="K24" s="370"/>
      <c r="L24" s="383"/>
    </row>
    <row r="25" spans="2:12" ht="32.25" customHeight="1" x14ac:dyDescent="0.5">
      <c r="B25" s="384"/>
      <c r="C25" s="385" t="s">
        <v>194</v>
      </c>
      <c r="D25" s="386" t="s">
        <v>195</v>
      </c>
      <c r="E25" s="386" t="s">
        <v>196</v>
      </c>
      <c r="F25" s="387" t="s">
        <v>197</v>
      </c>
      <c r="G25" s="388"/>
      <c r="H25" s="388"/>
      <c r="I25" s="388"/>
      <c r="J25" s="388"/>
      <c r="K25" s="388"/>
      <c r="L25" s="383"/>
    </row>
    <row r="26" spans="2:12" ht="22.65" customHeight="1" thickBot="1" x14ac:dyDescent="0.55000000000000004">
      <c r="B26" s="384"/>
      <c r="C26" s="474">
        <v>46011</v>
      </c>
      <c r="D26" s="390"/>
      <c r="E26" s="390"/>
      <c r="F26" s="391">
        <v>1</v>
      </c>
      <c r="G26" s="388"/>
      <c r="H26" s="388"/>
      <c r="I26" s="388"/>
      <c r="J26" s="388"/>
      <c r="K26" s="388"/>
      <c r="L26" s="383"/>
    </row>
    <row r="27" spans="2:12" ht="22.65" customHeight="1" thickBot="1" x14ac:dyDescent="0.55000000000000004">
      <c r="B27" s="412"/>
      <c r="C27" s="413"/>
      <c r="D27" s="413"/>
      <c r="E27" s="413"/>
      <c r="F27" s="413"/>
      <c r="G27" s="413"/>
      <c r="H27" s="413"/>
      <c r="I27" s="413"/>
      <c r="J27" s="413"/>
      <c r="K27" s="413"/>
      <c r="L27" s="414"/>
    </row>
    <row r="28" spans="2:12" x14ac:dyDescent="0.5">
      <c r="D28" s="664"/>
      <c r="E28" s="664"/>
      <c r="F28" s="664"/>
      <c r="G28" s="664"/>
      <c r="H28" s="664"/>
      <c r="I28" s="664"/>
      <c r="J28" s="664"/>
      <c r="K28" s="664"/>
    </row>
    <row r="29" spans="2:12" x14ac:dyDescent="0.5">
      <c r="D29" s="664"/>
      <c r="E29" s="664"/>
      <c r="F29" s="664"/>
      <c r="G29" s="664"/>
      <c r="H29" s="664"/>
      <c r="I29" s="664"/>
      <c r="J29" s="664"/>
      <c r="K29" s="664"/>
    </row>
    <row r="30" spans="2:12" x14ac:dyDescent="0.5">
      <c r="D30" s="664"/>
      <c r="E30" s="664"/>
      <c r="F30" s="664"/>
      <c r="G30" s="664"/>
      <c r="H30" s="664"/>
      <c r="I30" s="664"/>
      <c r="J30" s="664"/>
      <c r="K30" s="664"/>
    </row>
    <row r="31" spans="2:12" x14ac:dyDescent="0.5">
      <c r="D31" s="664"/>
      <c r="E31" s="664"/>
      <c r="F31" s="664"/>
      <c r="G31" s="664"/>
      <c r="H31" s="664"/>
      <c r="I31" s="664"/>
      <c r="J31" s="664"/>
      <c r="K31" s="664"/>
    </row>
    <row r="32" spans="2:12" x14ac:dyDescent="0.5">
      <c r="D32" s="664"/>
      <c r="E32" s="664"/>
      <c r="F32" s="664"/>
      <c r="G32" s="664"/>
      <c r="H32" s="664"/>
      <c r="I32" s="664"/>
      <c r="J32" s="664"/>
      <c r="K32" s="664"/>
    </row>
    <row r="33" spans="4:11" x14ac:dyDescent="0.5">
      <c r="D33" s="664"/>
      <c r="E33" s="664"/>
      <c r="F33" s="664"/>
      <c r="G33" s="664"/>
      <c r="H33" s="664"/>
      <c r="I33" s="664"/>
      <c r="J33" s="664"/>
      <c r="K33" s="664"/>
    </row>
    <row r="34" spans="4:11" x14ac:dyDescent="0.5">
      <c r="D34" s="664"/>
      <c r="E34" s="664"/>
      <c r="F34" s="664"/>
      <c r="G34" s="664"/>
      <c r="H34" s="664"/>
      <c r="I34" s="664"/>
      <c r="J34" s="664"/>
      <c r="K34" s="664"/>
    </row>
    <row r="35" spans="4:11" x14ac:dyDescent="0.5">
      <c r="D35" s="664"/>
      <c r="E35" s="664"/>
      <c r="F35" s="664"/>
      <c r="G35" s="664"/>
      <c r="H35" s="664"/>
      <c r="I35" s="664"/>
      <c r="J35" s="664"/>
      <c r="K35" s="664"/>
    </row>
    <row r="36" spans="4:11" x14ac:dyDescent="0.5">
      <c r="D36" s="664"/>
      <c r="E36" s="664"/>
      <c r="F36" s="664"/>
      <c r="G36" s="664"/>
      <c r="H36" s="664"/>
      <c r="I36" s="664"/>
      <c r="J36" s="664"/>
      <c r="K36" s="664"/>
    </row>
    <row r="37" spans="4:11" x14ac:dyDescent="0.5">
      <c r="D37" s="664"/>
      <c r="E37" s="664"/>
      <c r="F37" s="664"/>
      <c r="G37" s="664"/>
      <c r="H37" s="664"/>
      <c r="I37" s="664"/>
      <c r="J37" s="664"/>
      <c r="K37" s="664"/>
    </row>
    <row r="38" spans="4:11" x14ac:dyDescent="0.5">
      <c r="D38" s="664"/>
      <c r="E38" s="664"/>
      <c r="F38" s="664"/>
      <c r="G38" s="664"/>
      <c r="H38" s="664"/>
      <c r="I38" s="664"/>
      <c r="J38" s="664"/>
      <c r="K38" s="664"/>
    </row>
    <row r="39" spans="4:11" x14ac:dyDescent="0.5">
      <c r="D39" s="664"/>
      <c r="E39" s="664"/>
      <c r="F39" s="664"/>
      <c r="G39" s="664"/>
      <c r="H39" s="664"/>
      <c r="I39" s="664"/>
      <c r="J39" s="664"/>
      <c r="K39" s="664"/>
    </row>
    <row r="40" spans="4:11" x14ac:dyDescent="0.5">
      <c r="D40" s="664"/>
      <c r="E40" s="664"/>
      <c r="F40" s="664"/>
      <c r="G40" s="664"/>
      <c r="H40" s="664"/>
      <c r="I40" s="664"/>
      <c r="J40" s="664"/>
      <c r="K40" s="664"/>
    </row>
    <row r="41" spans="4:11" x14ac:dyDescent="0.5">
      <c r="D41" s="664"/>
      <c r="E41" s="664"/>
      <c r="F41" s="664"/>
      <c r="G41" s="664"/>
      <c r="H41" s="664"/>
      <c r="I41" s="664"/>
      <c r="J41" s="664"/>
      <c r="K41" s="664"/>
    </row>
    <row r="42" spans="4:11" x14ac:dyDescent="0.5">
      <c r="D42" s="664"/>
      <c r="E42" s="664"/>
      <c r="F42" s="664"/>
      <c r="G42" s="664"/>
      <c r="H42" s="664"/>
      <c r="I42" s="664"/>
      <c r="J42" s="664"/>
      <c r="K42" s="664"/>
    </row>
    <row r="43" spans="4:11" x14ac:dyDescent="0.5">
      <c r="D43" s="664"/>
      <c r="E43" s="664"/>
      <c r="F43" s="664"/>
      <c r="G43" s="664"/>
      <c r="H43" s="664"/>
      <c r="I43" s="664"/>
      <c r="J43" s="664"/>
      <c r="K43" s="664"/>
    </row>
    <row r="44" spans="4:11" x14ac:dyDescent="0.5">
      <c r="D44" s="664"/>
      <c r="E44" s="664"/>
      <c r="F44" s="664"/>
      <c r="G44" s="664"/>
      <c r="H44" s="664"/>
      <c r="I44" s="664"/>
      <c r="J44" s="664"/>
      <c r="K44" s="664"/>
    </row>
    <row r="45" spans="4:11" x14ac:dyDescent="0.5">
      <c r="D45" s="664"/>
      <c r="E45" s="664"/>
      <c r="F45" s="664"/>
      <c r="G45" s="664"/>
      <c r="H45" s="664"/>
      <c r="I45" s="664"/>
      <c r="J45" s="664"/>
      <c r="K45" s="664"/>
    </row>
  </sheetData>
  <mergeCells count="22">
    <mergeCell ref="K5:L5"/>
    <mergeCell ref="B2:C4"/>
    <mergeCell ref="D2:I4"/>
    <mergeCell ref="J2:K2"/>
    <mergeCell ref="J3:K3"/>
    <mergeCell ref="J4:K4"/>
    <mergeCell ref="B8:L8"/>
    <mergeCell ref="B9:C9"/>
    <mergeCell ref="B11:B14"/>
    <mergeCell ref="C11:K11"/>
    <mergeCell ref="C12:K12"/>
    <mergeCell ref="C13:K13"/>
    <mergeCell ref="C14:K14"/>
    <mergeCell ref="D28:E45"/>
    <mergeCell ref="F28:G45"/>
    <mergeCell ref="H28:I45"/>
    <mergeCell ref="J28:K45"/>
    <mergeCell ref="B16:C16"/>
    <mergeCell ref="C17:D17"/>
    <mergeCell ref="C18:D18"/>
    <mergeCell ref="I20:L21"/>
    <mergeCell ref="B24:C24"/>
  </mergeCells>
  <printOptions horizontalCentered="1"/>
  <pageMargins left="0.2" right="0.2" top="0.75" bottom="0.75" header="0.3" footer="0.3"/>
  <pageSetup scale="42" orientation="portrait" r:id="rId1"/>
  <headerFooter>
    <oddFooter>&amp;L&amp;"-,Regular"&amp;11&amp;F&amp;R&amp;"-,Regular"&amp;11ACS-SFM-CX-1016, Rev 0, 10-Oct-2022</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97E5B-DEE6-416A-ACED-AAA394C24074}">
  <sheetPr>
    <tabColor theme="9" tint="-0.249977111117893"/>
    <pageSetUpPr fitToPage="1"/>
  </sheetPr>
  <dimension ref="A3:J54"/>
  <sheetViews>
    <sheetView zoomScaleNormal="100" workbookViewId="0">
      <selection activeCell="D7" sqref="D7"/>
    </sheetView>
  </sheetViews>
  <sheetFormatPr defaultRowHeight="14.5" x14ac:dyDescent="0.35"/>
  <cols>
    <col min="1" max="1" width="19.453125" customWidth="1"/>
    <col min="2" max="2" width="8.453125" customWidth="1"/>
    <col min="3" max="3" width="16.36328125" customWidth="1"/>
    <col min="4" max="8" width="13.453125" customWidth="1"/>
    <col min="9" max="9" width="12.6328125" bestFit="1" customWidth="1"/>
    <col min="12" max="12" width="17.453125" customWidth="1"/>
    <col min="13" max="13" width="18.08984375" bestFit="1" customWidth="1"/>
  </cols>
  <sheetData>
    <row r="3" spans="1:10" ht="31" x14ac:dyDescent="0.7">
      <c r="A3" s="754" t="s">
        <v>198</v>
      </c>
      <c r="B3" s="754"/>
      <c r="C3" s="754"/>
      <c r="D3" s="754"/>
      <c r="E3" s="754"/>
      <c r="F3" s="754"/>
      <c r="G3" s="754"/>
      <c r="H3" s="407" t="s">
        <v>19</v>
      </c>
      <c r="I3" s="408">
        <f>Safety!L6</f>
        <v>46035</v>
      </c>
      <c r="J3" s="2"/>
    </row>
    <row r="4" spans="1:10" ht="24.75" customHeight="1" x14ac:dyDescent="0.35"/>
    <row r="5" spans="1:10" s="1" customFormat="1" ht="18.5" x14ac:dyDescent="0.45">
      <c r="A5" s="760" t="s">
        <v>199</v>
      </c>
      <c r="B5" s="760"/>
      <c r="C5" s="761"/>
      <c r="D5" s="755" t="s">
        <v>19</v>
      </c>
      <c r="E5" s="756"/>
      <c r="F5" s="757"/>
      <c r="G5" s="758" t="s">
        <v>200</v>
      </c>
      <c r="H5" s="759"/>
      <c r="I5" s="759"/>
    </row>
    <row r="6" spans="1:10" s="1" customFormat="1" ht="18.5" x14ac:dyDescent="0.45">
      <c r="A6" s="5" t="s">
        <v>201</v>
      </c>
      <c r="B6" s="5" t="s">
        <v>202</v>
      </c>
      <c r="C6" s="5" t="s">
        <v>203</v>
      </c>
      <c r="D6" s="7" t="s">
        <v>204</v>
      </c>
      <c r="E6" s="7" t="s">
        <v>205</v>
      </c>
      <c r="F6" s="7" t="s">
        <v>206</v>
      </c>
      <c r="G6" s="5" t="s">
        <v>204</v>
      </c>
      <c r="H6" s="5" t="s">
        <v>205</v>
      </c>
      <c r="I6" s="5" t="s">
        <v>206</v>
      </c>
    </row>
    <row r="7" spans="1:10" s="1" customFormat="1" ht="15" customHeight="1" x14ac:dyDescent="0.35">
      <c r="A7" s="3" t="s">
        <v>207</v>
      </c>
      <c r="B7" s="3" t="s">
        <v>208</v>
      </c>
      <c r="C7" s="6">
        <v>45714</v>
      </c>
      <c r="D7" s="4">
        <f>'E&amp;H - QTY Plan'!BZ4</f>
        <v>0</v>
      </c>
      <c r="E7" s="4">
        <f>'E&amp;H - QTY Plan'!BZ5</f>
        <v>0</v>
      </c>
      <c r="F7" s="8">
        <f>E7/C7</f>
        <v>0</v>
      </c>
      <c r="G7" s="4">
        <f>SUM('E&amp;H - QTY Plan'!F4:CH4)</f>
        <v>26428</v>
      </c>
      <c r="H7" s="4">
        <f>SUM('E&amp;H - QTY Plan'!F5:CH5)</f>
        <v>29823</v>
      </c>
      <c r="I7" s="478">
        <f>H7/C7</f>
        <v>0.65238220238876488</v>
      </c>
    </row>
    <row r="8" spans="1:10" s="1" customFormat="1" x14ac:dyDescent="0.35">
      <c r="A8" s="3" t="s">
        <v>209</v>
      </c>
      <c r="B8" s="3" t="s">
        <v>208</v>
      </c>
      <c r="C8" s="606">
        <v>47483</v>
      </c>
      <c r="D8" s="4">
        <f>'E&amp;H - QTY Plan'!BZ12</f>
        <v>0</v>
      </c>
      <c r="E8" s="4">
        <f>'E&amp;H - QTY Plan'!BZ13</f>
        <v>0</v>
      </c>
      <c r="F8" s="478">
        <f t="shared" ref="F8:F12" si="0">E8/C8</f>
        <v>0</v>
      </c>
      <c r="G8" s="4">
        <f>SUM('E&amp;H - QTY Plan'!F14:CH14)</f>
        <v>44000</v>
      </c>
      <c r="H8" s="606">
        <f>SUM('E&amp;H - QTY Plan'!F13:CH13)</f>
        <v>47483</v>
      </c>
      <c r="I8" s="478">
        <f t="shared" ref="I8:I11" si="1">H8/C8</f>
        <v>1</v>
      </c>
    </row>
    <row r="9" spans="1:10" s="1" customFormat="1" x14ac:dyDescent="0.35">
      <c r="A9" s="3" t="s">
        <v>210</v>
      </c>
      <c r="B9" s="3" t="s">
        <v>208</v>
      </c>
      <c r="C9" s="6">
        <v>203</v>
      </c>
      <c r="D9" s="4">
        <f>'E&amp;H - QTY Plan'!BZ20</f>
        <v>0</v>
      </c>
      <c r="E9" s="4">
        <f>'E&amp;H - QTY Plan'!BZ22</f>
        <v>0</v>
      </c>
      <c r="F9" s="8">
        <f t="shared" si="0"/>
        <v>0</v>
      </c>
      <c r="G9" s="4">
        <f>SUM('E&amp;H - QTY Plan'!F20:CH20)</f>
        <v>392</v>
      </c>
      <c r="H9" s="4">
        <f>SUM('E&amp;H - QTY Plan'!F21:CH21)</f>
        <v>203</v>
      </c>
      <c r="I9" s="478">
        <f>H9/C9</f>
        <v>1</v>
      </c>
    </row>
    <row r="10" spans="1:10" s="1" customFormat="1" x14ac:dyDescent="0.35">
      <c r="A10" s="3" t="s">
        <v>212</v>
      </c>
      <c r="B10" s="3" t="s">
        <v>208</v>
      </c>
      <c r="C10" s="6">
        <v>97</v>
      </c>
      <c r="D10" s="4">
        <f>'E&amp;H - QTY Plan'!BZ28</f>
        <v>0</v>
      </c>
      <c r="E10" s="4">
        <f>'E&amp;H - QTY Plan'!BZ30</f>
        <v>0</v>
      </c>
      <c r="F10" s="8">
        <f t="shared" si="0"/>
        <v>0</v>
      </c>
      <c r="G10" s="4">
        <f>SUM('E&amp;H - QTY Plan'!F28:CH28)</f>
        <v>96.600000000000009</v>
      </c>
      <c r="H10" s="4">
        <f>SUM('E&amp;H - QTY Plan'!F29:CH29)</f>
        <v>96</v>
      </c>
      <c r="I10" s="8">
        <f t="shared" si="1"/>
        <v>0.98969072164948457</v>
      </c>
    </row>
    <row r="11" spans="1:10" s="1" customFormat="1" x14ac:dyDescent="0.35">
      <c r="A11" s="3" t="s">
        <v>213</v>
      </c>
      <c r="B11" s="3" t="s">
        <v>208</v>
      </c>
      <c r="C11" s="6">
        <v>90</v>
      </c>
      <c r="D11" s="4">
        <f>'E&amp;H - QTY Plan'!BZ36</f>
        <v>0</v>
      </c>
      <c r="E11" s="4">
        <f>'E&amp;H - QTY Plan'!BZ38</f>
        <v>0</v>
      </c>
      <c r="F11" s="8">
        <f t="shared" si="0"/>
        <v>0</v>
      </c>
      <c r="G11" s="4">
        <f>SUM('E&amp;H - QTY Plan'!F36:CH36)</f>
        <v>90</v>
      </c>
      <c r="H11" s="4">
        <f>SUM('E&amp;H - QTY Plan'!G38:CH38)</f>
        <v>90</v>
      </c>
      <c r="I11" s="8">
        <f t="shared" si="1"/>
        <v>1</v>
      </c>
    </row>
    <row r="12" spans="1:10" s="1" customFormat="1" x14ac:dyDescent="0.35">
      <c r="A12" s="3" t="s">
        <v>214</v>
      </c>
      <c r="B12" s="3" t="s">
        <v>208</v>
      </c>
      <c r="C12" s="6">
        <v>140</v>
      </c>
      <c r="D12" s="4">
        <f>'E&amp;H - QTY Plan'!BZ44</f>
        <v>0</v>
      </c>
      <c r="E12" s="4">
        <f>'E&amp;H - QTY Plan'!BZ46</f>
        <v>0</v>
      </c>
      <c r="F12" s="8">
        <f t="shared" si="0"/>
        <v>0</v>
      </c>
      <c r="G12" s="4">
        <f>SUM('E&amp;H - QTY Plan'!F44:CH44)</f>
        <v>105</v>
      </c>
      <c r="H12" s="4">
        <f>SUM('E&amp;H - QTY Plan'!G46:CH46)</f>
        <v>140</v>
      </c>
      <c r="I12" s="8">
        <f>H12/C12</f>
        <v>1</v>
      </c>
    </row>
    <row r="13" spans="1:10" s="1" customFormat="1" x14ac:dyDescent="0.35"/>
    <row r="14" spans="1:10" s="1" customFormat="1" x14ac:dyDescent="0.35"/>
    <row r="15" spans="1:10" s="1" customFormat="1" ht="18.5" x14ac:dyDescent="0.45">
      <c r="A15" s="760" t="s">
        <v>215</v>
      </c>
      <c r="B15" s="760"/>
      <c r="C15" s="761"/>
      <c r="D15" s="755" t="s">
        <v>19</v>
      </c>
      <c r="E15" s="756"/>
      <c r="F15" s="757"/>
      <c r="G15" s="758" t="s">
        <v>200</v>
      </c>
      <c r="H15" s="759"/>
      <c r="I15" s="759"/>
    </row>
    <row r="16" spans="1:10" s="1" customFormat="1" ht="18.5" x14ac:dyDescent="0.45">
      <c r="A16" s="5" t="s">
        <v>201</v>
      </c>
      <c r="B16" s="5" t="s">
        <v>202</v>
      </c>
      <c r="C16" s="5" t="s">
        <v>203</v>
      </c>
      <c r="D16" s="7" t="s">
        <v>204</v>
      </c>
      <c r="E16" s="7" t="s">
        <v>205</v>
      </c>
      <c r="F16" s="7" t="s">
        <v>206</v>
      </c>
      <c r="G16" s="5" t="s">
        <v>204</v>
      </c>
      <c r="H16" s="5" t="s">
        <v>205</v>
      </c>
      <c r="I16" s="5" t="s">
        <v>206</v>
      </c>
    </row>
    <row r="17" spans="1:9" s="1" customFormat="1" x14ac:dyDescent="0.35">
      <c r="A17" s="3" t="s">
        <v>216</v>
      </c>
      <c r="B17" s="3" t="s">
        <v>211</v>
      </c>
      <c r="C17" s="3">
        <v>171</v>
      </c>
      <c r="D17" s="4">
        <f>'Audubon - QTY Plan'!AX4</f>
        <v>0</v>
      </c>
      <c r="E17" s="4">
        <f>'Audubon - QTY Plan'!AX5</f>
        <v>0</v>
      </c>
      <c r="F17" s="8">
        <f>E17/C17</f>
        <v>0</v>
      </c>
      <c r="G17" s="4">
        <f>SUM('Audubon - QTY Plan'!E4:AH4)</f>
        <v>128</v>
      </c>
      <c r="H17" s="4">
        <f>SUM('Audubon - QTY Plan'!E5:AX5)</f>
        <v>171</v>
      </c>
      <c r="I17" s="8">
        <f>H17/C17</f>
        <v>1</v>
      </c>
    </row>
    <row r="18" spans="1:9" s="1" customFormat="1" x14ac:dyDescent="0.35">
      <c r="A18" s="3" t="s">
        <v>217</v>
      </c>
      <c r="B18" s="3" t="s">
        <v>211</v>
      </c>
      <c r="C18" s="3">
        <v>171</v>
      </c>
      <c r="D18" s="4">
        <f>'Audubon - QTY Plan'!AX12</f>
        <v>0</v>
      </c>
      <c r="E18" s="4">
        <f>'Audubon - QTY Plan'!AX13</f>
        <v>0</v>
      </c>
      <c r="F18" s="8">
        <f>E18/C18</f>
        <v>0</v>
      </c>
      <c r="G18" s="4">
        <f>SUM('Audubon - QTY Plan'!E12:AH12)</f>
        <v>120</v>
      </c>
      <c r="H18" s="4">
        <f>SUM('Audubon - QTY Plan'!E13:AX13)</f>
        <v>153</v>
      </c>
      <c r="I18" s="8">
        <f>H18/C18</f>
        <v>0.89473684210526316</v>
      </c>
    </row>
    <row r="19" spans="1:9" s="1" customFormat="1" x14ac:dyDescent="0.35"/>
    <row r="20" spans="1:9" s="1" customFormat="1" x14ac:dyDescent="0.35"/>
    <row r="21" spans="1:9" s="1" customFormat="1" x14ac:dyDescent="0.35"/>
    <row r="22" spans="1:9" s="1" customFormat="1" x14ac:dyDescent="0.35"/>
    <row r="23" spans="1:9" s="1" customFormat="1" x14ac:dyDescent="0.35"/>
    <row r="24" spans="1:9" s="1" customFormat="1" x14ac:dyDescent="0.35"/>
    <row r="25" spans="1:9" s="1" customFormat="1" x14ac:dyDescent="0.35"/>
    <row r="26" spans="1:9" s="1" customFormat="1" x14ac:dyDescent="0.35"/>
    <row r="27" spans="1:9" s="1" customFormat="1" x14ac:dyDescent="0.35"/>
    <row r="28" spans="1:9" s="1" customFormat="1" x14ac:dyDescent="0.35"/>
    <row r="29" spans="1:9" s="1" customFormat="1" x14ac:dyDescent="0.35"/>
    <row r="30" spans="1:9" s="1" customFormat="1" x14ac:dyDescent="0.35"/>
    <row r="31" spans="1:9" s="1" customFormat="1" x14ac:dyDescent="0.35"/>
    <row r="32" spans="1:9" s="1" customFormat="1" x14ac:dyDescent="0.35"/>
    <row r="33" s="1" customFormat="1" x14ac:dyDescent="0.35"/>
    <row r="34" s="1" customFormat="1" x14ac:dyDescent="0.35"/>
    <row r="35" s="1" customFormat="1" x14ac:dyDescent="0.35"/>
    <row r="36" s="1" customFormat="1" x14ac:dyDescent="0.35"/>
    <row r="37" s="1" customFormat="1" x14ac:dyDescent="0.35"/>
    <row r="38" s="1" customFormat="1" x14ac:dyDescent="0.35"/>
    <row r="39" s="1" customFormat="1" x14ac:dyDescent="0.35"/>
    <row r="40" s="1" customFormat="1" x14ac:dyDescent="0.35"/>
    <row r="41" s="1" customFormat="1" x14ac:dyDescent="0.35"/>
    <row r="42" s="1" customFormat="1" x14ac:dyDescent="0.35"/>
    <row r="43" s="1" customFormat="1" x14ac:dyDescent="0.35"/>
    <row r="44" s="1" customFormat="1" x14ac:dyDescent="0.35"/>
    <row r="45" s="1" customFormat="1" x14ac:dyDescent="0.35"/>
    <row r="46" s="1" customFormat="1" x14ac:dyDescent="0.35"/>
    <row r="47" s="1" customFormat="1" x14ac:dyDescent="0.35"/>
    <row r="48" s="1" customFormat="1" x14ac:dyDescent="0.35"/>
    <row r="49" spans="1:9" s="1" customFormat="1" x14ac:dyDescent="0.35"/>
    <row r="50" spans="1:9" s="1" customFormat="1" x14ac:dyDescent="0.35"/>
    <row r="51" spans="1:9" s="1" customFormat="1" x14ac:dyDescent="0.35"/>
    <row r="52" spans="1:9" s="1" customFormat="1" x14ac:dyDescent="0.35"/>
    <row r="53" spans="1:9" s="1" customFormat="1" x14ac:dyDescent="0.35"/>
    <row r="54" spans="1:9" x14ac:dyDescent="0.35">
      <c r="A54" s="1"/>
      <c r="B54" s="1"/>
      <c r="C54" s="1"/>
      <c r="D54" s="1"/>
      <c r="E54" s="1"/>
      <c r="F54" s="1"/>
      <c r="G54" s="1"/>
      <c r="H54" s="1"/>
      <c r="I54" s="1"/>
    </row>
  </sheetData>
  <mergeCells count="7">
    <mergeCell ref="A3:G3"/>
    <mergeCell ref="D15:F15"/>
    <mergeCell ref="G15:I15"/>
    <mergeCell ref="A5:C5"/>
    <mergeCell ref="A15:C15"/>
    <mergeCell ref="D5:F5"/>
    <mergeCell ref="G5:I5"/>
  </mergeCells>
  <pageMargins left="0.7" right="0.7" top="0.75" bottom="0.75" header="0.3" footer="0.3"/>
  <pageSetup scale="98"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4FD78-91A3-4C5B-B385-BDF0B55E6622}">
  <dimension ref="A1:CU73"/>
  <sheetViews>
    <sheetView zoomScale="70" zoomScaleNormal="70" workbookViewId="0">
      <selection activeCell="BD1" sqref="BD1:BM1048576"/>
    </sheetView>
  </sheetViews>
  <sheetFormatPr defaultColWidth="8.6328125" defaultRowHeight="12.5" outlineLevelCol="1" x14ac:dyDescent="0.25"/>
  <cols>
    <col min="1" max="1" width="1.90625" style="9" customWidth="1"/>
    <col min="2" max="2" width="9.08984375" style="9" customWidth="1"/>
    <col min="3" max="4" width="14.08984375" style="9" customWidth="1"/>
    <col min="5" max="5" width="9.08984375" style="9" customWidth="1"/>
    <col min="6" max="8" width="10.08984375" style="9" hidden="1" customWidth="1" outlineLevel="1"/>
    <col min="9" max="9" width="10.08984375" style="136" hidden="1" customWidth="1" outlineLevel="1"/>
    <col min="10" max="56" width="10.08984375" style="9" hidden="1" customWidth="1" outlineLevel="1"/>
    <col min="57" max="57" width="10.54296875" style="9" hidden="1" customWidth="1" outlineLevel="1"/>
    <col min="58" max="65" width="10.08984375" style="9" hidden="1" customWidth="1" outlineLevel="1"/>
    <col min="66" max="87" width="10.08984375" style="9" customWidth="1" outlineLevel="1"/>
    <col min="88" max="97" width="10.08984375" style="9" hidden="1" customWidth="1" outlineLevel="1"/>
    <col min="98" max="98" width="10.6328125" style="9" bestFit="1" customWidth="1"/>
    <col min="99" max="16384" width="8.6328125" style="9"/>
  </cols>
  <sheetData>
    <row r="1" spans="1:99" ht="13" thickBot="1" x14ac:dyDescent="0.3">
      <c r="W1" s="9" t="s">
        <v>279</v>
      </c>
    </row>
    <row r="2" spans="1:99" ht="13" thickBot="1" x14ac:dyDescent="0.3">
      <c r="F2" s="10" t="s">
        <v>218</v>
      </c>
      <c r="G2" s="11" t="s">
        <v>39</v>
      </c>
      <c r="H2" s="11" t="s">
        <v>40</v>
      </c>
      <c r="I2" s="12" t="s">
        <v>41</v>
      </c>
      <c r="J2" s="11" t="s">
        <v>42</v>
      </c>
      <c r="K2" s="11" t="s">
        <v>43</v>
      </c>
      <c r="L2" s="11" t="s">
        <v>44</v>
      </c>
      <c r="M2" s="11" t="s">
        <v>45</v>
      </c>
      <c r="N2" s="11" t="s">
        <v>39</v>
      </c>
      <c r="O2" s="11" t="s">
        <v>40</v>
      </c>
      <c r="P2" s="13" t="s">
        <v>41</v>
      </c>
      <c r="Q2" s="11" t="s">
        <v>42</v>
      </c>
      <c r="R2" s="13" t="s">
        <v>43</v>
      </c>
      <c r="S2" s="11" t="s">
        <v>44</v>
      </c>
      <c r="T2" s="13" t="s">
        <v>45</v>
      </c>
      <c r="U2" s="11" t="s">
        <v>39</v>
      </c>
      <c r="V2" s="13" t="s">
        <v>40</v>
      </c>
      <c r="W2" s="11"/>
      <c r="X2" s="11" t="s">
        <v>42</v>
      </c>
      <c r="Y2" s="13" t="s">
        <v>43</v>
      </c>
      <c r="Z2" s="11" t="s">
        <v>44</v>
      </c>
      <c r="AA2" s="13" t="s">
        <v>45</v>
      </c>
      <c r="AB2" s="11" t="s">
        <v>39</v>
      </c>
      <c r="AC2" s="13" t="s">
        <v>40</v>
      </c>
      <c r="AD2" s="11" t="s">
        <v>41</v>
      </c>
      <c r="AE2" s="13" t="s">
        <v>42</v>
      </c>
      <c r="AF2" s="11" t="s">
        <v>43</v>
      </c>
      <c r="AG2" s="13" t="s">
        <v>44</v>
      </c>
      <c r="AH2" s="11" t="s">
        <v>45</v>
      </c>
      <c r="AI2" s="13" t="s">
        <v>39</v>
      </c>
      <c r="AJ2" s="11" t="s">
        <v>40</v>
      </c>
      <c r="AK2" s="13" t="s">
        <v>41</v>
      </c>
      <c r="AL2" s="11" t="s">
        <v>42</v>
      </c>
      <c r="AM2" s="13" t="s">
        <v>43</v>
      </c>
      <c r="AN2" s="11" t="s">
        <v>44</v>
      </c>
      <c r="AO2" s="13" t="s">
        <v>45</v>
      </c>
      <c r="AP2" s="482" t="s">
        <v>39</v>
      </c>
      <c r="AQ2" s="482" t="s">
        <v>40</v>
      </c>
      <c r="AR2" s="482" t="s">
        <v>41</v>
      </c>
      <c r="AS2" s="482" t="s">
        <v>42</v>
      </c>
      <c r="AT2" s="482" t="s">
        <v>43</v>
      </c>
      <c r="AU2" s="482" t="s">
        <v>44</v>
      </c>
      <c r="AV2" s="482" t="s">
        <v>45</v>
      </c>
      <c r="AW2" s="482" t="s">
        <v>39</v>
      </c>
      <c r="AX2" s="482" t="s">
        <v>40</v>
      </c>
      <c r="AY2" s="482" t="s">
        <v>41</v>
      </c>
      <c r="AZ2" s="482" t="s">
        <v>42</v>
      </c>
      <c r="BA2" s="482" t="s">
        <v>43</v>
      </c>
      <c r="BB2" s="482" t="s">
        <v>44</v>
      </c>
      <c r="BC2" s="482" t="s">
        <v>45</v>
      </c>
      <c r="BD2" s="482" t="s">
        <v>39</v>
      </c>
      <c r="BE2" s="482" t="s">
        <v>40</v>
      </c>
      <c r="BF2" s="482" t="s">
        <v>41</v>
      </c>
      <c r="BG2" s="482" t="s">
        <v>42</v>
      </c>
      <c r="BH2" s="482" t="s">
        <v>43</v>
      </c>
      <c r="BI2" s="482" t="s">
        <v>44</v>
      </c>
      <c r="BJ2" s="482" t="s">
        <v>45</v>
      </c>
      <c r="BK2" s="482" t="s">
        <v>39</v>
      </c>
      <c r="BL2" s="482" t="s">
        <v>40</v>
      </c>
      <c r="BM2" s="482" t="s">
        <v>41</v>
      </c>
      <c r="BN2" s="482" t="s">
        <v>42</v>
      </c>
      <c r="BO2" s="482" t="s">
        <v>43</v>
      </c>
      <c r="BP2" s="482" t="s">
        <v>44</v>
      </c>
      <c r="BQ2" s="482" t="s">
        <v>45</v>
      </c>
      <c r="BR2" s="482" t="s">
        <v>39</v>
      </c>
      <c r="BS2" s="482" t="s">
        <v>40</v>
      </c>
      <c r="BT2" s="482" t="s">
        <v>41</v>
      </c>
      <c r="BU2" s="482" t="s">
        <v>42</v>
      </c>
      <c r="BV2" s="482" t="s">
        <v>43</v>
      </c>
      <c r="BW2" s="482" t="s">
        <v>44</v>
      </c>
      <c r="BX2" s="482" t="s">
        <v>45</v>
      </c>
      <c r="BY2" s="482" t="s">
        <v>39</v>
      </c>
      <c r="BZ2" s="482" t="s">
        <v>40</v>
      </c>
      <c r="CA2" s="482" t="s">
        <v>41</v>
      </c>
      <c r="CB2" s="482" t="s">
        <v>42</v>
      </c>
      <c r="CC2" s="482" t="s">
        <v>43</v>
      </c>
      <c r="CD2" s="482" t="s">
        <v>44</v>
      </c>
      <c r="CE2" s="482" t="s">
        <v>45</v>
      </c>
      <c r="CF2" s="482" t="s">
        <v>39</v>
      </c>
      <c r="CG2" s="482" t="s">
        <v>40</v>
      </c>
      <c r="CH2" s="482" t="s">
        <v>41</v>
      </c>
      <c r="CI2" s="482" t="s">
        <v>42</v>
      </c>
      <c r="CJ2" s="482" t="s">
        <v>43</v>
      </c>
      <c r="CK2" s="482" t="s">
        <v>44</v>
      </c>
      <c r="CL2" s="482" t="s">
        <v>45</v>
      </c>
      <c r="CM2" s="482" t="s">
        <v>39</v>
      </c>
      <c r="CN2" s="482" t="s">
        <v>40</v>
      </c>
      <c r="CO2" s="482" t="s">
        <v>41</v>
      </c>
      <c r="CP2" s="482" t="s">
        <v>42</v>
      </c>
      <c r="CQ2" s="482" t="s">
        <v>43</v>
      </c>
      <c r="CR2" s="482" t="s">
        <v>44</v>
      </c>
      <c r="CS2" s="482" t="s">
        <v>45</v>
      </c>
      <c r="CT2" s="14"/>
    </row>
    <row r="3" spans="1:99" s="15" customFormat="1" ht="62.25" customHeight="1" thickBot="1" x14ac:dyDescent="0.4">
      <c r="B3" s="16" t="s">
        <v>219</v>
      </c>
      <c r="C3" s="17" t="s">
        <v>220</v>
      </c>
      <c r="D3" s="17" t="s">
        <v>202</v>
      </c>
      <c r="E3" s="18"/>
      <c r="F3" s="19">
        <v>45962</v>
      </c>
      <c r="G3" s="20">
        <v>45964</v>
      </c>
      <c r="H3" s="20">
        <f t="shared" ref="H3:AO3" si="0">G3+1</f>
        <v>45965</v>
      </c>
      <c r="I3" s="20">
        <f t="shared" si="0"/>
        <v>45966</v>
      </c>
      <c r="J3" s="20">
        <f t="shared" si="0"/>
        <v>45967</v>
      </c>
      <c r="K3" s="20">
        <f t="shared" si="0"/>
        <v>45968</v>
      </c>
      <c r="L3" s="20">
        <f t="shared" si="0"/>
        <v>45969</v>
      </c>
      <c r="M3" s="20">
        <f t="shared" si="0"/>
        <v>45970</v>
      </c>
      <c r="N3" s="20">
        <f t="shared" si="0"/>
        <v>45971</v>
      </c>
      <c r="O3" s="20">
        <f t="shared" si="0"/>
        <v>45972</v>
      </c>
      <c r="P3" s="21">
        <f t="shared" si="0"/>
        <v>45973</v>
      </c>
      <c r="Q3" s="20">
        <f t="shared" si="0"/>
        <v>45974</v>
      </c>
      <c r="R3" s="21">
        <f t="shared" si="0"/>
        <v>45975</v>
      </c>
      <c r="S3" s="20">
        <f t="shared" si="0"/>
        <v>45976</v>
      </c>
      <c r="T3" s="507">
        <f t="shared" si="0"/>
        <v>45977</v>
      </c>
      <c r="U3" s="20">
        <f t="shared" si="0"/>
        <v>45978</v>
      </c>
      <c r="V3" s="21">
        <f t="shared" si="0"/>
        <v>45979</v>
      </c>
      <c r="W3" s="20">
        <f t="shared" si="0"/>
        <v>45980</v>
      </c>
      <c r="X3" s="21">
        <f t="shared" si="0"/>
        <v>45981</v>
      </c>
      <c r="Y3" s="20">
        <f t="shared" si="0"/>
        <v>45982</v>
      </c>
      <c r="Z3" s="21">
        <f t="shared" si="0"/>
        <v>45983</v>
      </c>
      <c r="AA3" s="20">
        <f t="shared" si="0"/>
        <v>45984</v>
      </c>
      <c r="AB3" s="21">
        <f t="shared" si="0"/>
        <v>45985</v>
      </c>
      <c r="AC3" s="20">
        <f t="shared" si="0"/>
        <v>45986</v>
      </c>
      <c r="AD3" s="21">
        <f t="shared" si="0"/>
        <v>45987</v>
      </c>
      <c r="AE3" s="20">
        <f t="shared" si="0"/>
        <v>45988</v>
      </c>
      <c r="AF3" s="21">
        <f t="shared" si="0"/>
        <v>45989</v>
      </c>
      <c r="AG3" s="20">
        <f t="shared" si="0"/>
        <v>45990</v>
      </c>
      <c r="AH3" s="21">
        <f t="shared" si="0"/>
        <v>45991</v>
      </c>
      <c r="AI3" s="20">
        <f t="shared" si="0"/>
        <v>45992</v>
      </c>
      <c r="AJ3" s="21">
        <f t="shared" si="0"/>
        <v>45993</v>
      </c>
      <c r="AK3" s="20">
        <f t="shared" si="0"/>
        <v>45994</v>
      </c>
      <c r="AL3" s="21">
        <f t="shared" si="0"/>
        <v>45995</v>
      </c>
      <c r="AM3" s="20">
        <f t="shared" si="0"/>
        <v>45996</v>
      </c>
      <c r="AN3" s="21">
        <f t="shared" si="0"/>
        <v>45997</v>
      </c>
      <c r="AO3" s="20">
        <f t="shared" si="0"/>
        <v>45998</v>
      </c>
      <c r="AP3" s="483">
        <f>AO3+1</f>
        <v>45999</v>
      </c>
      <c r="AQ3" s="483">
        <f t="shared" ref="AQ3:AZ3" si="1">AP3+1</f>
        <v>46000</v>
      </c>
      <c r="AR3" s="483">
        <f t="shared" si="1"/>
        <v>46001</v>
      </c>
      <c r="AS3" s="483">
        <f t="shared" si="1"/>
        <v>46002</v>
      </c>
      <c r="AT3" s="483">
        <f t="shared" si="1"/>
        <v>46003</v>
      </c>
      <c r="AU3" s="483">
        <f t="shared" si="1"/>
        <v>46004</v>
      </c>
      <c r="AV3" s="483">
        <f t="shared" si="1"/>
        <v>46005</v>
      </c>
      <c r="AW3" s="483">
        <f t="shared" si="1"/>
        <v>46006</v>
      </c>
      <c r="AX3" s="483">
        <f t="shared" si="1"/>
        <v>46007</v>
      </c>
      <c r="AY3" s="483">
        <f t="shared" si="1"/>
        <v>46008</v>
      </c>
      <c r="AZ3" s="483">
        <f t="shared" si="1"/>
        <v>46009</v>
      </c>
      <c r="BA3" s="483">
        <f t="shared" ref="BA3" si="2">AZ3+1</f>
        <v>46010</v>
      </c>
      <c r="BB3" s="483">
        <f t="shared" ref="BB3" si="3">BA3+1</f>
        <v>46011</v>
      </c>
      <c r="BC3" s="483">
        <f t="shared" ref="BC3" si="4">BB3+1</f>
        <v>46012</v>
      </c>
      <c r="BD3" s="483">
        <f t="shared" ref="BD3" si="5">BC3+1</f>
        <v>46013</v>
      </c>
      <c r="BE3" s="483">
        <f t="shared" ref="BE3" si="6">BD3+1</f>
        <v>46014</v>
      </c>
      <c r="BF3" s="483">
        <f t="shared" ref="BF3" si="7">BE3+1</f>
        <v>46015</v>
      </c>
      <c r="BG3" s="483">
        <f t="shared" ref="BG3" si="8">BF3+1</f>
        <v>46016</v>
      </c>
      <c r="BH3" s="483">
        <f t="shared" ref="BH3" si="9">BG3+1</f>
        <v>46017</v>
      </c>
      <c r="BI3" s="483">
        <f t="shared" ref="BI3" si="10">BH3+1</f>
        <v>46018</v>
      </c>
      <c r="BJ3" s="483">
        <f t="shared" ref="BJ3" si="11">BI3+1</f>
        <v>46019</v>
      </c>
      <c r="BK3" s="483">
        <f t="shared" ref="BK3" si="12">BJ3+1</f>
        <v>46020</v>
      </c>
      <c r="BL3" s="483">
        <f t="shared" ref="BL3" si="13">BK3+1</f>
        <v>46021</v>
      </c>
      <c r="BM3" s="483">
        <f t="shared" ref="BM3" si="14">BL3+1</f>
        <v>46022</v>
      </c>
      <c r="BN3" s="483">
        <f t="shared" ref="BN3" si="15">BM3+1</f>
        <v>46023</v>
      </c>
      <c r="BO3" s="483">
        <f t="shared" ref="BO3" si="16">BN3+1</f>
        <v>46024</v>
      </c>
      <c r="BP3" s="483">
        <f t="shared" ref="BP3" si="17">BO3+1</f>
        <v>46025</v>
      </c>
      <c r="BQ3" s="483">
        <f t="shared" ref="BQ3" si="18">BP3+1</f>
        <v>46026</v>
      </c>
      <c r="BR3" s="483">
        <f t="shared" ref="BR3" si="19">BQ3+1</f>
        <v>46027</v>
      </c>
      <c r="BS3" s="483">
        <f t="shared" ref="BS3" si="20">BR3+1</f>
        <v>46028</v>
      </c>
      <c r="BT3" s="483">
        <f t="shared" ref="BT3" si="21">BS3+1</f>
        <v>46029</v>
      </c>
      <c r="BU3" s="483">
        <f t="shared" ref="BU3" si="22">BT3+1</f>
        <v>46030</v>
      </c>
      <c r="BV3" s="483">
        <f t="shared" ref="BV3" si="23">BU3+1</f>
        <v>46031</v>
      </c>
      <c r="BW3" s="483">
        <f t="shared" ref="BW3" si="24">BV3+1</f>
        <v>46032</v>
      </c>
      <c r="BX3" s="483">
        <f t="shared" ref="BX3" si="25">BW3+1</f>
        <v>46033</v>
      </c>
      <c r="BY3" s="483">
        <f t="shared" ref="BY3" si="26">BX3+1</f>
        <v>46034</v>
      </c>
      <c r="BZ3" s="483">
        <f t="shared" ref="BZ3" si="27">BY3+1</f>
        <v>46035</v>
      </c>
      <c r="CA3" s="483">
        <f t="shared" ref="CA3" si="28">BZ3+1</f>
        <v>46036</v>
      </c>
      <c r="CB3" s="483">
        <f t="shared" ref="CB3" si="29">CA3+1</f>
        <v>46037</v>
      </c>
      <c r="CC3" s="483">
        <f t="shared" ref="CC3" si="30">CB3+1</f>
        <v>46038</v>
      </c>
      <c r="CD3" s="483">
        <f t="shared" ref="CD3" si="31">CC3+1</f>
        <v>46039</v>
      </c>
      <c r="CE3" s="483">
        <f t="shared" ref="CE3" si="32">CD3+1</f>
        <v>46040</v>
      </c>
      <c r="CF3" s="483">
        <f t="shared" ref="CF3" si="33">CE3+1</f>
        <v>46041</v>
      </c>
      <c r="CG3" s="483">
        <f t="shared" ref="CG3" si="34">CF3+1</f>
        <v>46042</v>
      </c>
      <c r="CH3" s="483">
        <f t="shared" ref="CH3" si="35">CG3+1</f>
        <v>46043</v>
      </c>
      <c r="CI3" s="483">
        <f t="shared" ref="CI3" si="36">CH3+1</f>
        <v>46044</v>
      </c>
      <c r="CJ3" s="483">
        <f t="shared" ref="CJ3" si="37">CI3+1</f>
        <v>46045</v>
      </c>
      <c r="CK3" s="483">
        <f t="shared" ref="CK3" si="38">CJ3+1</f>
        <v>46046</v>
      </c>
      <c r="CL3" s="483">
        <f t="shared" ref="CL3" si="39">CK3+1</f>
        <v>46047</v>
      </c>
      <c r="CM3" s="483">
        <f t="shared" ref="CM3" si="40">CL3+1</f>
        <v>46048</v>
      </c>
      <c r="CN3" s="483">
        <f t="shared" ref="CN3" si="41">CM3+1</f>
        <v>46049</v>
      </c>
      <c r="CO3" s="483">
        <f t="shared" ref="CO3" si="42">CN3+1</f>
        <v>46050</v>
      </c>
      <c r="CP3" s="483">
        <f t="shared" ref="CP3" si="43">CO3+1</f>
        <v>46051</v>
      </c>
      <c r="CQ3" s="483">
        <f t="shared" ref="CQ3" si="44">CP3+1</f>
        <v>46052</v>
      </c>
      <c r="CR3" s="483">
        <f t="shared" ref="CR3" si="45">CQ3+1</f>
        <v>46053</v>
      </c>
      <c r="CS3" s="483">
        <f t="shared" ref="CS3" si="46">CR3+1</f>
        <v>46054</v>
      </c>
      <c r="CT3" s="22" t="s">
        <v>32</v>
      </c>
    </row>
    <row r="4" spans="1:99" ht="13.5" customHeight="1" thickBot="1" x14ac:dyDescent="0.4">
      <c r="A4" s="9">
        <v>6800</v>
      </c>
      <c r="B4" s="762" t="s">
        <v>221</v>
      </c>
      <c r="C4" s="763" t="s">
        <v>207</v>
      </c>
      <c r="D4" s="764" t="s">
        <v>208</v>
      </c>
      <c r="E4" s="23" t="s">
        <v>204</v>
      </c>
      <c r="F4" s="24">
        <v>7598</v>
      </c>
      <c r="G4" s="25">
        <v>1536</v>
      </c>
      <c r="H4" s="25">
        <v>1628</v>
      </c>
      <c r="I4" s="26">
        <v>1886</v>
      </c>
      <c r="J4" s="27">
        <v>1572</v>
      </c>
      <c r="K4" s="28">
        <v>1572</v>
      </c>
      <c r="L4" s="28">
        <v>1572</v>
      </c>
      <c r="M4" s="28">
        <v>0</v>
      </c>
      <c r="N4" s="28">
        <v>1572</v>
      </c>
      <c r="O4" s="28">
        <v>1572</v>
      </c>
      <c r="P4" s="28">
        <v>1572</v>
      </c>
      <c r="Q4" s="28">
        <v>1572</v>
      </c>
      <c r="R4" s="28">
        <v>1572</v>
      </c>
      <c r="S4" s="28">
        <v>1204</v>
      </c>
      <c r="T4" s="29"/>
      <c r="U4" s="29"/>
      <c r="V4" s="29"/>
      <c r="W4" s="29"/>
      <c r="X4" s="29"/>
      <c r="Y4" s="29"/>
      <c r="Z4" s="29"/>
      <c r="AA4" s="29"/>
      <c r="AB4" s="29"/>
      <c r="AC4" s="29"/>
      <c r="AD4" s="29"/>
      <c r="AE4" s="29"/>
      <c r="AF4" s="29"/>
      <c r="AG4" s="29"/>
      <c r="AH4" s="29"/>
      <c r="AI4" s="29"/>
      <c r="AJ4" s="29"/>
      <c r="AK4" s="29"/>
      <c r="AL4" s="29"/>
      <c r="AM4" s="29"/>
      <c r="AN4" s="29"/>
      <c r="AO4" s="78"/>
      <c r="AP4" s="153"/>
      <c r="AQ4" s="153"/>
      <c r="AR4" s="153"/>
      <c r="AS4" s="153"/>
      <c r="AT4" s="153"/>
      <c r="AU4" s="153"/>
      <c r="AV4" s="153"/>
      <c r="AW4" s="153"/>
      <c r="AX4" s="153"/>
      <c r="AY4" s="153"/>
      <c r="AZ4" s="153"/>
      <c r="BA4" s="153"/>
      <c r="BB4" s="153"/>
      <c r="BC4" s="153"/>
      <c r="BD4" s="153"/>
      <c r="BE4" s="153"/>
      <c r="BF4" s="153"/>
      <c r="BG4" s="153"/>
      <c r="BH4" s="153"/>
      <c r="BI4" s="153"/>
      <c r="BJ4" s="153"/>
      <c r="BK4" s="153"/>
      <c r="BL4" s="153"/>
      <c r="BM4" s="153"/>
      <c r="BN4" s="153"/>
      <c r="BO4" s="153"/>
      <c r="BP4" s="153"/>
      <c r="BQ4" s="153"/>
      <c r="BR4" s="153"/>
      <c r="BS4" s="153"/>
      <c r="BT4" s="153"/>
      <c r="BU4" s="153"/>
      <c r="BV4" s="153"/>
      <c r="BW4" s="153"/>
      <c r="BX4" s="153"/>
      <c r="BY4" s="153"/>
      <c r="BZ4" s="153"/>
      <c r="CA4" s="153"/>
      <c r="CB4" s="153"/>
      <c r="CC4" s="153"/>
      <c r="CD4" s="153"/>
      <c r="CE4" s="153"/>
      <c r="CF4" s="153"/>
      <c r="CG4" s="153"/>
      <c r="CH4" s="153"/>
      <c r="CI4" s="153"/>
      <c r="CJ4" s="153"/>
      <c r="CK4" s="153"/>
      <c r="CL4" s="153"/>
      <c r="CM4" s="153"/>
      <c r="CN4" s="153"/>
      <c r="CO4" s="153"/>
      <c r="CP4" s="153"/>
      <c r="CQ4" s="153"/>
      <c r="CR4" s="153"/>
      <c r="CS4" s="153"/>
      <c r="CT4" s="30">
        <f>SUM(F4:CS4)</f>
        <v>26428</v>
      </c>
      <c r="CU4" s="31" t="s">
        <v>222</v>
      </c>
    </row>
    <row r="5" spans="1:99" ht="14.5" x14ac:dyDescent="0.35">
      <c r="A5" s="9" t="s">
        <v>223</v>
      </c>
      <c r="B5" s="762"/>
      <c r="C5" s="763"/>
      <c r="D5" s="764"/>
      <c r="E5" s="32" t="s">
        <v>224</v>
      </c>
      <c r="F5" s="33">
        <v>7598</v>
      </c>
      <c r="G5" s="34">
        <v>1536</v>
      </c>
      <c r="H5" s="34">
        <v>1628</v>
      </c>
      <c r="I5" s="35">
        <v>2028</v>
      </c>
      <c r="J5" s="36">
        <v>1965</v>
      </c>
      <c r="K5" s="37">
        <v>2739</v>
      </c>
      <c r="L5" s="37">
        <v>1513</v>
      </c>
      <c r="M5" s="37">
        <v>0</v>
      </c>
      <c r="N5" s="37">
        <v>1412</v>
      </c>
      <c r="O5" s="37">
        <v>1959</v>
      </c>
      <c r="P5" s="37">
        <v>1572</v>
      </c>
      <c r="Q5" s="37">
        <v>2396</v>
      </c>
      <c r="R5" s="37">
        <v>2350</v>
      </c>
      <c r="S5" s="37">
        <v>670</v>
      </c>
      <c r="T5" s="38"/>
      <c r="U5" s="37">
        <v>281</v>
      </c>
      <c r="V5" s="37">
        <v>176</v>
      </c>
      <c r="W5" s="38"/>
      <c r="X5" s="38"/>
      <c r="Y5" s="38"/>
      <c r="Z5" s="38"/>
      <c r="AA5" s="38"/>
      <c r="AB5" s="38"/>
      <c r="AC5" s="38"/>
      <c r="AD5" s="38"/>
      <c r="AE5" s="38"/>
      <c r="AF5" s="38"/>
      <c r="AG5" s="38"/>
      <c r="AH5" s="38"/>
      <c r="AI5" s="38"/>
      <c r="AJ5" s="38"/>
      <c r="AK5" s="38"/>
      <c r="AL5" s="38"/>
      <c r="AM5" s="38"/>
      <c r="AN5" s="38"/>
      <c r="AO5" s="63"/>
      <c r="AP5" s="153"/>
      <c r="AQ5" s="153"/>
      <c r="AR5" s="153"/>
      <c r="AS5" s="153"/>
      <c r="AT5" s="153"/>
      <c r="AU5" s="153"/>
      <c r="AV5" s="153"/>
      <c r="AW5" s="153"/>
      <c r="AX5" s="153"/>
      <c r="AY5" s="153"/>
      <c r="AZ5" s="153"/>
      <c r="BA5" s="153"/>
      <c r="BB5" s="153"/>
      <c r="BC5" s="153"/>
      <c r="BD5" s="153"/>
      <c r="BE5" s="153"/>
      <c r="BF5" s="153"/>
      <c r="BG5" s="153"/>
      <c r="BH5" s="153"/>
      <c r="BI5" s="153"/>
      <c r="BJ5" s="153"/>
      <c r="BK5" s="153"/>
      <c r="BL5" s="153"/>
      <c r="BM5" s="153"/>
      <c r="BN5" s="153"/>
      <c r="BO5" s="153"/>
      <c r="BP5" s="153"/>
      <c r="BQ5" s="153"/>
      <c r="BR5" s="153"/>
      <c r="BS5" s="153"/>
      <c r="BT5" s="153"/>
      <c r="BU5" s="153"/>
      <c r="BV5" s="153"/>
      <c r="BW5" s="153"/>
      <c r="BX5" s="153"/>
      <c r="BY5" s="153"/>
      <c r="BZ5" s="153"/>
      <c r="CA5" s="153"/>
      <c r="CB5" s="153"/>
      <c r="CC5" s="153"/>
      <c r="CD5" s="153"/>
      <c r="CE5" s="153"/>
      <c r="CF5" s="153"/>
      <c r="CG5" s="153"/>
      <c r="CH5" s="153"/>
      <c r="CI5" s="153"/>
      <c r="CJ5" s="153"/>
      <c r="CK5" s="153"/>
      <c r="CL5" s="153"/>
      <c r="CM5" s="153"/>
      <c r="CN5" s="153"/>
      <c r="CO5" s="153"/>
      <c r="CP5" s="153"/>
      <c r="CQ5" s="153"/>
      <c r="CR5" s="153"/>
      <c r="CS5" s="153"/>
      <c r="CT5" s="39">
        <f>SUM(F5:CS5)</f>
        <v>29823</v>
      </c>
      <c r="CU5" s="40" t="s">
        <v>225</v>
      </c>
    </row>
    <row r="6" spans="1:99" s="47" customFormat="1" ht="15" thickBot="1" x14ac:dyDescent="0.4">
      <c r="A6" s="9" t="s">
        <v>223</v>
      </c>
      <c r="B6" s="762"/>
      <c r="C6" s="763"/>
      <c r="D6" s="764"/>
      <c r="E6" s="41" t="s">
        <v>226</v>
      </c>
      <c r="F6" s="42"/>
      <c r="G6" s="42"/>
      <c r="H6" s="42"/>
      <c r="I6" s="42"/>
      <c r="J6" s="42"/>
      <c r="K6" s="42"/>
      <c r="L6" s="42"/>
      <c r="M6" s="42"/>
      <c r="N6" s="42"/>
      <c r="O6" s="42"/>
      <c r="P6" s="42">
        <v>1075.4391891891892</v>
      </c>
      <c r="Q6" s="42">
        <v>1075.4391891891892</v>
      </c>
      <c r="R6" s="42">
        <v>1075.4391891891892</v>
      </c>
      <c r="S6" s="42">
        <v>823.68243243243251</v>
      </c>
      <c r="T6" s="43"/>
      <c r="U6" s="43">
        <v>300</v>
      </c>
      <c r="V6" s="43">
        <v>300</v>
      </c>
      <c r="W6" s="43"/>
      <c r="X6" s="43"/>
      <c r="Y6" s="43"/>
      <c r="Z6" s="43"/>
      <c r="AA6" s="43"/>
      <c r="AB6" s="44"/>
      <c r="AC6" s="44"/>
      <c r="AD6" s="44"/>
      <c r="AE6" s="44"/>
      <c r="AF6" s="44"/>
      <c r="AG6" s="44"/>
      <c r="AH6" s="44"/>
      <c r="AI6" s="44"/>
      <c r="AJ6" s="44"/>
      <c r="AK6" s="44"/>
      <c r="AL6" s="44"/>
      <c r="AM6" s="44"/>
      <c r="AN6" s="44"/>
      <c r="AO6" s="44"/>
      <c r="AP6" s="493"/>
      <c r="AQ6" s="493"/>
      <c r="AR6" s="493"/>
      <c r="AS6" s="493"/>
      <c r="AT6" s="493"/>
      <c r="AU6" s="493"/>
      <c r="AV6" s="493"/>
      <c r="AW6" s="493"/>
      <c r="AX6" s="493"/>
      <c r="AY6" s="493"/>
      <c r="AZ6" s="493"/>
      <c r="BA6" s="493"/>
      <c r="BB6" s="493"/>
      <c r="BC6" s="493"/>
      <c r="BD6" s="493"/>
      <c r="BE6" s="493"/>
      <c r="BF6" s="493"/>
      <c r="BG6" s="493"/>
      <c r="BH6" s="493"/>
      <c r="BI6" s="493"/>
      <c r="BJ6" s="493"/>
      <c r="BK6" s="493"/>
      <c r="BL6" s="493"/>
      <c r="BM6" s="493"/>
      <c r="BN6" s="493"/>
      <c r="BO6" s="493"/>
      <c r="BP6" s="493"/>
      <c r="BQ6" s="493"/>
      <c r="BR6" s="493"/>
      <c r="BS6" s="493"/>
      <c r="BT6" s="493"/>
      <c r="BU6" s="493"/>
      <c r="BV6" s="493"/>
      <c r="BW6" s="493"/>
      <c r="BX6" s="493"/>
      <c r="BY6" s="493"/>
      <c r="BZ6" s="493"/>
      <c r="CA6" s="493"/>
      <c r="CB6" s="493"/>
      <c r="CC6" s="493"/>
      <c r="CD6" s="493"/>
      <c r="CE6" s="493"/>
      <c r="CF6" s="493"/>
      <c r="CG6" s="493"/>
      <c r="CH6" s="493"/>
      <c r="CI6" s="493"/>
      <c r="CJ6" s="493"/>
      <c r="CK6" s="493"/>
      <c r="CL6" s="493"/>
      <c r="CM6" s="493"/>
      <c r="CN6" s="493"/>
      <c r="CO6" s="493"/>
      <c r="CP6" s="493"/>
      <c r="CQ6" s="493"/>
      <c r="CR6" s="493"/>
      <c r="CS6" s="493"/>
      <c r="CT6" s="45">
        <f>SUM(F6:CS6)</f>
        <v>4650</v>
      </c>
      <c r="CU6" s="46" t="s">
        <v>227</v>
      </c>
    </row>
    <row r="7" spans="1:99" ht="13" thickBot="1" x14ac:dyDescent="0.3">
      <c r="B7" s="48"/>
      <c r="C7" s="48"/>
      <c r="D7" s="48"/>
      <c r="E7" s="49"/>
      <c r="F7" s="50"/>
      <c r="G7" s="51"/>
      <c r="H7" s="51"/>
      <c r="I7" s="52"/>
      <c r="J7" s="51"/>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c r="AV7" s="51"/>
      <c r="AW7" s="51"/>
      <c r="AX7" s="51"/>
      <c r="AY7" s="51"/>
      <c r="AZ7" s="51"/>
      <c r="BA7" s="51"/>
      <c r="BB7" s="51"/>
      <c r="BC7" s="51"/>
      <c r="BD7" s="51"/>
      <c r="BE7" s="51"/>
      <c r="BF7" s="51"/>
      <c r="BG7" s="51"/>
      <c r="BH7" s="51"/>
      <c r="BI7" s="51"/>
      <c r="BJ7" s="51"/>
      <c r="BK7" s="51"/>
      <c r="BL7" s="51"/>
      <c r="BM7" s="51"/>
      <c r="BN7" s="51"/>
      <c r="BO7" s="51"/>
      <c r="BP7" s="51"/>
      <c r="BQ7" s="51"/>
      <c r="BR7" s="51"/>
      <c r="BS7" s="51"/>
      <c r="BT7" s="51"/>
      <c r="BU7" s="51"/>
      <c r="BV7" s="51"/>
      <c r="BW7" s="51"/>
      <c r="BX7" s="51"/>
      <c r="BY7" s="51"/>
      <c r="BZ7" s="51"/>
      <c r="CA7" s="51"/>
      <c r="CB7" s="51"/>
      <c r="CC7" s="51"/>
      <c r="CD7" s="51"/>
      <c r="CE7" s="51"/>
      <c r="CF7" s="51"/>
      <c r="CG7" s="51"/>
      <c r="CH7" s="51"/>
      <c r="CI7" s="51"/>
      <c r="CJ7" s="51"/>
      <c r="CK7" s="51"/>
      <c r="CL7" s="51"/>
      <c r="CM7" s="51"/>
      <c r="CN7" s="51"/>
      <c r="CO7" s="51"/>
      <c r="CP7" s="51"/>
      <c r="CQ7" s="51"/>
      <c r="CR7" s="51"/>
      <c r="CS7" s="51"/>
      <c r="CT7" s="51"/>
      <c r="CU7" s="51"/>
    </row>
    <row r="8" spans="1:99" ht="23.25" customHeight="1" x14ac:dyDescent="0.35">
      <c r="B8" s="762" t="s">
        <v>221</v>
      </c>
      <c r="C8" s="765" t="s">
        <v>207</v>
      </c>
      <c r="D8" s="766" t="s">
        <v>185</v>
      </c>
      <c r="E8" s="23" t="s">
        <v>204</v>
      </c>
      <c r="F8" s="53">
        <v>0.28749810806720144</v>
      </c>
      <c r="G8" s="54">
        <v>5.8120175571363702E-2</v>
      </c>
      <c r="H8" s="54">
        <v>6.1601331920690179E-2</v>
      </c>
      <c r="I8" s="55">
        <v>7.136370516119267E-2</v>
      </c>
      <c r="J8" s="54">
        <v>5.9482367186317539E-2</v>
      </c>
      <c r="K8" s="54">
        <v>5.9482367186317539E-2</v>
      </c>
      <c r="L8" s="54">
        <v>5.9482367186317539E-2</v>
      </c>
      <c r="M8" s="54">
        <v>0</v>
      </c>
      <c r="N8" s="54">
        <v>5.9482367186317539E-2</v>
      </c>
      <c r="O8" s="54">
        <v>5.9482367186317539E-2</v>
      </c>
      <c r="P8" s="54">
        <v>5.9482367186317539E-2</v>
      </c>
      <c r="Q8" s="54">
        <v>5.9482367186317539E-2</v>
      </c>
      <c r="R8" s="54">
        <v>5.9482367186317539E-2</v>
      </c>
      <c r="S8" s="54">
        <v>4.5557741789011653E-2</v>
      </c>
      <c r="T8" s="54">
        <v>0</v>
      </c>
      <c r="U8" s="54">
        <v>0</v>
      </c>
      <c r="V8" s="54">
        <v>0</v>
      </c>
      <c r="W8" s="54">
        <v>0</v>
      </c>
      <c r="X8" s="54"/>
      <c r="Y8" s="56"/>
      <c r="Z8" s="56"/>
      <c r="AA8" s="56"/>
      <c r="AB8" s="56"/>
      <c r="AC8" s="57"/>
      <c r="AD8" s="57"/>
      <c r="AE8" s="57"/>
      <c r="AF8" s="57"/>
      <c r="AG8" s="57"/>
      <c r="AH8" s="57"/>
      <c r="AI8" s="57"/>
      <c r="AJ8" s="57"/>
      <c r="AK8" s="57"/>
      <c r="AL8" s="57"/>
      <c r="AM8" s="57"/>
      <c r="AN8" s="57"/>
      <c r="AO8" s="57"/>
      <c r="AP8" s="57"/>
      <c r="AQ8" s="57"/>
      <c r="AR8" s="57"/>
      <c r="AS8" s="57"/>
      <c r="AT8" s="57"/>
      <c r="AU8" s="57"/>
      <c r="AV8" s="57"/>
      <c r="AW8" s="57"/>
      <c r="AX8" s="57"/>
      <c r="AY8" s="57"/>
      <c r="AZ8" s="57"/>
      <c r="BA8" s="57"/>
      <c r="BB8" s="57"/>
      <c r="BC8" s="57"/>
      <c r="BD8" s="57"/>
      <c r="BE8" s="57"/>
      <c r="BF8" s="57"/>
      <c r="BG8" s="57"/>
      <c r="BH8" s="57"/>
      <c r="BI8" s="57"/>
      <c r="BJ8" s="57"/>
      <c r="BK8" s="57"/>
      <c r="BL8" s="57"/>
      <c r="BM8" s="57"/>
      <c r="BN8" s="57"/>
      <c r="BO8" s="57"/>
      <c r="BP8" s="57"/>
      <c r="BQ8" s="57"/>
      <c r="BR8" s="57"/>
      <c r="BS8" s="57"/>
      <c r="BT8" s="57"/>
      <c r="BU8" s="57"/>
      <c r="BV8" s="57"/>
      <c r="BW8" s="57"/>
      <c r="BX8" s="57"/>
      <c r="BY8" s="57"/>
      <c r="BZ8" s="57"/>
      <c r="CA8" s="57"/>
      <c r="CB8" s="57"/>
      <c r="CC8" s="57"/>
      <c r="CD8" s="57"/>
      <c r="CE8" s="57"/>
      <c r="CF8" s="57"/>
      <c r="CG8" s="57"/>
      <c r="CH8" s="57"/>
      <c r="CI8" s="57"/>
      <c r="CJ8" s="57"/>
      <c r="CK8" s="57"/>
      <c r="CL8" s="57"/>
      <c r="CM8" s="57"/>
      <c r="CN8" s="57"/>
      <c r="CO8" s="57"/>
      <c r="CP8" s="57"/>
      <c r="CQ8" s="57"/>
      <c r="CR8" s="57"/>
      <c r="CS8" s="57"/>
      <c r="CT8" s="58">
        <f>SUM(F8:CS8)</f>
        <v>0.99999999999999967</v>
      </c>
      <c r="CU8" s="59" t="s">
        <v>222</v>
      </c>
    </row>
    <row r="9" spans="1:99" ht="14.5" x14ac:dyDescent="0.35">
      <c r="B9" s="762"/>
      <c r="C9" s="765"/>
      <c r="D9" s="766"/>
      <c r="E9" s="32" t="s">
        <v>224</v>
      </c>
      <c r="F9" s="60">
        <v>0.28749810806720144</v>
      </c>
      <c r="G9" s="61">
        <v>5.8120175571363702E-2</v>
      </c>
      <c r="H9" s="61">
        <v>6.1601331920690179E-2</v>
      </c>
      <c r="I9" s="62">
        <v>7.6736794309066145E-2</v>
      </c>
      <c r="J9" s="61">
        <v>7.4352958982896927E-2</v>
      </c>
      <c r="K9" s="61">
        <v>0.10364007870440442</v>
      </c>
      <c r="L9" s="61">
        <v>5.7249886484032085E-2</v>
      </c>
      <c r="M9" s="61">
        <v>0</v>
      </c>
      <c r="N9" s="61">
        <v>5.3428182230967153E-2</v>
      </c>
      <c r="O9" s="61">
        <v>7.4125927047071286E-2</v>
      </c>
      <c r="P9" s="61"/>
      <c r="Q9" s="61"/>
      <c r="R9" s="61"/>
      <c r="S9" s="61"/>
      <c r="T9" s="61"/>
      <c r="U9" s="61"/>
      <c r="V9" s="38"/>
      <c r="W9" s="38"/>
      <c r="X9" s="38"/>
      <c r="Y9" s="38"/>
      <c r="Z9" s="38"/>
      <c r="AA9" s="38"/>
      <c r="AB9" s="38"/>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c r="BN9" s="63"/>
      <c r="BO9" s="63"/>
      <c r="BP9" s="63"/>
      <c r="BQ9" s="63"/>
      <c r="BR9" s="63"/>
      <c r="BS9" s="63"/>
      <c r="BT9" s="63"/>
      <c r="BU9" s="63"/>
      <c r="BV9" s="63"/>
      <c r="BW9" s="63"/>
      <c r="BX9" s="63"/>
      <c r="BY9" s="63"/>
      <c r="BZ9" s="63"/>
      <c r="CA9" s="63"/>
      <c r="CB9" s="63"/>
      <c r="CC9" s="63"/>
      <c r="CD9" s="63"/>
      <c r="CE9" s="63"/>
      <c r="CF9" s="63"/>
      <c r="CG9" s="63"/>
      <c r="CH9" s="63"/>
      <c r="CI9" s="63"/>
      <c r="CJ9" s="63"/>
      <c r="CK9" s="63"/>
      <c r="CL9" s="63"/>
      <c r="CM9" s="63"/>
      <c r="CN9" s="63"/>
      <c r="CO9" s="63"/>
      <c r="CP9" s="63"/>
      <c r="CQ9" s="63"/>
      <c r="CR9" s="63"/>
      <c r="CS9" s="63"/>
      <c r="CT9" s="64">
        <f>SUM(F9:CS9)</f>
        <v>0.84675344331769331</v>
      </c>
      <c r="CU9" s="65" t="s">
        <v>225</v>
      </c>
    </row>
    <row r="10" spans="1:99" ht="15" thickBot="1" x14ac:dyDescent="0.4">
      <c r="B10" s="762"/>
      <c r="C10" s="765"/>
      <c r="D10" s="766"/>
      <c r="E10" s="41" t="s">
        <v>226</v>
      </c>
      <c r="F10" s="66"/>
      <c r="G10" s="67"/>
      <c r="H10" s="67"/>
      <c r="I10" s="68"/>
      <c r="J10" s="67"/>
      <c r="K10" s="67"/>
      <c r="L10" s="67"/>
      <c r="M10" s="67"/>
      <c r="N10" s="67"/>
      <c r="O10" s="67"/>
      <c r="P10" s="67">
        <v>4.069317349739629E-2</v>
      </c>
      <c r="Q10" s="67">
        <v>4.069317349739629E-2</v>
      </c>
      <c r="R10" s="67">
        <v>4.069317349739629E-2</v>
      </c>
      <c r="S10" s="67">
        <v>3.1167036190117774E-2</v>
      </c>
      <c r="T10" s="67">
        <v>0</v>
      </c>
      <c r="U10" s="67">
        <v>1.1351596791281974E-2</v>
      </c>
      <c r="V10" s="69">
        <v>1.1351596791281974E-2</v>
      </c>
      <c r="W10" s="69">
        <v>0</v>
      </c>
      <c r="X10" s="69"/>
      <c r="Y10" s="69"/>
      <c r="Z10" s="69"/>
      <c r="AA10" s="69"/>
      <c r="AB10" s="69"/>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0"/>
      <c r="BU10" s="70"/>
      <c r="BV10" s="70"/>
      <c r="BW10" s="70"/>
      <c r="BX10" s="70"/>
      <c r="BY10" s="70"/>
      <c r="BZ10" s="70"/>
      <c r="CA10" s="70"/>
      <c r="CB10" s="70"/>
      <c r="CC10" s="70"/>
      <c r="CD10" s="70"/>
      <c r="CE10" s="70"/>
      <c r="CF10" s="70"/>
      <c r="CG10" s="70"/>
      <c r="CH10" s="70"/>
      <c r="CI10" s="70"/>
      <c r="CJ10" s="70"/>
      <c r="CK10" s="70"/>
      <c r="CL10" s="70"/>
      <c r="CM10" s="70"/>
      <c r="CN10" s="70"/>
      <c r="CO10" s="70"/>
      <c r="CP10" s="70"/>
      <c r="CQ10" s="70"/>
      <c r="CR10" s="70"/>
      <c r="CS10" s="70"/>
      <c r="CT10" s="71">
        <f>SUM(F10:CS10)</f>
        <v>0.17594975026487059</v>
      </c>
      <c r="CU10" s="46" t="s">
        <v>227</v>
      </c>
    </row>
    <row r="11" spans="1:99" ht="13" thickBot="1" x14ac:dyDescent="0.3">
      <c r="B11" s="48"/>
      <c r="C11" s="48"/>
      <c r="D11" s="48"/>
      <c r="E11" s="49"/>
      <c r="F11" s="50"/>
      <c r="G11" s="51"/>
      <c r="H11" s="51"/>
      <c r="I11" s="52"/>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c r="BM11" s="51"/>
      <c r="BN11" s="51"/>
      <c r="BO11" s="51"/>
      <c r="BP11" s="51"/>
      <c r="BQ11" s="51"/>
      <c r="BR11" s="51"/>
      <c r="BS11" s="51"/>
      <c r="BT11" s="51"/>
      <c r="BU11" s="51"/>
      <c r="BV11" s="51"/>
      <c r="BW11" s="51"/>
      <c r="BX11" s="51"/>
      <c r="BY11" s="51"/>
      <c r="BZ11" s="51"/>
      <c r="CA11" s="51"/>
      <c r="CB11" s="51"/>
      <c r="CC11" s="51"/>
      <c r="CD11" s="51"/>
      <c r="CE11" s="51"/>
      <c r="CF11" s="51"/>
      <c r="CG11" s="51"/>
      <c r="CH11" s="51"/>
      <c r="CI11" s="51"/>
      <c r="CJ11" s="51"/>
      <c r="CK11" s="51"/>
      <c r="CL11" s="51"/>
      <c r="CM11" s="51"/>
      <c r="CN11" s="51"/>
      <c r="CO11" s="51"/>
      <c r="CP11" s="51"/>
      <c r="CQ11" s="51"/>
      <c r="CR11" s="51"/>
      <c r="CS11" s="51"/>
      <c r="CT11" s="51"/>
      <c r="CU11" s="51"/>
    </row>
    <row r="12" spans="1:99" ht="14.5" x14ac:dyDescent="0.35">
      <c r="A12" s="9" t="s">
        <v>223</v>
      </c>
      <c r="B12" s="762" t="s">
        <v>221</v>
      </c>
      <c r="C12" s="763" t="s">
        <v>209</v>
      </c>
      <c r="D12" s="764" t="s">
        <v>208</v>
      </c>
      <c r="E12" s="23" t="s">
        <v>204</v>
      </c>
      <c r="F12" s="72"/>
      <c r="G12" s="73"/>
      <c r="H12" s="73"/>
      <c r="I12" s="74"/>
      <c r="J12" s="28"/>
      <c r="K12" s="75">
        <v>5000</v>
      </c>
      <c r="L12" s="75">
        <v>5000</v>
      </c>
      <c r="M12" s="76">
        <v>10000</v>
      </c>
      <c r="N12" s="75">
        <v>5000</v>
      </c>
      <c r="O12" s="75">
        <v>5000</v>
      </c>
      <c r="P12" s="75">
        <v>5000</v>
      </c>
      <c r="Q12" s="75"/>
      <c r="R12" s="75"/>
      <c r="S12" s="75"/>
      <c r="T12" s="75"/>
      <c r="U12" s="75"/>
      <c r="V12" s="75"/>
      <c r="W12" s="75"/>
      <c r="X12" s="75"/>
      <c r="Y12" s="75"/>
      <c r="Z12" s="75"/>
      <c r="AA12" s="75"/>
      <c r="AB12" s="75"/>
      <c r="AC12" s="77"/>
      <c r="AD12" s="77"/>
      <c r="AE12" s="77"/>
      <c r="AF12" s="77"/>
      <c r="AG12" s="77"/>
      <c r="AH12" s="77"/>
      <c r="AI12" s="77"/>
      <c r="AJ12" s="77"/>
      <c r="AK12" s="77"/>
      <c r="AL12" s="77"/>
      <c r="AM12" s="593"/>
      <c r="AN12" s="593"/>
      <c r="AO12" s="593"/>
      <c r="AP12" s="593"/>
      <c r="AQ12" s="593"/>
      <c r="AR12" s="593"/>
      <c r="AS12" s="593"/>
      <c r="AT12" s="593"/>
      <c r="AU12" s="593"/>
      <c r="AV12" s="593"/>
      <c r="AW12" s="593"/>
      <c r="AX12" s="593"/>
      <c r="AY12" s="593"/>
      <c r="AZ12" s="78"/>
      <c r="BA12" s="78"/>
      <c r="BB12" s="78"/>
      <c r="BC12" s="78"/>
      <c r="BD12" s="78"/>
      <c r="BE12" s="78"/>
      <c r="BF12" s="78"/>
      <c r="BG12" s="78"/>
      <c r="BH12" s="78"/>
      <c r="BI12" s="78"/>
      <c r="BJ12" s="78"/>
      <c r="BK12" s="78"/>
      <c r="BL12" s="78"/>
      <c r="BM12" s="78"/>
      <c r="BN12" s="78"/>
      <c r="BO12" s="78"/>
      <c r="BP12" s="78"/>
      <c r="BQ12" s="78"/>
      <c r="BR12" s="593"/>
      <c r="BS12" s="593"/>
      <c r="BT12" s="593"/>
      <c r="BU12" s="593"/>
      <c r="BV12" s="593"/>
      <c r="BW12" s="78"/>
      <c r="BX12" s="78"/>
      <c r="BY12" s="78"/>
      <c r="BZ12" s="78"/>
      <c r="CA12" s="78"/>
      <c r="CB12" s="78"/>
      <c r="CC12" s="78"/>
      <c r="CD12" s="78"/>
      <c r="CE12" s="78"/>
      <c r="CF12" s="78"/>
      <c r="CG12" s="78"/>
      <c r="CH12" s="78"/>
      <c r="CI12" s="78"/>
      <c r="CJ12" s="78"/>
      <c r="CK12" s="78"/>
      <c r="CL12" s="78"/>
      <c r="CM12" s="78"/>
      <c r="CN12" s="78"/>
      <c r="CO12" s="78"/>
      <c r="CP12" s="78"/>
      <c r="CQ12" s="78"/>
      <c r="CR12" s="78"/>
      <c r="CS12" s="78"/>
      <c r="CT12" s="437">
        <f>SUM(F12:CS12)</f>
        <v>35000</v>
      </c>
      <c r="CU12" s="59" t="s">
        <v>222</v>
      </c>
    </row>
    <row r="13" spans="1:99" ht="14.5" x14ac:dyDescent="0.35">
      <c r="A13" s="9" t="s">
        <v>223</v>
      </c>
      <c r="B13" s="762"/>
      <c r="C13" s="763"/>
      <c r="D13" s="764"/>
      <c r="E13" s="32" t="s">
        <v>224</v>
      </c>
      <c r="F13" s="79"/>
      <c r="G13" s="80"/>
      <c r="H13" s="80"/>
      <c r="I13" s="81"/>
      <c r="J13" s="80"/>
      <c r="K13" s="602"/>
      <c r="L13" s="602"/>
      <c r="M13" s="603"/>
      <c r="N13" s="603"/>
      <c r="O13" s="603"/>
      <c r="P13" s="604">
        <v>300</v>
      </c>
      <c r="Q13" s="605">
        <v>300</v>
      </c>
      <c r="R13" s="605">
        <v>300</v>
      </c>
      <c r="S13" s="605">
        <v>300</v>
      </c>
      <c r="T13" s="605"/>
      <c r="U13" s="605">
        <v>1151</v>
      </c>
      <c r="V13" s="605">
        <v>1915</v>
      </c>
      <c r="W13" s="605">
        <v>2238</v>
      </c>
      <c r="X13" s="605">
        <v>1005</v>
      </c>
      <c r="Y13" s="605">
        <v>1998</v>
      </c>
      <c r="Z13" s="605">
        <v>404</v>
      </c>
      <c r="AA13" s="605">
        <v>0</v>
      </c>
      <c r="AB13" s="605">
        <v>525</v>
      </c>
      <c r="AC13" s="594">
        <v>2256</v>
      </c>
      <c r="AD13" s="594">
        <v>3470</v>
      </c>
      <c r="AE13" s="594"/>
      <c r="AF13" s="594"/>
      <c r="AG13" s="594">
        <v>1440</v>
      </c>
      <c r="AH13" s="594">
        <v>650</v>
      </c>
      <c r="AI13" s="594">
        <v>1754</v>
      </c>
      <c r="AJ13" s="594">
        <v>2490</v>
      </c>
      <c r="AK13" s="594">
        <v>2440</v>
      </c>
      <c r="AL13" s="594">
        <v>2296</v>
      </c>
      <c r="AM13" s="594">
        <v>2930</v>
      </c>
      <c r="AN13" s="594">
        <v>0</v>
      </c>
      <c r="AO13" s="594">
        <v>0</v>
      </c>
      <c r="AP13" s="594">
        <v>3624</v>
      </c>
      <c r="AQ13" s="594">
        <v>3872</v>
      </c>
      <c r="AR13" s="594">
        <v>0</v>
      </c>
      <c r="AS13" s="594"/>
      <c r="AT13" s="594"/>
      <c r="AU13" s="594"/>
      <c r="AV13" s="594">
        <v>550</v>
      </c>
      <c r="AW13" s="594">
        <v>550</v>
      </c>
      <c r="AX13" s="594">
        <v>550</v>
      </c>
      <c r="AY13" s="594">
        <v>550</v>
      </c>
      <c r="AZ13" s="63"/>
      <c r="BA13" s="63"/>
      <c r="BB13" s="63"/>
      <c r="BC13" s="63"/>
      <c r="BD13" s="63"/>
      <c r="BE13" s="63"/>
      <c r="BF13" s="63"/>
      <c r="BG13" s="63"/>
      <c r="BH13" s="63"/>
      <c r="BI13" s="63"/>
      <c r="BJ13" s="63"/>
      <c r="BK13" s="63"/>
      <c r="BL13" s="63"/>
      <c r="BM13" s="63"/>
      <c r="BN13" s="63"/>
      <c r="BO13" s="63"/>
      <c r="BP13" s="63"/>
      <c r="BQ13" s="63"/>
      <c r="BR13" s="594">
        <v>1120</v>
      </c>
      <c r="BS13" s="594">
        <v>1140</v>
      </c>
      <c r="BT13" s="594">
        <v>2100</v>
      </c>
      <c r="BU13" s="594">
        <v>2100</v>
      </c>
      <c r="BV13" s="594">
        <v>1165</v>
      </c>
      <c r="BW13" s="63"/>
      <c r="BX13" s="63"/>
      <c r="BY13" s="63"/>
      <c r="BZ13" s="63"/>
      <c r="CA13" s="63"/>
      <c r="CB13" s="63"/>
      <c r="CC13" s="63"/>
      <c r="CD13" s="63"/>
      <c r="CE13" s="63"/>
      <c r="CF13" s="63"/>
      <c r="CG13" s="63"/>
      <c r="CH13" s="63"/>
      <c r="CI13" s="63"/>
      <c r="CJ13" s="63"/>
      <c r="CK13" s="63"/>
      <c r="CL13" s="63"/>
      <c r="CM13" s="63"/>
      <c r="CN13" s="63"/>
      <c r="CO13" s="63"/>
      <c r="CP13" s="63"/>
      <c r="CQ13" s="63"/>
      <c r="CR13" s="63"/>
      <c r="CS13" s="63"/>
      <c r="CT13" s="438">
        <f>SUM(F13:CS13)</f>
        <v>47483</v>
      </c>
      <c r="CU13" s="65" t="s">
        <v>225</v>
      </c>
    </row>
    <row r="14" spans="1:99" ht="15" thickBot="1" x14ac:dyDescent="0.4">
      <c r="A14" s="9" t="s">
        <v>223</v>
      </c>
      <c r="B14" s="762"/>
      <c r="C14" s="763"/>
      <c r="D14" s="764"/>
      <c r="E14" s="41" t="s">
        <v>226</v>
      </c>
      <c r="F14" s="82"/>
      <c r="G14" s="83"/>
      <c r="H14" s="83"/>
      <c r="I14" s="84"/>
      <c r="J14" s="85"/>
      <c r="K14" s="86"/>
      <c r="L14" s="86"/>
      <c r="M14" s="86"/>
      <c r="N14" s="86"/>
      <c r="O14" s="86"/>
      <c r="P14" s="86"/>
      <c r="Q14" s="86"/>
      <c r="R14" s="86"/>
      <c r="S14" s="86"/>
      <c r="T14" s="86"/>
      <c r="U14" s="86">
        <v>2000</v>
      </c>
      <c r="V14" s="86">
        <v>2000</v>
      </c>
      <c r="W14" s="86">
        <v>2000</v>
      </c>
      <c r="X14" s="86">
        <v>2000</v>
      </c>
      <c r="Y14" s="86">
        <v>2000</v>
      </c>
      <c r="Z14" s="86">
        <v>2000</v>
      </c>
      <c r="AA14" s="86">
        <v>1250</v>
      </c>
      <c r="AB14" s="86">
        <v>2500</v>
      </c>
      <c r="AC14" s="86">
        <v>2500</v>
      </c>
      <c r="AD14" s="86">
        <v>1250</v>
      </c>
      <c r="AE14" s="86">
        <v>1250</v>
      </c>
      <c r="AF14" s="86">
        <v>1250</v>
      </c>
      <c r="AG14" s="86">
        <v>1250</v>
      </c>
      <c r="AH14" s="86">
        <v>1250</v>
      </c>
      <c r="AI14" s="87">
        <v>2500</v>
      </c>
      <c r="AJ14" s="87">
        <v>2500</v>
      </c>
      <c r="AK14" s="87">
        <v>1500</v>
      </c>
      <c r="AL14" s="87">
        <v>1500</v>
      </c>
      <c r="AM14" s="595">
        <v>1250</v>
      </c>
      <c r="AN14" s="595">
        <v>1250</v>
      </c>
      <c r="AO14" s="494">
        <v>0</v>
      </c>
      <c r="AP14" s="494">
        <v>1500</v>
      </c>
      <c r="AQ14" s="494">
        <v>1500</v>
      </c>
      <c r="AR14" s="494">
        <v>1500</v>
      </c>
      <c r="AS14" s="494">
        <v>1500</v>
      </c>
      <c r="AT14" s="494">
        <v>1500</v>
      </c>
      <c r="AU14" s="494"/>
      <c r="AV14" s="494"/>
      <c r="AW14" s="494"/>
      <c r="AX14" s="494"/>
      <c r="AY14" s="494"/>
      <c r="AZ14" s="70"/>
      <c r="BA14" s="70"/>
      <c r="BB14" s="70"/>
      <c r="BC14" s="70"/>
      <c r="BD14" s="70"/>
      <c r="BE14" s="70"/>
      <c r="BF14" s="70"/>
      <c r="BG14" s="70"/>
      <c r="BH14" s="70"/>
      <c r="BI14" s="70"/>
      <c r="BJ14" s="70"/>
      <c r="BK14" s="70"/>
      <c r="BL14" s="70"/>
      <c r="BM14" s="70"/>
      <c r="BN14" s="70"/>
      <c r="BO14" s="70"/>
      <c r="BP14" s="70"/>
      <c r="BQ14" s="70"/>
      <c r="BR14" s="494">
        <v>500</v>
      </c>
      <c r="BS14" s="494">
        <v>500</v>
      </c>
      <c r="BT14" s="494">
        <v>500</v>
      </c>
      <c r="BU14" s="494"/>
      <c r="BV14" s="494"/>
      <c r="BW14" s="70"/>
      <c r="BX14" s="70"/>
      <c r="BY14" s="70"/>
      <c r="BZ14" s="70"/>
      <c r="CA14" s="70"/>
      <c r="CB14" s="70"/>
      <c r="CC14" s="70"/>
      <c r="CD14" s="70"/>
      <c r="CE14" s="70"/>
      <c r="CF14" s="70"/>
      <c r="CG14" s="70"/>
      <c r="CH14" s="70"/>
      <c r="CI14" s="70"/>
      <c r="CJ14" s="70"/>
      <c r="CK14" s="70"/>
      <c r="CL14" s="70"/>
      <c r="CM14" s="70"/>
      <c r="CN14" s="70"/>
      <c r="CO14" s="70"/>
      <c r="CP14" s="70"/>
      <c r="CQ14" s="70"/>
      <c r="CR14" s="70"/>
      <c r="CS14" s="70"/>
      <c r="CT14" s="439">
        <f>SUM(F14:CS14)</f>
        <v>44000</v>
      </c>
      <c r="CU14" s="46" t="s">
        <v>227</v>
      </c>
    </row>
    <row r="15" spans="1:99" ht="12.9" customHeight="1" thickBot="1" x14ac:dyDescent="0.3">
      <c r="B15" s="48"/>
      <c r="C15" s="48"/>
      <c r="D15" s="48"/>
      <c r="E15" s="49"/>
      <c r="F15" s="50"/>
      <c r="G15" s="51"/>
      <c r="H15" s="51"/>
      <c r="I15" s="52"/>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c r="BZ15" s="51"/>
      <c r="CA15" s="51"/>
      <c r="CB15" s="51"/>
      <c r="CC15" s="51"/>
      <c r="CD15" s="51"/>
      <c r="CE15" s="51"/>
      <c r="CF15" s="51"/>
      <c r="CG15" s="51"/>
      <c r="CH15" s="51"/>
      <c r="CI15" s="51"/>
      <c r="CJ15" s="51"/>
      <c r="CK15" s="51"/>
      <c r="CL15" s="51"/>
      <c r="CM15" s="51"/>
      <c r="CN15" s="51"/>
      <c r="CO15" s="51"/>
      <c r="CP15" s="51"/>
      <c r="CQ15" s="51"/>
      <c r="CR15" s="51"/>
      <c r="CS15" s="51"/>
      <c r="CT15" s="51"/>
      <c r="CU15" s="51"/>
    </row>
    <row r="16" spans="1:99" ht="14.5" x14ac:dyDescent="0.35">
      <c r="B16" s="762" t="s">
        <v>221</v>
      </c>
      <c r="C16" s="765" t="s">
        <v>209</v>
      </c>
      <c r="D16" s="766" t="s">
        <v>185</v>
      </c>
      <c r="E16" s="23" t="s">
        <v>204</v>
      </c>
      <c r="F16" s="88">
        <v>0</v>
      </c>
      <c r="G16" s="89">
        <v>0</v>
      </c>
      <c r="H16" s="89">
        <v>0</v>
      </c>
      <c r="I16" s="90">
        <v>0</v>
      </c>
      <c r="J16" s="89">
        <v>0</v>
      </c>
      <c r="K16" s="91">
        <v>0.14285714285714285</v>
      </c>
      <c r="L16" s="91">
        <v>0.14285714285714285</v>
      </c>
      <c r="M16" s="91">
        <v>0.2857142857142857</v>
      </c>
      <c r="N16" s="91">
        <v>0.14285714285714285</v>
      </c>
      <c r="O16" s="91">
        <v>0.14285714285714285</v>
      </c>
      <c r="P16" s="91">
        <v>0.14285714285714285</v>
      </c>
      <c r="Q16" s="89">
        <v>0</v>
      </c>
      <c r="R16" s="89">
        <v>0</v>
      </c>
      <c r="S16" s="89">
        <v>0</v>
      </c>
      <c r="T16" s="89">
        <v>0</v>
      </c>
      <c r="U16" s="89">
        <v>0</v>
      </c>
      <c r="V16" s="89">
        <v>0</v>
      </c>
      <c r="W16" s="89">
        <v>0</v>
      </c>
      <c r="X16" s="89">
        <v>0</v>
      </c>
      <c r="Y16" s="89"/>
      <c r="Z16" s="89"/>
      <c r="AA16" s="89"/>
      <c r="AB16" s="89"/>
      <c r="AC16" s="89"/>
      <c r="AD16" s="89"/>
      <c r="AE16" s="89"/>
      <c r="AF16" s="89"/>
      <c r="AG16" s="89"/>
      <c r="AH16" s="89"/>
      <c r="AI16" s="89"/>
      <c r="AJ16" s="89"/>
      <c r="AK16" s="89"/>
      <c r="AL16" s="89"/>
      <c r="AM16" s="89"/>
      <c r="AN16" s="89"/>
      <c r="AO16" s="89"/>
      <c r="AP16" s="485"/>
      <c r="AQ16" s="485"/>
      <c r="AR16" s="485"/>
      <c r="AS16" s="485"/>
      <c r="AT16" s="485"/>
      <c r="AU16" s="485"/>
      <c r="AV16" s="485"/>
      <c r="AW16" s="485"/>
      <c r="AX16" s="485"/>
      <c r="AY16" s="485"/>
      <c r="AZ16" s="485"/>
      <c r="BA16" s="485"/>
      <c r="BB16" s="485"/>
      <c r="BC16" s="485"/>
      <c r="BD16" s="485"/>
      <c r="BE16" s="485"/>
      <c r="BF16" s="485"/>
      <c r="BG16" s="485"/>
      <c r="BH16" s="485"/>
      <c r="BI16" s="485"/>
      <c r="BJ16" s="485"/>
      <c r="BK16" s="485"/>
      <c r="BL16" s="485"/>
      <c r="BM16" s="485"/>
      <c r="BN16" s="485"/>
      <c r="BO16" s="485"/>
      <c r="BP16" s="485"/>
      <c r="BQ16" s="485"/>
      <c r="BR16" s="485"/>
      <c r="BS16" s="485"/>
      <c r="BT16" s="485"/>
      <c r="BU16" s="485"/>
      <c r="BV16" s="485"/>
      <c r="BW16" s="485"/>
      <c r="BX16" s="485"/>
      <c r="BY16" s="485"/>
      <c r="BZ16" s="485"/>
      <c r="CA16" s="485"/>
      <c r="CB16" s="485"/>
      <c r="CC16" s="485"/>
      <c r="CD16" s="485"/>
      <c r="CE16" s="485"/>
      <c r="CF16" s="485"/>
      <c r="CG16" s="485"/>
      <c r="CH16" s="485"/>
      <c r="CI16" s="485"/>
      <c r="CJ16" s="485"/>
      <c r="CK16" s="485"/>
      <c r="CL16" s="485"/>
      <c r="CM16" s="485"/>
      <c r="CN16" s="485"/>
      <c r="CO16" s="485"/>
      <c r="CP16" s="485"/>
      <c r="CQ16" s="485"/>
      <c r="CR16" s="485"/>
      <c r="CS16" s="485"/>
      <c r="CT16" s="92">
        <f>SUM(F16:CS16)</f>
        <v>0.99999999999999978</v>
      </c>
      <c r="CU16" s="59" t="s">
        <v>222</v>
      </c>
    </row>
    <row r="17" spans="1:99" ht="14.5" x14ac:dyDescent="0.35">
      <c r="B17" s="762"/>
      <c r="C17" s="765"/>
      <c r="D17" s="766"/>
      <c r="E17" s="32" t="s">
        <v>224</v>
      </c>
      <c r="F17" s="93">
        <v>0</v>
      </c>
      <c r="G17" s="94">
        <v>0</v>
      </c>
      <c r="H17" s="94">
        <v>0</v>
      </c>
      <c r="I17" s="95">
        <v>0</v>
      </c>
      <c r="J17" s="94">
        <v>0</v>
      </c>
      <c r="K17" s="96">
        <v>0</v>
      </c>
      <c r="L17" s="96">
        <v>0</v>
      </c>
      <c r="M17" s="96">
        <v>0</v>
      </c>
      <c r="N17" s="96">
        <v>0</v>
      </c>
      <c r="O17" s="96">
        <v>0</v>
      </c>
      <c r="P17" s="96">
        <v>8.5714285714285719E-3</v>
      </c>
      <c r="Q17" s="94">
        <v>8.5714285714285719E-3</v>
      </c>
      <c r="R17" s="94">
        <v>8.5714285714285719E-3</v>
      </c>
      <c r="S17" s="94">
        <v>8.5714285714285719E-3</v>
      </c>
      <c r="T17" s="94">
        <v>0</v>
      </c>
      <c r="U17" s="94">
        <v>3.2885714285714289E-2</v>
      </c>
      <c r="V17" s="94">
        <v>5.4714285714285715E-2</v>
      </c>
      <c r="W17" s="94">
        <v>6.3942857142857149E-2</v>
      </c>
      <c r="X17" s="94">
        <v>2.8714285714285713E-2</v>
      </c>
      <c r="Y17" s="94"/>
      <c r="Z17" s="94"/>
      <c r="AA17" s="94"/>
      <c r="AB17" s="94"/>
      <c r="AC17" s="94"/>
      <c r="AD17" s="94"/>
      <c r="AE17" s="94"/>
      <c r="AF17" s="94"/>
      <c r="AG17" s="94"/>
      <c r="AH17" s="94"/>
      <c r="AI17" s="94"/>
      <c r="AJ17" s="94"/>
      <c r="AK17" s="94"/>
      <c r="AL17" s="94"/>
      <c r="AM17" s="94"/>
      <c r="AN17" s="94"/>
      <c r="AO17" s="94"/>
      <c r="AP17" s="486"/>
      <c r="AQ17" s="486"/>
      <c r="AR17" s="486"/>
      <c r="AS17" s="486"/>
      <c r="AT17" s="486"/>
      <c r="AU17" s="486"/>
      <c r="AV17" s="486"/>
      <c r="AW17" s="486"/>
      <c r="AX17" s="486"/>
      <c r="AY17" s="486"/>
      <c r="AZ17" s="486"/>
      <c r="BA17" s="486"/>
      <c r="BB17" s="486"/>
      <c r="BC17" s="486"/>
      <c r="BD17" s="486"/>
      <c r="BE17" s="486"/>
      <c r="BF17" s="486"/>
      <c r="BG17" s="486"/>
      <c r="BH17" s="486"/>
      <c r="BI17" s="486"/>
      <c r="BJ17" s="486"/>
      <c r="BK17" s="486"/>
      <c r="BL17" s="486"/>
      <c r="BM17" s="486"/>
      <c r="BN17" s="486"/>
      <c r="BO17" s="486"/>
      <c r="BP17" s="486"/>
      <c r="BQ17" s="486"/>
      <c r="BR17" s="486"/>
      <c r="BS17" s="486"/>
      <c r="BT17" s="486"/>
      <c r="BU17" s="486"/>
      <c r="BV17" s="486"/>
      <c r="BW17" s="486"/>
      <c r="BX17" s="486"/>
      <c r="BY17" s="486"/>
      <c r="BZ17" s="486"/>
      <c r="CA17" s="486"/>
      <c r="CB17" s="486"/>
      <c r="CC17" s="486"/>
      <c r="CD17" s="486"/>
      <c r="CE17" s="486"/>
      <c r="CF17" s="486"/>
      <c r="CG17" s="486"/>
      <c r="CH17" s="486"/>
      <c r="CI17" s="486"/>
      <c r="CJ17" s="486"/>
      <c r="CK17" s="486"/>
      <c r="CL17" s="486"/>
      <c r="CM17" s="486"/>
      <c r="CN17" s="486"/>
      <c r="CO17" s="486"/>
      <c r="CP17" s="486"/>
      <c r="CQ17" s="486"/>
      <c r="CR17" s="486"/>
      <c r="CS17" s="486"/>
      <c r="CT17" s="97">
        <f>SUM(F17:CS17)</f>
        <v>0.21454285714285717</v>
      </c>
      <c r="CU17" s="65" t="s">
        <v>225</v>
      </c>
    </row>
    <row r="18" spans="1:99" ht="15" thickBot="1" x14ac:dyDescent="0.4">
      <c r="B18" s="762"/>
      <c r="C18" s="765"/>
      <c r="D18" s="766"/>
      <c r="E18" s="41" t="s">
        <v>226</v>
      </c>
      <c r="F18" s="82"/>
      <c r="G18" s="83"/>
      <c r="H18" s="83"/>
      <c r="I18" s="84"/>
      <c r="J18" s="83"/>
      <c r="K18" s="98"/>
      <c r="L18" s="98"/>
      <c r="M18" s="99"/>
      <c r="N18" s="99"/>
      <c r="O18" s="99"/>
      <c r="P18" s="100"/>
      <c r="Q18" s="101"/>
      <c r="R18" s="102"/>
      <c r="S18" s="102"/>
      <c r="T18" s="102"/>
      <c r="U18" s="102">
        <v>4.7058823529411764E-2</v>
      </c>
      <c r="V18" s="102">
        <v>4.7058823529411764E-2</v>
      </c>
      <c r="W18" s="102">
        <v>4.7058823529411764E-2</v>
      </c>
      <c r="X18" s="102">
        <v>4.7058823529411764E-2</v>
      </c>
      <c r="Y18" s="102">
        <v>4.7058823529411764E-2</v>
      </c>
      <c r="Z18" s="102">
        <v>4.7058823529411764E-2</v>
      </c>
      <c r="AA18" s="102">
        <v>2.9411764705882353E-2</v>
      </c>
      <c r="AB18" s="102">
        <v>5.8823529411764705E-2</v>
      </c>
      <c r="AC18" s="102">
        <v>5.8823529411764705E-2</v>
      </c>
      <c r="AD18" s="102">
        <v>2.9411764705882353E-2</v>
      </c>
      <c r="AE18" s="102">
        <v>2.9411764705882353E-2</v>
      </c>
      <c r="AF18" s="102">
        <v>2.9411764705882353E-2</v>
      </c>
      <c r="AG18" s="102">
        <v>2.9411764705882353E-2</v>
      </c>
      <c r="AH18" s="102">
        <v>2.9411764705882353E-2</v>
      </c>
      <c r="AI18" s="102">
        <v>5.8823529411764705E-2</v>
      </c>
      <c r="AJ18" s="102">
        <v>5.8823529411764705E-2</v>
      </c>
      <c r="AK18" s="102">
        <v>3.5294117647058823E-2</v>
      </c>
      <c r="AL18" s="102">
        <v>3.5294117647058823E-2</v>
      </c>
      <c r="AM18" s="102">
        <v>2.9411764705882353E-2</v>
      </c>
      <c r="AN18" s="102">
        <v>2.9411764705882353E-2</v>
      </c>
      <c r="AO18" s="103"/>
      <c r="AP18" s="103"/>
      <c r="AQ18" s="103"/>
      <c r="AR18" s="103"/>
      <c r="AS18" s="103"/>
      <c r="AT18" s="103"/>
      <c r="AU18" s="103"/>
      <c r="AV18" s="103"/>
      <c r="AW18" s="103"/>
      <c r="AX18" s="103"/>
      <c r="AY18" s="103"/>
      <c r="AZ18" s="103"/>
      <c r="BA18" s="103"/>
      <c r="BB18" s="103"/>
      <c r="BC18" s="103"/>
      <c r="BD18" s="103"/>
      <c r="BE18" s="103"/>
      <c r="BF18" s="103"/>
      <c r="BG18" s="103"/>
      <c r="BH18" s="103"/>
      <c r="BI18" s="103"/>
      <c r="BJ18" s="103"/>
      <c r="BK18" s="103"/>
      <c r="BL18" s="103"/>
      <c r="BM18" s="103"/>
      <c r="BN18" s="103"/>
      <c r="BO18" s="103"/>
      <c r="BP18" s="103"/>
      <c r="BQ18" s="103"/>
      <c r="BR18" s="103"/>
      <c r="BS18" s="103"/>
      <c r="BT18" s="103"/>
      <c r="BU18" s="103"/>
      <c r="BV18" s="103"/>
      <c r="BW18" s="103"/>
      <c r="BX18" s="103"/>
      <c r="BY18" s="103"/>
      <c r="BZ18" s="103"/>
      <c r="CA18" s="103"/>
      <c r="CB18" s="103"/>
      <c r="CC18" s="103"/>
      <c r="CD18" s="103"/>
      <c r="CE18" s="103"/>
      <c r="CF18" s="103"/>
      <c r="CG18" s="103"/>
      <c r="CH18" s="103"/>
      <c r="CI18" s="103"/>
      <c r="CJ18" s="103"/>
      <c r="CK18" s="103"/>
      <c r="CL18" s="103"/>
      <c r="CM18" s="103"/>
      <c r="CN18" s="103"/>
      <c r="CO18" s="103"/>
      <c r="CP18" s="103"/>
      <c r="CQ18" s="103"/>
      <c r="CR18" s="103"/>
      <c r="CS18" s="103"/>
      <c r="CT18" s="104">
        <f>SUM(F18:CS18)</f>
        <v>0.82352941176470595</v>
      </c>
      <c r="CU18" s="46" t="s">
        <v>227</v>
      </c>
    </row>
    <row r="19" spans="1:99" ht="13" thickBot="1" x14ac:dyDescent="0.3">
      <c r="B19" s="48"/>
      <c r="C19" s="48"/>
      <c r="D19" s="48"/>
      <c r="E19" s="49"/>
      <c r="F19" s="50"/>
      <c r="G19" s="51"/>
      <c r="H19" s="51"/>
      <c r="I19" s="52"/>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c r="BM19" s="51"/>
      <c r="BN19" s="51"/>
      <c r="BO19" s="51"/>
      <c r="BP19" s="51"/>
      <c r="BQ19" s="51"/>
      <c r="BR19" s="51"/>
      <c r="BS19" s="51"/>
      <c r="BT19" s="51"/>
      <c r="BU19" s="51"/>
      <c r="BV19" s="51"/>
      <c r="BW19" s="51"/>
      <c r="BX19" s="51"/>
      <c r="BY19" s="51"/>
      <c r="BZ19" s="51"/>
      <c r="CA19" s="51"/>
      <c r="CB19" s="51"/>
      <c r="CC19" s="51"/>
      <c r="CD19" s="51"/>
      <c r="CE19" s="51"/>
      <c r="CF19" s="51"/>
      <c r="CG19" s="51"/>
      <c r="CH19" s="51"/>
      <c r="CI19" s="51"/>
      <c r="CJ19" s="51"/>
      <c r="CK19" s="51"/>
      <c r="CL19" s="51"/>
      <c r="CM19" s="51"/>
      <c r="CN19" s="51"/>
      <c r="CO19" s="51"/>
      <c r="CP19" s="51"/>
      <c r="CQ19" s="51"/>
      <c r="CR19" s="51"/>
      <c r="CS19" s="51"/>
      <c r="CT19" s="51"/>
      <c r="CU19" s="51"/>
    </row>
    <row r="20" spans="1:99" ht="14.5" x14ac:dyDescent="0.35">
      <c r="A20" s="9">
        <v>1069</v>
      </c>
      <c r="B20" s="762" t="s">
        <v>84</v>
      </c>
      <c r="C20" s="763" t="s">
        <v>210</v>
      </c>
      <c r="D20" s="764" t="s">
        <v>208</v>
      </c>
      <c r="E20" s="23" t="s">
        <v>204</v>
      </c>
      <c r="F20" s="105">
        <v>0</v>
      </c>
      <c r="G20" s="29">
        <v>0</v>
      </c>
      <c r="H20" s="29">
        <v>0</v>
      </c>
      <c r="I20" s="106">
        <v>0</v>
      </c>
      <c r="J20" s="29">
        <v>0</v>
      </c>
      <c r="K20" s="29">
        <v>0</v>
      </c>
      <c r="L20" s="56">
        <v>46</v>
      </c>
      <c r="M20" s="29">
        <v>0</v>
      </c>
      <c r="N20" s="29">
        <v>0</v>
      </c>
      <c r="O20" s="56">
        <v>46</v>
      </c>
      <c r="P20" s="29">
        <v>0</v>
      </c>
      <c r="Q20" s="56">
        <v>46</v>
      </c>
      <c r="R20" s="29">
        <v>0</v>
      </c>
      <c r="S20" s="56">
        <v>51</v>
      </c>
      <c r="T20" s="29">
        <v>203</v>
      </c>
      <c r="U20" s="29">
        <v>0</v>
      </c>
      <c r="V20" s="29">
        <v>0</v>
      </c>
      <c r="W20" s="29">
        <v>0</v>
      </c>
      <c r="X20" s="29">
        <v>0</v>
      </c>
      <c r="Y20" s="29">
        <v>0</v>
      </c>
      <c r="Z20" s="29">
        <v>0</v>
      </c>
      <c r="AA20" s="29">
        <v>0</v>
      </c>
      <c r="AB20" s="29">
        <v>0</v>
      </c>
      <c r="AC20" s="29"/>
      <c r="AD20" s="29"/>
      <c r="AE20" s="29"/>
      <c r="AF20" s="29"/>
      <c r="AG20" s="29"/>
      <c r="AH20" s="29"/>
      <c r="AI20" s="29"/>
      <c r="AJ20" s="29"/>
      <c r="AK20" s="29"/>
      <c r="AL20" s="29"/>
      <c r="AM20" s="29"/>
      <c r="AN20" s="29"/>
      <c r="AO20" s="78"/>
      <c r="AP20" s="153"/>
      <c r="AQ20" s="153"/>
      <c r="AR20" s="153"/>
      <c r="AS20" s="153"/>
      <c r="AT20" s="153"/>
      <c r="AU20" s="153"/>
      <c r="AV20" s="153"/>
      <c r="AW20" s="153"/>
      <c r="AX20" s="153"/>
      <c r="AY20" s="153"/>
      <c r="AZ20" s="153"/>
      <c r="BA20" s="153"/>
      <c r="BB20" s="153"/>
      <c r="BC20" s="153"/>
      <c r="BD20" s="153"/>
      <c r="BE20" s="153"/>
      <c r="BF20" s="153"/>
      <c r="BG20" s="153"/>
      <c r="BH20" s="153"/>
      <c r="BI20" s="153"/>
      <c r="BJ20" s="153"/>
      <c r="BK20" s="153"/>
      <c r="BL20" s="153"/>
      <c r="BM20" s="153"/>
      <c r="BN20" s="153"/>
      <c r="BO20" s="153"/>
      <c r="BP20" s="153"/>
      <c r="BQ20" s="153"/>
      <c r="BR20" s="153"/>
      <c r="BS20" s="153"/>
      <c r="BT20" s="153"/>
      <c r="BU20" s="153"/>
      <c r="BV20" s="153"/>
      <c r="BW20" s="153"/>
      <c r="BX20" s="153"/>
      <c r="BY20" s="153"/>
      <c r="BZ20" s="153"/>
      <c r="CA20" s="153"/>
      <c r="CB20" s="153"/>
      <c r="CC20" s="153"/>
      <c r="CD20" s="153"/>
      <c r="CE20" s="153"/>
      <c r="CF20" s="153"/>
      <c r="CG20" s="153"/>
      <c r="CH20" s="153"/>
      <c r="CI20" s="153"/>
      <c r="CJ20" s="153"/>
      <c r="CK20" s="153"/>
      <c r="CL20" s="153"/>
      <c r="CM20" s="153"/>
      <c r="CN20" s="153"/>
      <c r="CO20" s="153"/>
      <c r="CP20" s="153"/>
      <c r="CQ20" s="153"/>
      <c r="CR20" s="153"/>
      <c r="CS20" s="153"/>
      <c r="CT20" s="495">
        <f>SUM(F20:CS20)</f>
        <v>392</v>
      </c>
      <c r="CU20" s="59" t="s">
        <v>222</v>
      </c>
    </row>
    <row r="21" spans="1:99" ht="14.5" x14ac:dyDescent="0.35">
      <c r="A21" s="9" t="s">
        <v>223</v>
      </c>
      <c r="B21" s="762"/>
      <c r="C21" s="763"/>
      <c r="D21" s="764"/>
      <c r="E21" s="32" t="s">
        <v>224</v>
      </c>
      <c r="F21" s="107">
        <v>0</v>
      </c>
      <c r="G21" s="38">
        <v>0</v>
      </c>
      <c r="H21" s="38">
        <v>0</v>
      </c>
      <c r="I21" s="108">
        <v>0</v>
      </c>
      <c r="J21" s="38">
        <v>0</v>
      </c>
      <c r="K21" s="38">
        <v>0</v>
      </c>
      <c r="L21" s="37">
        <v>46</v>
      </c>
      <c r="M21" s="38">
        <v>0</v>
      </c>
      <c r="N21" s="38"/>
      <c r="O21" s="37">
        <v>60</v>
      </c>
      <c r="P21" s="38">
        <v>0</v>
      </c>
      <c r="Q21" s="37">
        <v>46</v>
      </c>
      <c r="R21" s="38">
        <v>0</v>
      </c>
      <c r="S21" s="37">
        <v>51</v>
      </c>
      <c r="T21" s="38">
        <v>0</v>
      </c>
      <c r="U21" s="38">
        <v>0</v>
      </c>
      <c r="V21" s="38">
        <v>0</v>
      </c>
      <c r="W21" s="38">
        <v>0</v>
      </c>
      <c r="X21" s="38">
        <v>0</v>
      </c>
      <c r="Y21" s="38">
        <v>0</v>
      </c>
      <c r="Z21" s="38">
        <v>0</v>
      </c>
      <c r="AA21" s="38">
        <v>0</v>
      </c>
      <c r="AB21" s="38">
        <v>0</v>
      </c>
      <c r="AC21" s="38"/>
      <c r="AD21" s="38"/>
      <c r="AE21" s="38"/>
      <c r="AF21" s="38"/>
      <c r="AG21" s="38"/>
      <c r="AH21" s="38"/>
      <c r="AI21" s="38"/>
      <c r="AJ21" s="38"/>
      <c r="AK21" s="38"/>
      <c r="AL21" s="38"/>
      <c r="AM21" s="38"/>
      <c r="AN21" s="38"/>
      <c r="AO21" s="63"/>
      <c r="AP21" s="153"/>
      <c r="AQ21" s="153"/>
      <c r="AR21" s="153"/>
      <c r="AS21" s="153"/>
      <c r="AT21" s="153"/>
      <c r="AU21" s="153"/>
      <c r="AV21" s="153"/>
      <c r="AW21" s="153"/>
      <c r="AX21" s="153"/>
      <c r="AY21" s="153"/>
      <c r="AZ21" s="153"/>
      <c r="BA21" s="153"/>
      <c r="BB21" s="153"/>
      <c r="BC21" s="153"/>
      <c r="BD21" s="153"/>
      <c r="BE21" s="153"/>
      <c r="BF21" s="153"/>
      <c r="BG21" s="153"/>
      <c r="BH21" s="153"/>
      <c r="BI21" s="153"/>
      <c r="BJ21" s="153"/>
      <c r="BK21" s="153"/>
      <c r="BL21" s="153"/>
      <c r="BM21" s="153"/>
      <c r="BN21" s="153"/>
      <c r="BO21" s="153"/>
      <c r="BP21" s="153"/>
      <c r="BQ21" s="153"/>
      <c r="BR21" s="153"/>
      <c r="BS21" s="153"/>
      <c r="BT21" s="153"/>
      <c r="BU21" s="153"/>
      <c r="BV21" s="153"/>
      <c r="BW21" s="153"/>
      <c r="BX21" s="153"/>
      <c r="BY21" s="153"/>
      <c r="BZ21" s="153"/>
      <c r="CA21" s="153"/>
      <c r="CB21" s="153"/>
      <c r="CC21" s="153"/>
      <c r="CD21" s="153"/>
      <c r="CE21" s="153"/>
      <c r="CF21" s="153"/>
      <c r="CG21" s="153"/>
      <c r="CH21" s="153"/>
      <c r="CI21" s="153"/>
      <c r="CJ21" s="153"/>
      <c r="CK21" s="153"/>
      <c r="CL21" s="153"/>
      <c r="CM21" s="153"/>
      <c r="CN21" s="153"/>
      <c r="CO21" s="153"/>
      <c r="CP21" s="153"/>
      <c r="CQ21" s="153"/>
      <c r="CR21" s="153"/>
      <c r="CS21" s="153"/>
      <c r="CT21" s="496">
        <f>SUM(F21:CS21)</f>
        <v>203</v>
      </c>
      <c r="CU21" s="65" t="s">
        <v>225</v>
      </c>
    </row>
    <row r="22" spans="1:99" ht="15" thickBot="1" x14ac:dyDescent="0.4">
      <c r="A22" s="9" t="s">
        <v>223</v>
      </c>
      <c r="B22" s="762"/>
      <c r="C22" s="763"/>
      <c r="D22" s="764"/>
      <c r="E22" s="41" t="s">
        <v>226</v>
      </c>
      <c r="F22" s="109"/>
      <c r="G22" s="83"/>
      <c r="H22" s="83"/>
      <c r="I22" s="84"/>
      <c r="J22" s="83"/>
      <c r="K22" s="69"/>
      <c r="L22" s="85"/>
      <c r="M22" s="69"/>
      <c r="N22" s="69"/>
      <c r="O22" s="85"/>
      <c r="P22" s="69"/>
      <c r="Q22" s="110"/>
      <c r="R22" s="101"/>
      <c r="S22" s="110">
        <v>37</v>
      </c>
      <c r="T22" s="101"/>
      <c r="U22" s="101"/>
      <c r="V22" s="101"/>
      <c r="W22" s="101"/>
      <c r="X22" s="101"/>
      <c r="Y22" s="101"/>
      <c r="Z22" s="101"/>
      <c r="AA22" s="101"/>
      <c r="AB22" s="101"/>
      <c r="AC22" s="101"/>
      <c r="AD22" s="101"/>
      <c r="AE22" s="101"/>
      <c r="AF22" s="101"/>
      <c r="AG22" s="101"/>
      <c r="AH22" s="101"/>
      <c r="AI22" s="101"/>
      <c r="AJ22" s="101"/>
      <c r="AK22" s="101"/>
      <c r="AL22" s="101"/>
      <c r="AM22" s="101"/>
      <c r="AN22" s="101"/>
      <c r="AO22" s="494"/>
      <c r="AP22" s="498"/>
      <c r="AQ22" s="498"/>
      <c r="AR22" s="498"/>
      <c r="AS22" s="498"/>
      <c r="AT22" s="498"/>
      <c r="AU22" s="498"/>
      <c r="AV22" s="498"/>
      <c r="AW22" s="498"/>
      <c r="AX22" s="498"/>
      <c r="AY22" s="498"/>
      <c r="AZ22" s="498"/>
      <c r="BA22" s="498"/>
      <c r="BB22" s="498"/>
      <c r="BC22" s="498"/>
      <c r="BD22" s="498"/>
      <c r="BE22" s="498"/>
      <c r="BF22" s="498"/>
      <c r="BG22" s="498"/>
      <c r="BH22" s="498"/>
      <c r="BI22" s="498"/>
      <c r="BJ22" s="498"/>
      <c r="BK22" s="498"/>
      <c r="BL22" s="498"/>
      <c r="BM22" s="498"/>
      <c r="BN22" s="498"/>
      <c r="BO22" s="498"/>
      <c r="BP22" s="498"/>
      <c r="BQ22" s="498"/>
      <c r="BR22" s="498"/>
      <c r="BS22" s="498"/>
      <c r="BT22" s="498"/>
      <c r="BU22" s="498"/>
      <c r="BV22" s="498"/>
      <c r="BW22" s="498"/>
      <c r="BX22" s="498"/>
      <c r="BY22" s="498"/>
      <c r="BZ22" s="498"/>
      <c r="CA22" s="498"/>
      <c r="CB22" s="498"/>
      <c r="CC22" s="498"/>
      <c r="CD22" s="498"/>
      <c r="CE22" s="498"/>
      <c r="CF22" s="498"/>
      <c r="CG22" s="498"/>
      <c r="CH22" s="498"/>
      <c r="CI22" s="498"/>
      <c r="CJ22" s="498"/>
      <c r="CK22" s="498"/>
      <c r="CL22" s="498"/>
      <c r="CM22" s="498"/>
      <c r="CN22" s="498"/>
      <c r="CO22" s="498"/>
      <c r="CP22" s="498"/>
      <c r="CQ22" s="498"/>
      <c r="CR22" s="498"/>
      <c r="CS22" s="498"/>
      <c r="CT22" s="497">
        <f>SUM(F22:CS22)</f>
        <v>37</v>
      </c>
      <c r="CU22" s="46" t="s">
        <v>227</v>
      </c>
    </row>
    <row r="23" spans="1:99" ht="13" thickBot="1" x14ac:dyDescent="0.3">
      <c r="B23" s="48"/>
      <c r="C23" s="48"/>
      <c r="D23" s="48"/>
      <c r="E23" s="49"/>
      <c r="F23" s="50"/>
      <c r="G23" s="51"/>
      <c r="H23" s="51"/>
      <c r="I23" s="52"/>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c r="BR23" s="51"/>
      <c r="BS23" s="51"/>
      <c r="BT23" s="51"/>
      <c r="BU23" s="51"/>
      <c r="BV23" s="51"/>
      <c r="BW23" s="51"/>
      <c r="BX23" s="51"/>
      <c r="BY23" s="51"/>
      <c r="BZ23" s="51"/>
      <c r="CA23" s="51"/>
      <c r="CB23" s="51"/>
      <c r="CC23" s="51"/>
      <c r="CD23" s="51"/>
      <c r="CE23" s="51"/>
      <c r="CF23" s="51"/>
      <c r="CG23" s="51"/>
      <c r="CH23" s="51"/>
      <c r="CI23" s="51"/>
      <c r="CJ23" s="51"/>
      <c r="CK23" s="51"/>
      <c r="CL23" s="51"/>
      <c r="CM23" s="51"/>
      <c r="CN23" s="51"/>
      <c r="CO23" s="51"/>
      <c r="CP23" s="51"/>
      <c r="CQ23" s="51"/>
      <c r="CR23" s="51"/>
      <c r="CS23" s="51"/>
      <c r="CT23" s="51"/>
      <c r="CU23" s="51"/>
    </row>
    <row r="24" spans="1:99" ht="14.5" x14ac:dyDescent="0.35">
      <c r="B24" s="762" t="s">
        <v>84</v>
      </c>
      <c r="C24" s="765" t="s">
        <v>210</v>
      </c>
      <c r="D24" s="766" t="s">
        <v>185</v>
      </c>
      <c r="E24" s="23" t="s">
        <v>204</v>
      </c>
      <c r="F24" s="111">
        <f>F17/$CT$4</f>
        <v>0</v>
      </c>
      <c r="G24" s="89">
        <f t="shared" ref="G24:K24" si="47">G17/$CT$4</f>
        <v>0</v>
      </c>
      <c r="H24" s="89">
        <f t="shared" si="47"/>
        <v>0</v>
      </c>
      <c r="I24" s="90">
        <f t="shared" si="47"/>
        <v>0</v>
      </c>
      <c r="J24" s="89">
        <f t="shared" si="47"/>
        <v>0</v>
      </c>
      <c r="K24" s="89">
        <f t="shared" si="47"/>
        <v>0</v>
      </c>
      <c r="L24" s="89">
        <f t="shared" ref="L24:AB26" si="48">L20/$CT$20</f>
        <v>0.11734693877551021</v>
      </c>
      <c r="M24" s="89">
        <f t="shared" si="48"/>
        <v>0</v>
      </c>
      <c r="N24" s="89">
        <f t="shared" si="48"/>
        <v>0</v>
      </c>
      <c r="O24" s="89">
        <f t="shared" si="48"/>
        <v>0.11734693877551021</v>
      </c>
      <c r="P24" s="89">
        <f t="shared" si="48"/>
        <v>0</v>
      </c>
      <c r="Q24" s="89">
        <f t="shared" si="48"/>
        <v>0.11734693877551021</v>
      </c>
      <c r="R24" s="89">
        <f t="shared" si="48"/>
        <v>0</v>
      </c>
      <c r="S24" s="89">
        <f t="shared" si="48"/>
        <v>0.13010204081632654</v>
      </c>
      <c r="T24" s="89">
        <f t="shared" si="48"/>
        <v>0.5178571428571429</v>
      </c>
      <c r="U24" s="89">
        <f t="shared" si="48"/>
        <v>0</v>
      </c>
      <c r="V24" s="89">
        <f t="shared" si="48"/>
        <v>0</v>
      </c>
      <c r="W24" s="89">
        <f t="shared" si="48"/>
        <v>0</v>
      </c>
      <c r="X24" s="89">
        <f t="shared" si="48"/>
        <v>0</v>
      </c>
      <c r="Y24" s="89">
        <f t="shared" si="48"/>
        <v>0</v>
      </c>
      <c r="Z24" s="89">
        <f t="shared" si="48"/>
        <v>0</v>
      </c>
      <c r="AA24" s="89">
        <f t="shared" si="48"/>
        <v>0</v>
      </c>
      <c r="AB24" s="89">
        <f t="shared" si="48"/>
        <v>0</v>
      </c>
      <c r="AC24" s="89"/>
      <c r="AD24" s="89"/>
      <c r="AE24" s="89"/>
      <c r="AF24" s="89"/>
      <c r="AG24" s="89"/>
      <c r="AH24" s="89"/>
      <c r="AI24" s="89"/>
      <c r="AJ24" s="89"/>
      <c r="AK24" s="89"/>
      <c r="AL24" s="89"/>
      <c r="AM24" s="89"/>
      <c r="AN24" s="89"/>
      <c r="AO24" s="485"/>
      <c r="AP24" s="164"/>
      <c r="AQ24" s="164"/>
      <c r="AR24" s="164"/>
      <c r="AS24" s="164"/>
      <c r="AT24" s="164"/>
      <c r="AU24" s="164"/>
      <c r="AV24" s="164"/>
      <c r="AW24" s="164"/>
      <c r="AX24" s="164"/>
      <c r="AY24" s="164"/>
      <c r="AZ24" s="164"/>
      <c r="BA24" s="164"/>
      <c r="BB24" s="164"/>
      <c r="BC24" s="164"/>
      <c r="BD24" s="164"/>
      <c r="BE24" s="164"/>
      <c r="BF24" s="164"/>
      <c r="BG24" s="164"/>
      <c r="BH24" s="164"/>
      <c r="BI24" s="164"/>
      <c r="BJ24" s="164"/>
      <c r="BK24" s="164"/>
      <c r="BL24" s="164"/>
      <c r="BM24" s="164"/>
      <c r="BN24" s="164"/>
      <c r="BO24" s="164"/>
      <c r="BP24" s="164"/>
      <c r="BQ24" s="164"/>
      <c r="BR24" s="164"/>
      <c r="BS24" s="164"/>
      <c r="BT24" s="164"/>
      <c r="BU24" s="164"/>
      <c r="BV24" s="164"/>
      <c r="BW24" s="164"/>
      <c r="BX24" s="164"/>
      <c r="BY24" s="164"/>
      <c r="BZ24" s="164"/>
      <c r="CA24" s="164"/>
      <c r="CB24" s="164"/>
      <c r="CC24" s="164"/>
      <c r="CD24" s="164"/>
      <c r="CE24" s="164"/>
      <c r="CF24" s="164"/>
      <c r="CG24" s="164"/>
      <c r="CH24" s="164"/>
      <c r="CI24" s="164"/>
      <c r="CJ24" s="164"/>
      <c r="CK24" s="164"/>
      <c r="CL24" s="164"/>
      <c r="CM24" s="164"/>
      <c r="CN24" s="164"/>
      <c r="CO24" s="164"/>
      <c r="CP24" s="164"/>
      <c r="CQ24" s="164"/>
      <c r="CR24" s="164"/>
      <c r="CS24" s="164"/>
      <c r="CT24" s="500">
        <f>SUM(AU24:CS24)</f>
        <v>0</v>
      </c>
      <c r="CU24" s="112" t="s">
        <v>222</v>
      </c>
    </row>
    <row r="25" spans="1:99" ht="14.5" x14ac:dyDescent="0.35">
      <c r="B25" s="762"/>
      <c r="C25" s="765"/>
      <c r="D25" s="766"/>
      <c r="E25" s="32" t="s">
        <v>224</v>
      </c>
      <c r="F25" s="94">
        <f t="shared" ref="F25:K25" si="49">F21/$CT$20</f>
        <v>0</v>
      </c>
      <c r="G25" s="94">
        <f t="shared" si="49"/>
        <v>0</v>
      </c>
      <c r="H25" s="94">
        <f t="shared" si="49"/>
        <v>0</v>
      </c>
      <c r="I25" s="94">
        <f t="shared" si="49"/>
        <v>0</v>
      </c>
      <c r="J25" s="94">
        <f t="shared" si="49"/>
        <v>0</v>
      </c>
      <c r="K25" s="94">
        <f t="shared" si="49"/>
        <v>0</v>
      </c>
      <c r="L25" s="94">
        <f t="shared" si="48"/>
        <v>0.11734693877551021</v>
      </c>
      <c r="M25" s="94">
        <f t="shared" si="48"/>
        <v>0</v>
      </c>
      <c r="N25" s="94">
        <f t="shared" si="48"/>
        <v>0</v>
      </c>
      <c r="O25" s="94">
        <f t="shared" si="48"/>
        <v>0.15306122448979592</v>
      </c>
      <c r="P25" s="94">
        <f t="shared" si="48"/>
        <v>0</v>
      </c>
      <c r="Q25" s="94">
        <f t="shared" si="48"/>
        <v>0.11734693877551021</v>
      </c>
      <c r="R25" s="94">
        <f t="shared" si="48"/>
        <v>0</v>
      </c>
      <c r="S25" s="94">
        <f t="shared" si="48"/>
        <v>0.13010204081632654</v>
      </c>
      <c r="T25" s="94">
        <f t="shared" si="48"/>
        <v>0</v>
      </c>
      <c r="U25" s="94">
        <f t="shared" si="48"/>
        <v>0</v>
      </c>
      <c r="V25" s="94">
        <f t="shared" si="48"/>
        <v>0</v>
      </c>
      <c r="W25" s="94">
        <f t="shared" si="48"/>
        <v>0</v>
      </c>
      <c r="X25" s="94">
        <f t="shared" si="48"/>
        <v>0</v>
      </c>
      <c r="Y25" s="94">
        <f t="shared" si="48"/>
        <v>0</v>
      </c>
      <c r="Z25" s="94">
        <f t="shared" si="48"/>
        <v>0</v>
      </c>
      <c r="AA25" s="94">
        <f t="shared" si="48"/>
        <v>0</v>
      </c>
      <c r="AB25" s="94">
        <f t="shared" si="48"/>
        <v>0</v>
      </c>
      <c r="AC25" s="113"/>
      <c r="AD25" s="113"/>
      <c r="AE25" s="113"/>
      <c r="AF25" s="113"/>
      <c r="AG25" s="113"/>
      <c r="AH25" s="113"/>
      <c r="AI25" s="113"/>
      <c r="AJ25" s="113"/>
      <c r="AK25" s="113"/>
      <c r="AL25" s="113"/>
      <c r="AM25" s="113"/>
      <c r="AN25" s="113"/>
      <c r="AO25" s="499"/>
      <c r="AP25" s="165"/>
      <c r="AQ25" s="165"/>
      <c r="AR25" s="165"/>
      <c r="AS25" s="165"/>
      <c r="AT25" s="165"/>
      <c r="AU25" s="165"/>
      <c r="AV25" s="165"/>
      <c r="AW25" s="165"/>
      <c r="AX25" s="165"/>
      <c r="AY25" s="165"/>
      <c r="AZ25" s="165"/>
      <c r="BA25" s="165"/>
      <c r="BB25" s="165"/>
      <c r="BC25" s="165"/>
      <c r="BD25" s="165"/>
      <c r="BE25" s="165"/>
      <c r="BF25" s="165"/>
      <c r="BG25" s="165"/>
      <c r="BH25" s="165"/>
      <c r="BI25" s="165"/>
      <c r="BJ25" s="165"/>
      <c r="BK25" s="165"/>
      <c r="BL25" s="165"/>
      <c r="BM25" s="165"/>
      <c r="BN25" s="165"/>
      <c r="BO25" s="165"/>
      <c r="BP25" s="165"/>
      <c r="BQ25" s="165"/>
      <c r="BR25" s="165"/>
      <c r="BS25" s="165"/>
      <c r="BT25" s="165"/>
      <c r="BU25" s="165"/>
      <c r="BV25" s="165"/>
      <c r="BW25" s="165"/>
      <c r="BX25" s="165"/>
      <c r="BY25" s="165"/>
      <c r="BZ25" s="165"/>
      <c r="CA25" s="165"/>
      <c r="CB25" s="165"/>
      <c r="CC25" s="165"/>
      <c r="CD25" s="165"/>
      <c r="CE25" s="165"/>
      <c r="CF25" s="165"/>
      <c r="CG25" s="165"/>
      <c r="CH25" s="165"/>
      <c r="CI25" s="165"/>
      <c r="CJ25" s="165"/>
      <c r="CK25" s="165"/>
      <c r="CL25" s="165"/>
      <c r="CM25" s="165"/>
      <c r="CN25" s="165"/>
      <c r="CO25" s="165"/>
      <c r="CP25" s="165"/>
      <c r="CQ25" s="165"/>
      <c r="CR25" s="165"/>
      <c r="CS25" s="165"/>
      <c r="CT25" s="501">
        <f>SUM(F25:CS25)</f>
        <v>0.5178571428571429</v>
      </c>
      <c r="CU25" s="114" t="s">
        <v>225</v>
      </c>
    </row>
    <row r="26" spans="1:99" ht="15" thickBot="1" x14ac:dyDescent="0.4">
      <c r="B26" s="762"/>
      <c r="C26" s="765"/>
      <c r="D26" s="766"/>
      <c r="E26" s="41" t="s">
        <v>226</v>
      </c>
      <c r="F26" s="109"/>
      <c r="G26" s="83"/>
      <c r="H26" s="83"/>
      <c r="I26" s="84"/>
      <c r="J26" s="83"/>
      <c r="K26" s="69"/>
      <c r="L26" s="85"/>
      <c r="M26" s="69"/>
      <c r="N26" s="69"/>
      <c r="O26" s="69"/>
      <c r="P26" s="69"/>
      <c r="Q26" s="94">
        <f>Q22/$CT$20</f>
        <v>0</v>
      </c>
      <c r="R26" s="94">
        <f t="shared" si="48"/>
        <v>0</v>
      </c>
      <c r="S26" s="94">
        <f t="shared" si="48"/>
        <v>9.438775510204081E-2</v>
      </c>
      <c r="T26" s="94">
        <f t="shared" si="48"/>
        <v>0</v>
      </c>
      <c r="U26" s="94">
        <f t="shared" si="48"/>
        <v>0</v>
      </c>
      <c r="V26" s="94">
        <f t="shared" si="48"/>
        <v>0</v>
      </c>
      <c r="W26" s="94">
        <f t="shared" si="48"/>
        <v>0</v>
      </c>
      <c r="X26" s="94">
        <f t="shared" si="48"/>
        <v>0</v>
      </c>
      <c r="Y26" s="94">
        <f t="shared" si="48"/>
        <v>0</v>
      </c>
      <c r="Z26" s="94">
        <f t="shared" si="48"/>
        <v>0</v>
      </c>
      <c r="AA26" s="94">
        <f t="shared" si="48"/>
        <v>0</v>
      </c>
      <c r="AB26" s="94">
        <f t="shared" si="48"/>
        <v>0</v>
      </c>
      <c r="AC26" s="101"/>
      <c r="AD26" s="101"/>
      <c r="AE26" s="101"/>
      <c r="AF26" s="101"/>
      <c r="AG26" s="101"/>
      <c r="AH26" s="101"/>
      <c r="AI26" s="101"/>
      <c r="AJ26" s="101"/>
      <c r="AK26" s="101"/>
      <c r="AL26" s="101"/>
      <c r="AM26" s="101"/>
      <c r="AN26" s="101"/>
      <c r="AO26" s="494"/>
      <c r="AP26" s="498"/>
      <c r="AQ26" s="498"/>
      <c r="AR26" s="498"/>
      <c r="AS26" s="498"/>
      <c r="AT26" s="498"/>
      <c r="AU26" s="498"/>
      <c r="AV26" s="498"/>
      <c r="AW26" s="498"/>
      <c r="AX26" s="498"/>
      <c r="AY26" s="498"/>
      <c r="AZ26" s="498"/>
      <c r="BA26" s="498"/>
      <c r="BB26" s="498"/>
      <c r="BC26" s="498"/>
      <c r="BD26" s="498"/>
      <c r="BE26" s="498"/>
      <c r="BF26" s="498"/>
      <c r="BG26" s="498"/>
      <c r="BH26" s="498"/>
      <c r="BI26" s="498"/>
      <c r="BJ26" s="498"/>
      <c r="BK26" s="498"/>
      <c r="BL26" s="498"/>
      <c r="BM26" s="498"/>
      <c r="BN26" s="498"/>
      <c r="BO26" s="498"/>
      <c r="BP26" s="498"/>
      <c r="BQ26" s="498"/>
      <c r="BR26" s="498"/>
      <c r="BS26" s="498"/>
      <c r="BT26" s="498"/>
      <c r="BU26" s="498"/>
      <c r="BV26" s="498"/>
      <c r="BW26" s="498"/>
      <c r="BX26" s="498"/>
      <c r="BY26" s="498"/>
      <c r="BZ26" s="498"/>
      <c r="CA26" s="498"/>
      <c r="CB26" s="498"/>
      <c r="CC26" s="498"/>
      <c r="CD26" s="498"/>
      <c r="CE26" s="498"/>
      <c r="CF26" s="498"/>
      <c r="CG26" s="498"/>
      <c r="CH26" s="498"/>
      <c r="CI26" s="498"/>
      <c r="CJ26" s="498"/>
      <c r="CK26" s="498"/>
      <c r="CL26" s="498"/>
      <c r="CM26" s="498"/>
      <c r="CN26" s="498"/>
      <c r="CO26" s="498"/>
      <c r="CP26" s="498"/>
      <c r="CQ26" s="498"/>
      <c r="CR26" s="498"/>
      <c r="CS26" s="498"/>
      <c r="CT26" s="501">
        <f>SUM(F26:CS26)</f>
        <v>9.438775510204081E-2</v>
      </c>
      <c r="CU26" s="115" t="s">
        <v>227</v>
      </c>
    </row>
    <row r="27" spans="1:99" ht="13" thickBot="1" x14ac:dyDescent="0.3">
      <c r="B27" s="48"/>
      <c r="C27" s="48"/>
      <c r="D27" s="48"/>
      <c r="E27" s="49"/>
      <c r="F27" s="50"/>
      <c r="G27" s="51"/>
      <c r="H27" s="51"/>
      <c r="I27" s="52"/>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c r="BN27" s="51"/>
      <c r="BO27" s="51"/>
      <c r="BP27" s="51"/>
      <c r="BQ27" s="51"/>
      <c r="BR27" s="51"/>
      <c r="BS27" s="51"/>
      <c r="BT27" s="51"/>
      <c r="BU27" s="51"/>
      <c r="BV27" s="51"/>
      <c r="BW27" s="51"/>
      <c r="BX27" s="51"/>
      <c r="BY27" s="51"/>
      <c r="BZ27" s="51"/>
      <c r="CA27" s="51"/>
      <c r="CB27" s="51"/>
      <c r="CC27" s="51"/>
      <c r="CD27" s="51"/>
      <c r="CE27" s="51"/>
      <c r="CF27" s="51"/>
      <c r="CG27" s="51"/>
      <c r="CH27" s="51"/>
      <c r="CI27" s="51"/>
      <c r="CJ27" s="51"/>
      <c r="CK27" s="51"/>
      <c r="CL27" s="51"/>
      <c r="CM27" s="51"/>
      <c r="CN27" s="51"/>
      <c r="CO27" s="51"/>
      <c r="CP27" s="51"/>
      <c r="CQ27" s="51"/>
      <c r="CR27" s="51"/>
      <c r="CS27" s="51"/>
      <c r="CT27" s="51"/>
      <c r="CU27" s="51"/>
    </row>
    <row r="28" spans="1:99" ht="14.5" x14ac:dyDescent="0.35">
      <c r="A28" s="9">
        <v>758</v>
      </c>
      <c r="B28" s="762" t="s">
        <v>84</v>
      </c>
      <c r="C28" s="763" t="s">
        <v>212</v>
      </c>
      <c r="D28" s="764" t="s">
        <v>208</v>
      </c>
      <c r="E28" s="23" t="s">
        <v>204</v>
      </c>
      <c r="F28" s="105">
        <v>0</v>
      </c>
      <c r="G28" s="29">
        <v>0</v>
      </c>
      <c r="H28" s="29">
        <v>0</v>
      </c>
      <c r="I28" s="106">
        <v>0</v>
      </c>
      <c r="J28" s="29">
        <v>0</v>
      </c>
      <c r="K28" s="29">
        <v>0</v>
      </c>
      <c r="L28" s="29">
        <v>0</v>
      </c>
      <c r="M28" s="29">
        <v>0</v>
      </c>
      <c r="N28" s="29">
        <v>0</v>
      </c>
      <c r="O28" s="29">
        <v>0</v>
      </c>
      <c r="P28" s="29">
        <v>0</v>
      </c>
      <c r="Q28" s="29">
        <v>0</v>
      </c>
      <c r="R28" s="29">
        <v>0</v>
      </c>
      <c r="S28" s="29">
        <v>0</v>
      </c>
      <c r="T28" s="29">
        <v>0</v>
      </c>
      <c r="U28" s="56">
        <v>32.200000000000003</v>
      </c>
      <c r="V28" s="56"/>
      <c r="W28" s="56">
        <v>32.200000000000003</v>
      </c>
      <c r="X28" s="56"/>
      <c r="Y28" s="56">
        <v>32.200000000000003</v>
      </c>
      <c r="Z28" s="56"/>
      <c r="AA28" s="56"/>
      <c r="AB28" s="56"/>
      <c r="AC28" s="56"/>
      <c r="AD28" s="56"/>
      <c r="AE28" s="56"/>
      <c r="AF28" s="56"/>
      <c r="AG28" s="56"/>
      <c r="AH28" s="56"/>
      <c r="AI28" s="56"/>
      <c r="AJ28" s="56"/>
      <c r="AK28" s="56"/>
      <c r="AL28" s="56"/>
      <c r="AM28" s="56"/>
      <c r="AN28" s="56"/>
      <c r="AO28" s="56"/>
      <c r="AP28" s="488"/>
      <c r="AQ28" s="505"/>
      <c r="AR28" s="505"/>
      <c r="AS28" s="505"/>
      <c r="AT28" s="505"/>
      <c r="AU28" s="505"/>
      <c r="AV28" s="505"/>
      <c r="AW28" s="505"/>
      <c r="AX28" s="505"/>
      <c r="AY28" s="505"/>
      <c r="AZ28" s="505"/>
      <c r="BA28" s="505"/>
      <c r="BB28" s="505"/>
      <c r="BC28" s="505"/>
      <c r="BD28" s="505"/>
      <c r="BE28" s="505"/>
      <c r="BF28" s="505"/>
      <c r="BG28" s="505"/>
      <c r="BH28" s="505"/>
      <c r="BI28" s="505"/>
      <c r="BJ28" s="505"/>
      <c r="BK28" s="505"/>
      <c r="BL28" s="505"/>
      <c r="BM28" s="505"/>
      <c r="BN28" s="505"/>
      <c r="BO28" s="505"/>
      <c r="BP28" s="505"/>
      <c r="BQ28" s="505"/>
      <c r="BR28" s="505"/>
      <c r="BS28" s="505"/>
      <c r="BT28" s="505"/>
      <c r="BU28" s="505"/>
      <c r="BV28" s="505"/>
      <c r="BW28" s="505"/>
      <c r="BX28" s="505"/>
      <c r="BY28" s="505"/>
      <c r="BZ28" s="505"/>
      <c r="CA28" s="505"/>
      <c r="CB28" s="505"/>
      <c r="CC28" s="505"/>
      <c r="CD28" s="505"/>
      <c r="CE28" s="505"/>
      <c r="CF28" s="505"/>
      <c r="CG28" s="505"/>
      <c r="CH28" s="505"/>
      <c r="CI28" s="505"/>
      <c r="CJ28" s="505"/>
      <c r="CK28" s="505"/>
      <c r="CL28" s="505"/>
      <c r="CM28" s="505"/>
      <c r="CN28" s="505"/>
      <c r="CO28" s="505"/>
      <c r="CP28" s="505"/>
      <c r="CQ28" s="505"/>
      <c r="CR28" s="505"/>
      <c r="CS28" s="505"/>
      <c r="CT28" s="513">
        <f>SUM(F28:CS28)</f>
        <v>96.600000000000009</v>
      </c>
      <c r="CU28" s="112" t="s">
        <v>222</v>
      </c>
    </row>
    <row r="29" spans="1:99" ht="14.5" x14ac:dyDescent="0.35">
      <c r="A29" s="9" t="s">
        <v>223</v>
      </c>
      <c r="B29" s="762"/>
      <c r="C29" s="763"/>
      <c r="D29" s="764"/>
      <c r="E29" s="32" t="s">
        <v>224</v>
      </c>
      <c r="F29" s="107">
        <v>0</v>
      </c>
      <c r="G29" s="38">
        <v>0</v>
      </c>
      <c r="H29" s="38">
        <v>0</v>
      </c>
      <c r="I29" s="108">
        <v>0</v>
      </c>
      <c r="J29" s="38">
        <v>0</v>
      </c>
      <c r="K29" s="38">
        <v>0</v>
      </c>
      <c r="L29" s="38">
        <v>0</v>
      </c>
      <c r="M29" s="38">
        <v>0</v>
      </c>
      <c r="N29" s="38">
        <v>0</v>
      </c>
      <c r="O29" s="38">
        <v>0</v>
      </c>
      <c r="P29" s="38">
        <v>0</v>
      </c>
      <c r="Q29" s="38">
        <v>0</v>
      </c>
      <c r="R29" s="38">
        <v>0</v>
      </c>
      <c r="S29" s="38">
        <v>0</v>
      </c>
      <c r="T29" s="38">
        <v>0</v>
      </c>
      <c r="U29" s="38">
        <v>32</v>
      </c>
      <c r="V29" s="38">
        <v>0</v>
      </c>
      <c r="W29" s="38">
        <v>32</v>
      </c>
      <c r="X29" s="38">
        <v>0</v>
      </c>
      <c r="Y29" s="38">
        <v>0</v>
      </c>
      <c r="Z29" s="38">
        <v>28</v>
      </c>
      <c r="AA29" s="38">
        <v>0</v>
      </c>
      <c r="AB29" s="38">
        <v>0</v>
      </c>
      <c r="AC29" s="38"/>
      <c r="AD29" s="38"/>
      <c r="AE29" s="38"/>
      <c r="AF29" s="38"/>
      <c r="AG29" s="38"/>
      <c r="AH29" s="38"/>
      <c r="AI29" s="38"/>
      <c r="AJ29" s="38"/>
      <c r="AK29" s="38">
        <v>4</v>
      </c>
      <c r="AL29" s="38"/>
      <c r="AM29" s="38"/>
      <c r="AN29" s="38"/>
      <c r="AO29" s="38"/>
      <c r="AP29" s="484"/>
      <c r="AQ29" s="153"/>
      <c r="AR29" s="153"/>
      <c r="AS29" s="153"/>
      <c r="AT29" s="153"/>
      <c r="AU29" s="153"/>
      <c r="AV29" s="153"/>
      <c r="AW29" s="153"/>
      <c r="AX29" s="153"/>
      <c r="AY29" s="153"/>
      <c r="AZ29" s="153"/>
      <c r="BA29" s="153"/>
      <c r="BB29" s="153"/>
      <c r="BC29" s="153"/>
      <c r="BD29" s="153"/>
      <c r="BE29" s="153"/>
      <c r="BF29" s="153"/>
      <c r="BG29" s="153"/>
      <c r="BH29" s="153"/>
      <c r="BI29" s="153"/>
      <c r="BJ29" s="153"/>
      <c r="BK29" s="153"/>
      <c r="BL29" s="153"/>
      <c r="BM29" s="153"/>
      <c r="BN29" s="153"/>
      <c r="BO29" s="153"/>
      <c r="BP29" s="153"/>
      <c r="BQ29" s="153"/>
      <c r="BR29" s="153"/>
      <c r="BS29" s="153"/>
      <c r="BT29" s="153"/>
      <c r="BU29" s="153"/>
      <c r="BV29" s="153"/>
      <c r="BW29" s="153"/>
      <c r="BX29" s="153"/>
      <c r="BY29" s="153"/>
      <c r="BZ29" s="153"/>
      <c r="CA29" s="153"/>
      <c r="CB29" s="153"/>
      <c r="CC29" s="153"/>
      <c r="CD29" s="153"/>
      <c r="CE29" s="153"/>
      <c r="CF29" s="153"/>
      <c r="CG29" s="153"/>
      <c r="CH29" s="153"/>
      <c r="CI29" s="153"/>
      <c r="CJ29" s="153"/>
      <c r="CK29" s="153"/>
      <c r="CL29" s="153"/>
      <c r="CM29" s="153"/>
      <c r="CN29" s="153"/>
      <c r="CO29" s="153"/>
      <c r="CP29" s="153"/>
      <c r="CQ29" s="153"/>
      <c r="CR29" s="153"/>
      <c r="CS29" s="153"/>
      <c r="CT29" s="39">
        <f>SUM(F29:CS29)</f>
        <v>96</v>
      </c>
      <c r="CU29" s="114" t="s">
        <v>225</v>
      </c>
    </row>
    <row r="30" spans="1:99" ht="15" thickBot="1" x14ac:dyDescent="0.4">
      <c r="A30" s="9" t="s">
        <v>223</v>
      </c>
      <c r="B30" s="762"/>
      <c r="C30" s="763"/>
      <c r="D30" s="764"/>
      <c r="E30" s="41" t="s">
        <v>226</v>
      </c>
      <c r="F30" s="109"/>
      <c r="G30" s="83"/>
      <c r="H30" s="83"/>
      <c r="I30" s="84"/>
      <c r="J30" s="83"/>
      <c r="K30" s="69"/>
      <c r="L30" s="85"/>
      <c r="M30" s="69"/>
      <c r="N30" s="69"/>
      <c r="O30" s="69"/>
      <c r="P30" s="69"/>
      <c r="Q30" s="101"/>
      <c r="R30" s="101"/>
      <c r="S30" s="101"/>
      <c r="T30" s="101"/>
      <c r="U30" s="110">
        <v>32.200000000000003</v>
      </c>
      <c r="V30" s="101"/>
      <c r="W30" s="110">
        <v>32.200000000000003</v>
      </c>
      <c r="X30" s="101"/>
      <c r="Y30" s="110">
        <v>32.200000000000003</v>
      </c>
      <c r="Z30" s="101"/>
      <c r="AA30" s="101"/>
      <c r="AB30" s="101"/>
      <c r="AC30" s="101"/>
      <c r="AD30" s="101"/>
      <c r="AE30" s="101"/>
      <c r="AF30" s="101"/>
      <c r="AG30" s="101"/>
      <c r="AH30" s="101"/>
      <c r="AI30" s="101"/>
      <c r="AJ30" s="101"/>
      <c r="AK30" s="101">
        <v>4</v>
      </c>
      <c r="AL30" s="101"/>
      <c r="AM30" s="101"/>
      <c r="AN30" s="101"/>
      <c r="AO30" s="101"/>
      <c r="AP30" s="487"/>
      <c r="AQ30" s="498"/>
      <c r="AR30" s="498"/>
      <c r="AS30" s="498"/>
      <c r="AT30" s="498"/>
      <c r="AU30" s="498"/>
      <c r="AV30" s="498"/>
      <c r="AW30" s="498"/>
      <c r="AX30" s="498"/>
      <c r="AY30" s="498"/>
      <c r="AZ30" s="498"/>
      <c r="BA30" s="498"/>
      <c r="BB30" s="498"/>
      <c r="BC30" s="498"/>
      <c r="BD30" s="498"/>
      <c r="BE30" s="498"/>
      <c r="BF30" s="498"/>
      <c r="BG30" s="498"/>
      <c r="BH30" s="498"/>
      <c r="BI30" s="498"/>
      <c r="BJ30" s="498"/>
      <c r="BK30" s="498"/>
      <c r="BL30" s="498"/>
      <c r="BM30" s="498"/>
      <c r="BN30" s="498"/>
      <c r="BO30" s="498"/>
      <c r="BP30" s="498"/>
      <c r="BQ30" s="498"/>
      <c r="BR30" s="498"/>
      <c r="BS30" s="498"/>
      <c r="BT30" s="498"/>
      <c r="BU30" s="498"/>
      <c r="BV30" s="498"/>
      <c r="BW30" s="498"/>
      <c r="BX30" s="498"/>
      <c r="BY30" s="498"/>
      <c r="BZ30" s="498"/>
      <c r="CA30" s="498"/>
      <c r="CB30" s="498"/>
      <c r="CC30" s="498"/>
      <c r="CD30" s="498"/>
      <c r="CE30" s="498"/>
      <c r="CF30" s="498"/>
      <c r="CG30" s="498"/>
      <c r="CH30" s="498"/>
      <c r="CI30" s="498"/>
      <c r="CJ30" s="498"/>
      <c r="CK30" s="498"/>
      <c r="CL30" s="498"/>
      <c r="CM30" s="498"/>
      <c r="CN30" s="498"/>
      <c r="CO30" s="498"/>
      <c r="CP30" s="498"/>
      <c r="CQ30" s="498"/>
      <c r="CR30" s="498"/>
      <c r="CS30" s="498"/>
      <c r="CT30" s="504">
        <f>SUM(F30:CS30)</f>
        <v>100.60000000000001</v>
      </c>
      <c r="CU30" s="115" t="s">
        <v>227</v>
      </c>
    </row>
    <row r="31" spans="1:99" ht="13" thickBot="1" x14ac:dyDescent="0.3">
      <c r="B31" s="48"/>
      <c r="C31" s="48"/>
      <c r="D31" s="48"/>
      <c r="E31" s="49"/>
      <c r="F31" s="50"/>
      <c r="G31" s="51"/>
      <c r="H31" s="51"/>
      <c r="I31" s="52"/>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c r="BZ31" s="51"/>
      <c r="CA31" s="51"/>
      <c r="CB31" s="51"/>
      <c r="CC31" s="51"/>
      <c r="CD31" s="51"/>
      <c r="CE31" s="51"/>
      <c r="CF31" s="51"/>
      <c r="CG31" s="51"/>
      <c r="CH31" s="51"/>
      <c r="CI31" s="51"/>
      <c r="CJ31" s="51"/>
      <c r="CK31" s="51"/>
      <c r="CL31" s="51"/>
      <c r="CM31" s="51"/>
      <c r="CN31" s="51"/>
      <c r="CO31" s="51"/>
      <c r="CP31" s="51"/>
      <c r="CQ31" s="51"/>
      <c r="CR31" s="51"/>
      <c r="CS31" s="51"/>
      <c r="CT31" s="51"/>
      <c r="CU31" s="51"/>
    </row>
    <row r="32" spans="1:99" ht="14.5" x14ac:dyDescent="0.35">
      <c r="B32" s="762" t="s">
        <v>84</v>
      </c>
      <c r="C32" s="765" t="s">
        <v>212</v>
      </c>
      <c r="D32" s="766" t="s">
        <v>185</v>
      </c>
      <c r="E32" s="23" t="s">
        <v>204</v>
      </c>
      <c r="F32" s="111">
        <f t="shared" ref="F32:U33" si="50">F28/$CT$20</f>
        <v>0</v>
      </c>
      <c r="G32" s="89">
        <f t="shared" si="50"/>
        <v>0</v>
      </c>
      <c r="H32" s="89">
        <f t="shared" si="50"/>
        <v>0</v>
      </c>
      <c r="I32" s="90">
        <f t="shared" si="50"/>
        <v>0</v>
      </c>
      <c r="J32" s="89">
        <f t="shared" si="50"/>
        <v>0</v>
      </c>
      <c r="K32" s="89">
        <f t="shared" si="50"/>
        <v>0</v>
      </c>
      <c r="L32" s="89">
        <f t="shared" si="50"/>
        <v>0</v>
      </c>
      <c r="M32" s="89">
        <f t="shared" si="50"/>
        <v>0</v>
      </c>
      <c r="N32" s="89">
        <f t="shared" si="50"/>
        <v>0</v>
      </c>
      <c r="O32" s="89">
        <f t="shared" si="50"/>
        <v>0</v>
      </c>
      <c r="P32" s="89">
        <f t="shared" si="50"/>
        <v>0</v>
      </c>
      <c r="Q32" s="89">
        <f t="shared" si="50"/>
        <v>0</v>
      </c>
      <c r="R32" s="89">
        <f t="shared" si="50"/>
        <v>0</v>
      </c>
      <c r="S32" s="89">
        <f t="shared" si="50"/>
        <v>0</v>
      </c>
      <c r="T32" s="89">
        <f t="shared" si="50"/>
        <v>0</v>
      </c>
      <c r="U32" s="89">
        <f t="shared" ref="U32:AB32" si="51">U28/$CT$28</f>
        <v>0.33333333333333331</v>
      </c>
      <c r="V32" s="89">
        <f t="shared" si="51"/>
        <v>0</v>
      </c>
      <c r="W32" s="89">
        <f t="shared" si="51"/>
        <v>0.33333333333333331</v>
      </c>
      <c r="X32" s="89">
        <f t="shared" si="51"/>
        <v>0</v>
      </c>
      <c r="Y32" s="89">
        <f t="shared" si="51"/>
        <v>0.33333333333333331</v>
      </c>
      <c r="Z32" s="89">
        <f t="shared" si="51"/>
        <v>0</v>
      </c>
      <c r="AA32" s="89">
        <f t="shared" si="51"/>
        <v>0</v>
      </c>
      <c r="AB32" s="89">
        <f t="shared" si="51"/>
        <v>0</v>
      </c>
      <c r="AC32" s="89"/>
      <c r="AD32" s="89"/>
      <c r="AE32" s="89"/>
      <c r="AF32" s="89"/>
      <c r="AG32" s="89"/>
      <c r="AH32" s="89"/>
      <c r="AI32" s="89"/>
      <c r="AJ32" s="89"/>
      <c r="AK32" s="89"/>
      <c r="AL32" s="89"/>
      <c r="AM32" s="89"/>
      <c r="AN32" s="89"/>
      <c r="AO32" s="485"/>
      <c r="AP32" s="164"/>
      <c r="AQ32" s="164"/>
      <c r="AR32" s="164"/>
      <c r="AS32" s="164"/>
      <c r="AT32" s="164"/>
      <c r="AU32" s="164"/>
      <c r="AV32" s="164"/>
      <c r="AW32" s="164"/>
      <c r="AX32" s="164"/>
      <c r="AY32" s="164"/>
      <c r="AZ32" s="164"/>
      <c r="BA32" s="164"/>
      <c r="BB32" s="164"/>
      <c r="BC32" s="164"/>
      <c r="BD32" s="164"/>
      <c r="BE32" s="164"/>
      <c r="BF32" s="164"/>
      <c r="BG32" s="164"/>
      <c r="BH32" s="164"/>
      <c r="BI32" s="164"/>
      <c r="BJ32" s="164"/>
      <c r="BK32" s="164"/>
      <c r="BL32" s="164"/>
      <c r="BM32" s="164"/>
      <c r="BN32" s="164"/>
      <c r="BO32" s="164"/>
      <c r="BP32" s="164"/>
      <c r="BQ32" s="164"/>
      <c r="BR32" s="164"/>
      <c r="BS32" s="164"/>
      <c r="BT32" s="164"/>
      <c r="BU32" s="164"/>
      <c r="BV32" s="164"/>
      <c r="BW32" s="164"/>
      <c r="BX32" s="164"/>
      <c r="BY32" s="164"/>
      <c r="BZ32" s="164"/>
      <c r="CA32" s="164"/>
      <c r="CB32" s="164"/>
      <c r="CC32" s="164"/>
      <c r="CD32" s="164"/>
      <c r="CE32" s="164"/>
      <c r="CF32" s="164"/>
      <c r="CG32" s="164"/>
      <c r="CH32" s="164"/>
      <c r="CI32" s="164"/>
      <c r="CJ32" s="164"/>
      <c r="CK32" s="164"/>
      <c r="CL32" s="164"/>
      <c r="CM32" s="164"/>
      <c r="CN32" s="164"/>
      <c r="CO32" s="164"/>
      <c r="CP32" s="164"/>
      <c r="CQ32" s="164"/>
      <c r="CR32" s="164"/>
      <c r="CS32" s="164"/>
      <c r="CT32" s="500">
        <f>SUM(F32:CS32)</f>
        <v>1</v>
      </c>
      <c r="CU32" s="112" t="s">
        <v>222</v>
      </c>
    </row>
    <row r="33" spans="1:99" ht="14.5" x14ac:dyDescent="0.35">
      <c r="B33" s="762"/>
      <c r="C33" s="765"/>
      <c r="D33" s="766"/>
      <c r="E33" s="32" t="s">
        <v>224</v>
      </c>
      <c r="F33" s="117">
        <f t="shared" si="50"/>
        <v>0</v>
      </c>
      <c r="G33" s="113">
        <f t="shared" si="50"/>
        <v>0</v>
      </c>
      <c r="H33" s="113">
        <f t="shared" si="50"/>
        <v>0</v>
      </c>
      <c r="I33" s="118">
        <f t="shared" si="50"/>
        <v>0</v>
      </c>
      <c r="J33" s="113">
        <f t="shared" si="50"/>
        <v>0</v>
      </c>
      <c r="K33" s="113">
        <f t="shared" si="50"/>
        <v>0</v>
      </c>
      <c r="L33" s="113">
        <f t="shared" si="50"/>
        <v>0</v>
      </c>
      <c r="M33" s="113">
        <f t="shared" si="50"/>
        <v>0</v>
      </c>
      <c r="N33" s="113">
        <f t="shared" si="50"/>
        <v>0</v>
      </c>
      <c r="O33" s="113">
        <f t="shared" si="50"/>
        <v>0</v>
      </c>
      <c r="P33" s="113">
        <f t="shared" si="50"/>
        <v>0</v>
      </c>
      <c r="Q33" s="113">
        <f t="shared" si="50"/>
        <v>0</v>
      </c>
      <c r="R33" s="113">
        <f t="shared" si="50"/>
        <v>0</v>
      </c>
      <c r="S33" s="113">
        <f t="shared" si="50"/>
        <v>0</v>
      </c>
      <c r="T33" s="113">
        <f t="shared" si="50"/>
        <v>0</v>
      </c>
      <c r="U33" s="113">
        <f t="shared" si="50"/>
        <v>8.1632653061224483E-2</v>
      </c>
      <c r="V33" s="113">
        <f t="shared" ref="V33:AB33" si="52">V29/$CT$20</f>
        <v>0</v>
      </c>
      <c r="W33" s="113">
        <f t="shared" si="52"/>
        <v>8.1632653061224483E-2</v>
      </c>
      <c r="X33" s="113">
        <f t="shared" si="52"/>
        <v>0</v>
      </c>
      <c r="Y33" s="113">
        <f t="shared" si="52"/>
        <v>0</v>
      </c>
      <c r="Z33" s="113">
        <f t="shared" si="52"/>
        <v>7.1428571428571425E-2</v>
      </c>
      <c r="AA33" s="113">
        <f t="shared" si="52"/>
        <v>0</v>
      </c>
      <c r="AB33" s="113">
        <f t="shared" si="52"/>
        <v>0</v>
      </c>
      <c r="AC33" s="113"/>
      <c r="AD33" s="113"/>
      <c r="AE33" s="113"/>
      <c r="AF33" s="113"/>
      <c r="AG33" s="113"/>
      <c r="AH33" s="113"/>
      <c r="AI33" s="113"/>
      <c r="AJ33" s="113"/>
      <c r="AK33" s="113"/>
      <c r="AL33" s="113"/>
      <c r="AM33" s="113"/>
      <c r="AN33" s="113"/>
      <c r="AO33" s="499"/>
      <c r="AP33" s="165"/>
      <c r="AQ33" s="165"/>
      <c r="AR33" s="165"/>
      <c r="AS33" s="165"/>
      <c r="AT33" s="165"/>
      <c r="AU33" s="165"/>
      <c r="AV33" s="165"/>
      <c r="AW33" s="165"/>
      <c r="AX33" s="165"/>
      <c r="AY33" s="165"/>
      <c r="AZ33" s="165"/>
      <c r="BA33" s="165"/>
      <c r="BB33" s="165"/>
      <c r="BC33" s="165"/>
      <c r="BD33" s="165"/>
      <c r="BE33" s="165"/>
      <c r="BF33" s="165"/>
      <c r="BG33" s="165"/>
      <c r="BH33" s="165"/>
      <c r="BI33" s="165"/>
      <c r="BJ33" s="165"/>
      <c r="BK33" s="165"/>
      <c r="BL33" s="165"/>
      <c r="BM33" s="165"/>
      <c r="BN33" s="165"/>
      <c r="BO33" s="165"/>
      <c r="BP33" s="165"/>
      <c r="BQ33" s="165"/>
      <c r="BR33" s="165"/>
      <c r="BS33" s="165"/>
      <c r="BT33" s="165"/>
      <c r="BU33" s="165"/>
      <c r="BV33" s="165"/>
      <c r="BW33" s="165"/>
      <c r="BX33" s="165"/>
      <c r="BY33" s="165"/>
      <c r="BZ33" s="165"/>
      <c r="CA33" s="165"/>
      <c r="CB33" s="165"/>
      <c r="CC33" s="165"/>
      <c r="CD33" s="165"/>
      <c r="CE33" s="165"/>
      <c r="CF33" s="165"/>
      <c r="CG33" s="165"/>
      <c r="CH33" s="165"/>
      <c r="CI33" s="165"/>
      <c r="CJ33" s="165"/>
      <c r="CK33" s="165"/>
      <c r="CL33" s="165"/>
      <c r="CM33" s="165"/>
      <c r="CN33" s="165"/>
      <c r="CO33" s="165"/>
      <c r="CP33" s="165"/>
      <c r="CQ33" s="165"/>
      <c r="CR33" s="165"/>
      <c r="CS33" s="165"/>
      <c r="CT33" s="502">
        <f>SUM(F33:CS33)</f>
        <v>0.23469387755102039</v>
      </c>
      <c r="CU33" s="114" t="s">
        <v>225</v>
      </c>
    </row>
    <row r="34" spans="1:99" ht="15" thickBot="1" x14ac:dyDescent="0.4">
      <c r="B34" s="762"/>
      <c r="C34" s="765"/>
      <c r="D34" s="766"/>
      <c r="E34" s="41" t="s">
        <v>226</v>
      </c>
      <c r="F34" s="109"/>
      <c r="G34" s="83"/>
      <c r="H34" s="83"/>
      <c r="I34" s="84"/>
      <c r="J34" s="83"/>
      <c r="K34" s="69"/>
      <c r="L34" s="85"/>
      <c r="M34" s="69"/>
      <c r="N34" s="69"/>
      <c r="O34" s="69"/>
      <c r="P34" s="69"/>
      <c r="Q34" s="101"/>
      <c r="R34" s="101"/>
      <c r="S34" s="101"/>
      <c r="T34" s="101"/>
      <c r="U34" s="119">
        <f>U30/$CT$30</f>
        <v>0.32007952286282304</v>
      </c>
      <c r="V34" s="119">
        <f t="shared" ref="V34:AB34" si="53">V30/$CT$30</f>
        <v>0</v>
      </c>
      <c r="W34" s="119">
        <f t="shared" si="53"/>
        <v>0.32007952286282304</v>
      </c>
      <c r="X34" s="119">
        <f t="shared" si="53"/>
        <v>0</v>
      </c>
      <c r="Y34" s="119">
        <f t="shared" si="53"/>
        <v>0.32007952286282304</v>
      </c>
      <c r="Z34" s="119">
        <f t="shared" si="53"/>
        <v>0</v>
      </c>
      <c r="AA34" s="119">
        <f t="shared" si="53"/>
        <v>0</v>
      </c>
      <c r="AB34" s="119">
        <f t="shared" si="53"/>
        <v>0</v>
      </c>
      <c r="AC34" s="101"/>
      <c r="AD34" s="101"/>
      <c r="AE34" s="101"/>
      <c r="AF34" s="101"/>
      <c r="AG34" s="101"/>
      <c r="AH34" s="101"/>
      <c r="AI34" s="101"/>
      <c r="AJ34" s="101"/>
      <c r="AK34" s="101"/>
      <c r="AL34" s="101"/>
      <c r="AM34" s="101"/>
      <c r="AN34" s="101"/>
      <c r="AO34" s="494"/>
      <c r="AP34" s="498"/>
      <c r="AQ34" s="498"/>
      <c r="AR34" s="498"/>
      <c r="AS34" s="498"/>
      <c r="AT34" s="498"/>
      <c r="AU34" s="498"/>
      <c r="AV34" s="498"/>
      <c r="AW34" s="498"/>
      <c r="AX34" s="498"/>
      <c r="AY34" s="498"/>
      <c r="AZ34" s="498"/>
      <c r="BA34" s="498"/>
      <c r="BB34" s="498"/>
      <c r="BC34" s="498"/>
      <c r="BD34" s="498"/>
      <c r="BE34" s="498"/>
      <c r="BF34" s="498"/>
      <c r="BG34" s="498"/>
      <c r="BH34" s="498"/>
      <c r="BI34" s="498"/>
      <c r="BJ34" s="498"/>
      <c r="BK34" s="498"/>
      <c r="BL34" s="498"/>
      <c r="BM34" s="498"/>
      <c r="BN34" s="498"/>
      <c r="BO34" s="498"/>
      <c r="BP34" s="498"/>
      <c r="BQ34" s="498"/>
      <c r="BR34" s="498"/>
      <c r="BS34" s="498"/>
      <c r="BT34" s="498"/>
      <c r="BU34" s="498"/>
      <c r="BV34" s="498"/>
      <c r="BW34" s="498"/>
      <c r="BX34" s="498"/>
      <c r="BY34" s="498"/>
      <c r="BZ34" s="498"/>
      <c r="CA34" s="498"/>
      <c r="CB34" s="498"/>
      <c r="CC34" s="498"/>
      <c r="CD34" s="498"/>
      <c r="CE34" s="498"/>
      <c r="CF34" s="498"/>
      <c r="CG34" s="498"/>
      <c r="CH34" s="498"/>
      <c r="CI34" s="498"/>
      <c r="CJ34" s="498"/>
      <c r="CK34" s="498"/>
      <c r="CL34" s="498"/>
      <c r="CM34" s="498"/>
      <c r="CN34" s="498"/>
      <c r="CO34" s="498"/>
      <c r="CP34" s="498"/>
      <c r="CQ34" s="498"/>
      <c r="CR34" s="498"/>
      <c r="CS34" s="498"/>
      <c r="CT34" s="503">
        <f>SUM(F34:CS34)</f>
        <v>0.96023856858846912</v>
      </c>
      <c r="CU34" s="115" t="s">
        <v>227</v>
      </c>
    </row>
    <row r="35" spans="1:99" ht="13" thickBot="1" x14ac:dyDescent="0.3">
      <c r="B35" s="48"/>
      <c r="C35" s="48"/>
      <c r="D35" s="48"/>
      <c r="E35" s="49"/>
      <c r="F35" s="50"/>
      <c r="G35" s="51"/>
      <c r="H35" s="51"/>
      <c r="I35" s="52"/>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c r="BM35" s="51"/>
      <c r="BN35" s="51"/>
      <c r="BO35" s="51"/>
      <c r="BP35" s="51"/>
      <c r="BQ35" s="51"/>
      <c r="BR35" s="51"/>
      <c r="BS35" s="51"/>
      <c r="BT35" s="51"/>
      <c r="BU35" s="51"/>
      <c r="BV35" s="51"/>
      <c r="BW35" s="51"/>
      <c r="BX35" s="51"/>
      <c r="BY35" s="51"/>
      <c r="BZ35" s="51"/>
      <c r="CA35" s="51"/>
      <c r="CB35" s="51"/>
      <c r="CC35" s="51"/>
      <c r="CD35" s="51"/>
      <c r="CE35" s="51"/>
      <c r="CF35" s="51"/>
      <c r="CG35" s="51"/>
      <c r="CH35" s="51"/>
      <c r="CI35" s="51"/>
      <c r="CJ35" s="51"/>
      <c r="CK35" s="51"/>
      <c r="CL35" s="51"/>
      <c r="CM35" s="51"/>
      <c r="CN35" s="51"/>
      <c r="CO35" s="51"/>
      <c r="CP35" s="51"/>
      <c r="CQ35" s="51"/>
      <c r="CR35" s="51"/>
      <c r="CS35" s="51"/>
      <c r="CT35" s="51"/>
      <c r="CU35" s="51"/>
    </row>
    <row r="36" spans="1:99" ht="14.5" x14ac:dyDescent="0.35">
      <c r="A36" s="9" t="s">
        <v>223</v>
      </c>
      <c r="B36" s="762" t="s">
        <v>84</v>
      </c>
      <c r="C36" s="763" t="s">
        <v>213</v>
      </c>
      <c r="D36" s="764" t="s">
        <v>208</v>
      </c>
      <c r="E36" s="23" t="s">
        <v>204</v>
      </c>
      <c r="F36" s="105">
        <v>0</v>
      </c>
      <c r="G36" s="29">
        <v>0</v>
      </c>
      <c r="H36" s="29">
        <v>0</v>
      </c>
      <c r="I36" s="106">
        <v>0</v>
      </c>
      <c r="J36" s="29">
        <v>0</v>
      </c>
      <c r="K36" s="29">
        <v>0</v>
      </c>
      <c r="L36" s="29">
        <v>0</v>
      </c>
      <c r="M36" s="29">
        <v>0</v>
      </c>
      <c r="N36" s="29">
        <v>0</v>
      </c>
      <c r="O36" s="29">
        <v>0</v>
      </c>
      <c r="P36" s="29">
        <v>0</v>
      </c>
      <c r="Q36" s="29">
        <v>0</v>
      </c>
      <c r="R36" s="29">
        <v>0</v>
      </c>
      <c r="S36" s="56">
        <v>30</v>
      </c>
      <c r="T36" s="56"/>
      <c r="U36" s="56">
        <v>30</v>
      </c>
      <c r="V36" s="56"/>
      <c r="W36" s="56">
        <v>30</v>
      </c>
      <c r="X36" s="56"/>
      <c r="Y36" s="56"/>
      <c r="Z36" s="56"/>
      <c r="AA36" s="56"/>
      <c r="AB36" s="56"/>
      <c r="AC36" s="56"/>
      <c r="AD36" s="56"/>
      <c r="AE36" s="56"/>
      <c r="AF36" s="56"/>
      <c r="AG36" s="56"/>
      <c r="AH36" s="56"/>
      <c r="AI36" s="56"/>
      <c r="AJ36" s="56"/>
      <c r="AK36" s="56"/>
      <c r="AL36" s="56"/>
      <c r="AM36" s="56"/>
      <c r="AN36" s="56"/>
      <c r="AO36" s="57"/>
      <c r="AP36" s="505"/>
      <c r="AQ36" s="505"/>
      <c r="AR36" s="505"/>
      <c r="AS36" s="505"/>
      <c r="AT36" s="505"/>
      <c r="AU36" s="505"/>
      <c r="AV36" s="505"/>
      <c r="AW36" s="505"/>
      <c r="AX36" s="505"/>
      <c r="AY36" s="505"/>
      <c r="AZ36" s="505"/>
      <c r="BA36" s="505"/>
      <c r="BB36" s="505"/>
      <c r="BC36" s="505"/>
      <c r="BD36" s="505"/>
      <c r="BE36" s="505"/>
      <c r="BF36" s="505"/>
      <c r="BG36" s="505"/>
      <c r="BH36" s="505"/>
      <c r="BI36" s="505"/>
      <c r="BJ36" s="505"/>
      <c r="BK36" s="505"/>
      <c r="BL36" s="505"/>
      <c r="BM36" s="505"/>
      <c r="BN36" s="505"/>
      <c r="BO36" s="505"/>
      <c r="BP36" s="505"/>
      <c r="BQ36" s="505"/>
      <c r="BR36" s="505"/>
      <c r="BS36" s="505"/>
      <c r="BT36" s="505"/>
      <c r="BU36" s="505"/>
      <c r="BV36" s="505"/>
      <c r="BW36" s="505"/>
      <c r="BX36" s="505"/>
      <c r="BY36" s="505"/>
      <c r="BZ36" s="505"/>
      <c r="CA36" s="505"/>
      <c r="CB36" s="505"/>
      <c r="CC36" s="505"/>
      <c r="CD36" s="505"/>
      <c r="CE36" s="505"/>
      <c r="CF36" s="505"/>
      <c r="CG36" s="505"/>
      <c r="CH36" s="505"/>
      <c r="CI36" s="505"/>
      <c r="CJ36" s="505"/>
      <c r="CK36" s="505"/>
      <c r="CL36" s="505"/>
      <c r="CM36" s="505"/>
      <c r="CN36" s="505"/>
      <c r="CO36" s="505"/>
      <c r="CP36" s="505"/>
      <c r="CQ36" s="505"/>
      <c r="CR36" s="505"/>
      <c r="CS36" s="505"/>
      <c r="CT36" s="30">
        <f>SUM(F36:CS36)</f>
        <v>90</v>
      </c>
      <c r="CU36" s="112" t="s">
        <v>222</v>
      </c>
    </row>
    <row r="37" spans="1:99" ht="14.5" x14ac:dyDescent="0.35">
      <c r="A37" s="9" t="s">
        <v>223</v>
      </c>
      <c r="B37" s="762"/>
      <c r="C37" s="763"/>
      <c r="D37" s="764"/>
      <c r="E37" s="32" t="s">
        <v>224</v>
      </c>
      <c r="F37" s="107">
        <v>0</v>
      </c>
      <c r="G37" s="38">
        <v>0</v>
      </c>
      <c r="H37" s="38">
        <v>0</v>
      </c>
      <c r="I37" s="108">
        <v>0</v>
      </c>
      <c r="J37" s="38">
        <v>0</v>
      </c>
      <c r="K37" s="38">
        <v>0</v>
      </c>
      <c r="L37" s="38">
        <v>0</v>
      </c>
      <c r="M37" s="38">
        <v>0</v>
      </c>
      <c r="N37" s="38">
        <v>0</v>
      </c>
      <c r="O37" s="38">
        <v>0</v>
      </c>
      <c r="P37" s="38">
        <v>0</v>
      </c>
      <c r="Q37" s="38">
        <v>0</v>
      </c>
      <c r="R37" s="38">
        <v>0</v>
      </c>
      <c r="S37" s="37">
        <v>30</v>
      </c>
      <c r="T37" s="37">
        <v>0</v>
      </c>
      <c r="U37" s="37">
        <v>30</v>
      </c>
      <c r="V37" s="38">
        <v>0</v>
      </c>
      <c r="W37" s="37">
        <v>30</v>
      </c>
      <c r="X37" s="38">
        <v>0</v>
      </c>
      <c r="Y37" s="38">
        <v>0</v>
      </c>
      <c r="Z37" s="38">
        <v>0</v>
      </c>
      <c r="AA37" s="38">
        <v>0</v>
      </c>
      <c r="AB37" s="38">
        <v>0</v>
      </c>
      <c r="AC37" s="38"/>
      <c r="AD37" s="38"/>
      <c r="AE37" s="38"/>
      <c r="AF37" s="38"/>
      <c r="AG37" s="38"/>
      <c r="AH37" s="38"/>
      <c r="AI37" s="38"/>
      <c r="AJ37" s="38"/>
      <c r="AK37" s="38"/>
      <c r="AL37" s="38"/>
      <c r="AM37" s="38"/>
      <c r="AN37" s="38"/>
      <c r="AO37" s="63"/>
      <c r="AP37" s="153"/>
      <c r="AQ37" s="153"/>
      <c r="AR37" s="153"/>
      <c r="AS37" s="153"/>
      <c r="AT37" s="153"/>
      <c r="AU37" s="153"/>
      <c r="AV37" s="153"/>
      <c r="AW37" s="153"/>
      <c r="AX37" s="153"/>
      <c r="AY37" s="153"/>
      <c r="AZ37" s="153"/>
      <c r="BA37" s="153"/>
      <c r="BB37" s="153"/>
      <c r="BC37" s="153"/>
      <c r="BD37" s="153"/>
      <c r="BE37" s="153"/>
      <c r="BF37" s="153"/>
      <c r="BG37" s="153"/>
      <c r="BH37" s="153"/>
      <c r="BI37" s="153"/>
      <c r="BJ37" s="153"/>
      <c r="BK37" s="153"/>
      <c r="BL37" s="153"/>
      <c r="BM37" s="153"/>
      <c r="BN37" s="153"/>
      <c r="BO37" s="153"/>
      <c r="BP37" s="153"/>
      <c r="BQ37" s="153"/>
      <c r="BR37" s="153"/>
      <c r="BS37" s="153"/>
      <c r="BT37" s="153"/>
      <c r="BU37" s="153"/>
      <c r="BV37" s="153"/>
      <c r="BW37" s="153"/>
      <c r="BX37" s="153"/>
      <c r="BY37" s="153"/>
      <c r="BZ37" s="153"/>
      <c r="CA37" s="153"/>
      <c r="CB37" s="153"/>
      <c r="CC37" s="153"/>
      <c r="CD37" s="153"/>
      <c r="CE37" s="153"/>
      <c r="CF37" s="153"/>
      <c r="CG37" s="153"/>
      <c r="CH37" s="153"/>
      <c r="CI37" s="153"/>
      <c r="CJ37" s="153"/>
      <c r="CK37" s="153"/>
      <c r="CL37" s="153"/>
      <c r="CM37" s="153"/>
      <c r="CN37" s="153"/>
      <c r="CO37" s="153"/>
      <c r="CP37" s="153"/>
      <c r="CQ37" s="153"/>
      <c r="CR37" s="153"/>
      <c r="CS37" s="153"/>
      <c r="CT37" s="39">
        <f>SUM(A37:CS37)</f>
        <v>90</v>
      </c>
      <c r="CU37" s="114" t="s">
        <v>225</v>
      </c>
    </row>
    <row r="38" spans="1:99" ht="15" thickBot="1" x14ac:dyDescent="0.4">
      <c r="A38" s="9" t="s">
        <v>223</v>
      </c>
      <c r="B38" s="762"/>
      <c r="C38" s="763"/>
      <c r="D38" s="764"/>
      <c r="E38" s="41" t="s">
        <v>226</v>
      </c>
      <c r="F38" s="109"/>
      <c r="G38" s="83"/>
      <c r="H38" s="83"/>
      <c r="I38" s="84"/>
      <c r="J38" s="83"/>
      <c r="K38" s="69"/>
      <c r="L38" s="85"/>
      <c r="M38" s="69"/>
      <c r="N38" s="69"/>
      <c r="O38" s="69"/>
      <c r="P38" s="69"/>
      <c r="Q38" s="101"/>
      <c r="R38" s="101"/>
      <c r="S38" s="110">
        <v>30</v>
      </c>
      <c r="T38" s="110"/>
      <c r="U38" s="110">
        <v>30</v>
      </c>
      <c r="V38" s="110"/>
      <c r="W38" s="110">
        <v>30</v>
      </c>
      <c r="X38" s="101"/>
      <c r="Y38" s="101"/>
      <c r="Z38" s="101"/>
      <c r="AA38" s="101"/>
      <c r="AB38" s="101"/>
      <c r="AC38" s="101"/>
      <c r="AD38" s="101"/>
      <c r="AE38" s="101"/>
      <c r="AF38" s="101"/>
      <c r="AG38" s="101"/>
      <c r="AH38" s="101"/>
      <c r="AI38" s="101"/>
      <c r="AJ38" s="101"/>
      <c r="AK38" s="101"/>
      <c r="AL38" s="101"/>
      <c r="AM38" s="101"/>
      <c r="AN38" s="101"/>
      <c r="AO38" s="494"/>
      <c r="AP38" s="498"/>
      <c r="AQ38" s="498"/>
      <c r="AR38" s="498"/>
      <c r="AS38" s="498"/>
      <c r="AT38" s="498"/>
      <c r="AU38" s="498"/>
      <c r="AV38" s="498"/>
      <c r="AW38" s="498"/>
      <c r="AX38" s="498"/>
      <c r="AY38" s="498"/>
      <c r="AZ38" s="498"/>
      <c r="BA38" s="498"/>
      <c r="BB38" s="498"/>
      <c r="BC38" s="498"/>
      <c r="BD38" s="498"/>
      <c r="BE38" s="498"/>
      <c r="BF38" s="498"/>
      <c r="BG38" s="498"/>
      <c r="BH38" s="498"/>
      <c r="BI38" s="498"/>
      <c r="BJ38" s="498"/>
      <c r="BK38" s="498"/>
      <c r="BL38" s="498"/>
      <c r="BM38" s="498"/>
      <c r="BN38" s="498"/>
      <c r="BO38" s="498"/>
      <c r="BP38" s="498"/>
      <c r="BQ38" s="498"/>
      <c r="BR38" s="498"/>
      <c r="BS38" s="498"/>
      <c r="BT38" s="498"/>
      <c r="BU38" s="498"/>
      <c r="BV38" s="498"/>
      <c r="BW38" s="498"/>
      <c r="BX38" s="498"/>
      <c r="BY38" s="498"/>
      <c r="BZ38" s="498"/>
      <c r="CA38" s="498"/>
      <c r="CB38" s="498"/>
      <c r="CC38" s="498"/>
      <c r="CD38" s="498"/>
      <c r="CE38" s="498"/>
      <c r="CF38" s="498"/>
      <c r="CG38" s="498"/>
      <c r="CH38" s="498"/>
      <c r="CI38" s="498"/>
      <c r="CJ38" s="498"/>
      <c r="CK38" s="498"/>
      <c r="CL38" s="498"/>
      <c r="CM38" s="498"/>
      <c r="CN38" s="498"/>
      <c r="CO38" s="498"/>
      <c r="CP38" s="498"/>
      <c r="CQ38" s="498"/>
      <c r="CR38" s="498"/>
      <c r="CS38" s="498"/>
      <c r="CT38" s="504">
        <f>SUM(F38:CS38)</f>
        <v>90</v>
      </c>
      <c r="CU38" s="115" t="s">
        <v>227</v>
      </c>
    </row>
    <row r="39" spans="1:99" ht="13" thickBot="1" x14ac:dyDescent="0.3">
      <c r="B39" s="48"/>
      <c r="C39" s="48"/>
      <c r="D39" s="48"/>
      <c r="E39" s="49"/>
      <c r="F39" s="50"/>
      <c r="G39" s="51"/>
      <c r="H39" s="51"/>
      <c r="I39" s="52"/>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c r="BA39" s="51"/>
      <c r="BB39" s="51"/>
      <c r="BC39" s="51"/>
      <c r="BD39" s="51"/>
      <c r="BE39" s="51"/>
      <c r="BF39" s="51"/>
      <c r="BG39" s="51"/>
      <c r="BH39" s="51"/>
      <c r="BI39" s="51"/>
      <c r="BJ39" s="51"/>
      <c r="BK39" s="51"/>
      <c r="BL39" s="51"/>
      <c r="BM39" s="51"/>
      <c r="BN39" s="51"/>
      <c r="BO39" s="51"/>
      <c r="BP39" s="51"/>
      <c r="BQ39" s="51"/>
      <c r="BR39" s="51"/>
      <c r="BS39" s="51"/>
      <c r="BT39" s="51"/>
      <c r="BU39" s="51"/>
      <c r="BV39" s="51"/>
      <c r="BW39" s="51"/>
      <c r="BX39" s="51"/>
      <c r="BY39" s="51"/>
      <c r="BZ39" s="51"/>
      <c r="CA39" s="51"/>
      <c r="CB39" s="51"/>
      <c r="CC39" s="51"/>
      <c r="CD39" s="51"/>
      <c r="CE39" s="51"/>
      <c r="CF39" s="51"/>
      <c r="CG39" s="51"/>
      <c r="CH39" s="51"/>
      <c r="CI39" s="51"/>
      <c r="CJ39" s="51"/>
      <c r="CK39" s="51"/>
      <c r="CL39" s="51"/>
      <c r="CM39" s="51"/>
      <c r="CN39" s="51"/>
      <c r="CO39" s="51"/>
      <c r="CP39" s="51"/>
      <c r="CQ39" s="51"/>
      <c r="CR39" s="51"/>
      <c r="CS39" s="51"/>
      <c r="CT39" s="51"/>
      <c r="CU39" s="51"/>
    </row>
    <row r="40" spans="1:99" ht="14.5" x14ac:dyDescent="0.35">
      <c r="B40" s="762" t="s">
        <v>84</v>
      </c>
      <c r="C40" s="765" t="s">
        <v>213</v>
      </c>
      <c r="D40" s="766" t="s">
        <v>185</v>
      </c>
      <c r="E40" s="23" t="s">
        <v>204</v>
      </c>
      <c r="F40" s="111">
        <f t="shared" ref="F40:R41" si="54">F36/$CT$20</f>
        <v>0</v>
      </c>
      <c r="G40" s="89">
        <f t="shared" si="54"/>
        <v>0</v>
      </c>
      <c r="H40" s="89">
        <f t="shared" si="54"/>
        <v>0</v>
      </c>
      <c r="I40" s="90">
        <f t="shared" si="54"/>
        <v>0</v>
      </c>
      <c r="J40" s="89">
        <f t="shared" si="54"/>
        <v>0</v>
      </c>
      <c r="K40" s="89">
        <f t="shared" si="54"/>
        <v>0</v>
      </c>
      <c r="L40" s="89">
        <f t="shared" si="54"/>
        <v>0</v>
      </c>
      <c r="M40" s="89">
        <f t="shared" si="54"/>
        <v>0</v>
      </c>
      <c r="N40" s="89">
        <f t="shared" si="54"/>
        <v>0</v>
      </c>
      <c r="O40" s="89">
        <f t="shared" si="54"/>
        <v>0</v>
      </c>
      <c r="P40" s="89">
        <f t="shared" si="54"/>
        <v>0</v>
      </c>
      <c r="Q40" s="89">
        <f t="shared" si="54"/>
        <v>0</v>
      </c>
      <c r="R40" s="89">
        <f t="shared" si="54"/>
        <v>0</v>
      </c>
      <c r="S40" s="89">
        <f>S36/$CT$36</f>
        <v>0.33333333333333331</v>
      </c>
      <c r="T40" s="89">
        <f>T36/$CT$20</f>
        <v>0</v>
      </c>
      <c r="U40" s="89">
        <f>U36/$CT$36</f>
        <v>0.33333333333333331</v>
      </c>
      <c r="V40" s="89">
        <f>V36/$CT$28</f>
        <v>0</v>
      </c>
      <c r="W40" s="89">
        <f>W36/$CT$36</f>
        <v>0.33333333333333331</v>
      </c>
      <c r="X40" s="89">
        <f>X36/$CT$28</f>
        <v>0</v>
      </c>
      <c r="Y40" s="89">
        <f>Y36/$CT$28</f>
        <v>0</v>
      </c>
      <c r="Z40" s="89">
        <f>Z36/$CT$28</f>
        <v>0</v>
      </c>
      <c r="AA40" s="89">
        <f>AA36/$CT$28</f>
        <v>0</v>
      </c>
      <c r="AB40" s="89">
        <f>AB36/$CT$28</f>
        <v>0</v>
      </c>
      <c r="AC40" s="89"/>
      <c r="AD40" s="89"/>
      <c r="AE40" s="89"/>
      <c r="AF40" s="89"/>
      <c r="AG40" s="89"/>
      <c r="AH40" s="89"/>
      <c r="AI40" s="89"/>
      <c r="AJ40" s="89"/>
      <c r="AK40" s="89"/>
      <c r="AL40" s="89"/>
      <c r="AM40" s="89"/>
      <c r="AN40" s="89"/>
      <c r="AO40" s="485"/>
      <c r="AP40" s="164"/>
      <c r="AQ40" s="164"/>
      <c r="AR40" s="164"/>
      <c r="AS40" s="164"/>
      <c r="AT40" s="164"/>
      <c r="AU40" s="164"/>
      <c r="AV40" s="164"/>
      <c r="AW40" s="164"/>
      <c r="AX40" s="164"/>
      <c r="AY40" s="164"/>
      <c r="AZ40" s="164"/>
      <c r="BA40" s="164"/>
      <c r="BB40" s="164"/>
      <c r="BC40" s="164"/>
      <c r="BD40" s="164"/>
      <c r="BE40" s="164"/>
      <c r="BF40" s="164"/>
      <c r="BG40" s="164"/>
      <c r="BH40" s="164"/>
      <c r="BI40" s="164"/>
      <c r="BJ40" s="164"/>
      <c r="BK40" s="164"/>
      <c r="BL40" s="164"/>
      <c r="BM40" s="164"/>
      <c r="BN40" s="164"/>
      <c r="BO40" s="164"/>
      <c r="BP40" s="164"/>
      <c r="BQ40" s="164"/>
      <c r="BR40" s="164"/>
      <c r="BS40" s="164"/>
      <c r="BT40" s="164"/>
      <c r="BU40" s="164"/>
      <c r="BV40" s="164"/>
      <c r="BW40" s="164"/>
      <c r="BX40" s="164"/>
      <c r="BY40" s="164"/>
      <c r="BZ40" s="164"/>
      <c r="CA40" s="164"/>
      <c r="CB40" s="164"/>
      <c r="CC40" s="164"/>
      <c r="CD40" s="164"/>
      <c r="CE40" s="164"/>
      <c r="CF40" s="164"/>
      <c r="CG40" s="164"/>
      <c r="CH40" s="164"/>
      <c r="CI40" s="164"/>
      <c r="CJ40" s="164"/>
      <c r="CK40" s="164"/>
      <c r="CL40" s="164"/>
      <c r="CM40" s="164"/>
      <c r="CN40" s="164"/>
      <c r="CO40" s="164"/>
      <c r="CP40" s="164"/>
      <c r="CQ40" s="164"/>
      <c r="CR40" s="164"/>
      <c r="CS40" s="164"/>
      <c r="CT40" s="500">
        <f>SUM(F40:CS40)</f>
        <v>1</v>
      </c>
      <c r="CU40" s="112" t="s">
        <v>222</v>
      </c>
    </row>
    <row r="41" spans="1:99" ht="14.5" x14ac:dyDescent="0.35">
      <c r="B41" s="762"/>
      <c r="C41" s="765"/>
      <c r="D41" s="766"/>
      <c r="E41" s="32" t="s">
        <v>224</v>
      </c>
      <c r="F41" s="117">
        <f t="shared" si="54"/>
        <v>0</v>
      </c>
      <c r="G41" s="113">
        <f t="shared" si="54"/>
        <v>0</v>
      </c>
      <c r="H41" s="113">
        <f t="shared" si="54"/>
        <v>0</v>
      </c>
      <c r="I41" s="118">
        <f t="shared" si="54"/>
        <v>0</v>
      </c>
      <c r="J41" s="113">
        <f t="shared" si="54"/>
        <v>0</v>
      </c>
      <c r="K41" s="113">
        <f t="shared" si="54"/>
        <v>0</v>
      </c>
      <c r="L41" s="113">
        <f t="shared" si="54"/>
        <v>0</v>
      </c>
      <c r="M41" s="113">
        <f t="shared" si="54"/>
        <v>0</v>
      </c>
      <c r="N41" s="113">
        <f t="shared" si="54"/>
        <v>0</v>
      </c>
      <c r="O41" s="113">
        <f t="shared" si="54"/>
        <v>0</v>
      </c>
      <c r="P41" s="113">
        <f t="shared" si="54"/>
        <v>0</v>
      </c>
      <c r="Q41" s="113">
        <f t="shared" si="54"/>
        <v>0</v>
      </c>
      <c r="R41" s="113">
        <f t="shared" si="54"/>
        <v>0</v>
      </c>
      <c r="S41" s="113">
        <f>S37/$CT$20</f>
        <v>7.6530612244897961E-2</v>
      </c>
      <c r="T41" s="113">
        <f>T37/$CT$20</f>
        <v>0</v>
      </c>
      <c r="U41" s="113">
        <f t="shared" ref="U41:AB41" si="55">U37/$CT$20</f>
        <v>7.6530612244897961E-2</v>
      </c>
      <c r="V41" s="113">
        <f t="shared" si="55"/>
        <v>0</v>
      </c>
      <c r="W41" s="113">
        <f t="shared" si="55"/>
        <v>7.6530612244897961E-2</v>
      </c>
      <c r="X41" s="113">
        <f t="shared" si="55"/>
        <v>0</v>
      </c>
      <c r="Y41" s="113">
        <f t="shared" si="55"/>
        <v>0</v>
      </c>
      <c r="Z41" s="113">
        <f t="shared" si="55"/>
        <v>0</v>
      </c>
      <c r="AA41" s="113">
        <f t="shared" si="55"/>
        <v>0</v>
      </c>
      <c r="AB41" s="113">
        <f t="shared" si="55"/>
        <v>0</v>
      </c>
      <c r="AC41" s="113"/>
      <c r="AD41" s="113"/>
      <c r="AE41" s="113"/>
      <c r="AF41" s="113"/>
      <c r="AG41" s="113"/>
      <c r="AH41" s="113"/>
      <c r="AI41" s="113"/>
      <c r="AJ41" s="113"/>
      <c r="AK41" s="113"/>
      <c r="AL41" s="113"/>
      <c r="AM41" s="113"/>
      <c r="AN41" s="113"/>
      <c r="AO41" s="499"/>
      <c r="AP41" s="165"/>
      <c r="AQ41" s="165"/>
      <c r="AR41" s="165"/>
      <c r="AS41" s="165"/>
      <c r="AT41" s="165"/>
      <c r="AU41" s="165"/>
      <c r="AV41" s="165"/>
      <c r="AW41" s="165"/>
      <c r="AX41" s="165"/>
      <c r="AY41" s="165"/>
      <c r="AZ41" s="165"/>
      <c r="BA41" s="165"/>
      <c r="BB41" s="165"/>
      <c r="BC41" s="165"/>
      <c r="BD41" s="165"/>
      <c r="BE41" s="165"/>
      <c r="BF41" s="165"/>
      <c r="BG41" s="165"/>
      <c r="BH41" s="165"/>
      <c r="BI41" s="165"/>
      <c r="BJ41" s="165"/>
      <c r="BK41" s="165"/>
      <c r="BL41" s="165"/>
      <c r="BM41" s="165"/>
      <c r="BN41" s="165"/>
      <c r="BO41" s="165"/>
      <c r="BP41" s="165"/>
      <c r="BQ41" s="165"/>
      <c r="BR41" s="165"/>
      <c r="BS41" s="165"/>
      <c r="BT41" s="165"/>
      <c r="BU41" s="165"/>
      <c r="BV41" s="165"/>
      <c r="BW41" s="165"/>
      <c r="BX41" s="165"/>
      <c r="BY41" s="165"/>
      <c r="BZ41" s="165"/>
      <c r="CA41" s="165"/>
      <c r="CB41" s="165"/>
      <c r="CC41" s="165"/>
      <c r="CD41" s="165"/>
      <c r="CE41" s="165"/>
      <c r="CF41" s="165"/>
      <c r="CG41" s="165"/>
      <c r="CH41" s="165"/>
      <c r="CI41" s="165"/>
      <c r="CJ41" s="165"/>
      <c r="CK41" s="165"/>
      <c r="CL41" s="165"/>
      <c r="CM41" s="165"/>
      <c r="CN41" s="165"/>
      <c r="CO41" s="165"/>
      <c r="CP41" s="165"/>
      <c r="CQ41" s="165"/>
      <c r="CR41" s="165"/>
      <c r="CS41" s="165"/>
      <c r="CT41" s="501">
        <f>SUM(F41:CS41)</f>
        <v>0.22959183673469388</v>
      </c>
      <c r="CU41" s="114" t="s">
        <v>225</v>
      </c>
    </row>
    <row r="42" spans="1:99" ht="15" thickBot="1" x14ac:dyDescent="0.4">
      <c r="B42" s="762"/>
      <c r="C42" s="765"/>
      <c r="D42" s="766"/>
      <c r="E42" s="41" t="s">
        <v>226</v>
      </c>
      <c r="F42" s="109"/>
      <c r="G42" s="83"/>
      <c r="H42" s="83"/>
      <c r="I42" s="84"/>
      <c r="J42" s="83"/>
      <c r="K42" s="69"/>
      <c r="L42" s="85"/>
      <c r="M42" s="69"/>
      <c r="N42" s="69"/>
      <c r="O42" s="69"/>
      <c r="P42" s="69"/>
      <c r="Q42" s="101"/>
      <c r="R42" s="101"/>
      <c r="S42" s="101"/>
      <c r="T42" s="101"/>
      <c r="U42" s="101"/>
      <c r="V42" s="101"/>
      <c r="W42" s="101"/>
      <c r="X42" s="101"/>
      <c r="Y42" s="101"/>
      <c r="Z42" s="101"/>
      <c r="AA42" s="101"/>
      <c r="AB42" s="101"/>
      <c r="AC42" s="101"/>
      <c r="AD42" s="101"/>
      <c r="AE42" s="101"/>
      <c r="AF42" s="101"/>
      <c r="AG42" s="101"/>
      <c r="AH42" s="101"/>
      <c r="AI42" s="101"/>
      <c r="AJ42" s="101"/>
      <c r="AK42" s="101"/>
      <c r="AL42" s="101"/>
      <c r="AM42" s="101"/>
      <c r="AN42" s="101"/>
      <c r="AO42" s="494"/>
      <c r="AP42" s="498"/>
      <c r="AQ42" s="498"/>
      <c r="AR42" s="498"/>
      <c r="AS42" s="498"/>
      <c r="AT42" s="498"/>
      <c r="AU42" s="498"/>
      <c r="AV42" s="498"/>
      <c r="AW42" s="498"/>
      <c r="AX42" s="498"/>
      <c r="AY42" s="498"/>
      <c r="AZ42" s="498"/>
      <c r="BA42" s="498"/>
      <c r="BB42" s="498"/>
      <c r="BC42" s="498"/>
      <c r="BD42" s="498"/>
      <c r="BE42" s="498"/>
      <c r="BF42" s="498"/>
      <c r="BG42" s="498"/>
      <c r="BH42" s="498"/>
      <c r="BI42" s="498"/>
      <c r="BJ42" s="498"/>
      <c r="BK42" s="498"/>
      <c r="BL42" s="498"/>
      <c r="BM42" s="498"/>
      <c r="BN42" s="498"/>
      <c r="BO42" s="498"/>
      <c r="BP42" s="498"/>
      <c r="BQ42" s="498"/>
      <c r="BR42" s="498"/>
      <c r="BS42" s="498"/>
      <c r="BT42" s="498"/>
      <c r="BU42" s="498"/>
      <c r="BV42" s="498"/>
      <c r="BW42" s="498"/>
      <c r="BX42" s="498"/>
      <c r="BY42" s="498"/>
      <c r="BZ42" s="498"/>
      <c r="CA42" s="498"/>
      <c r="CB42" s="498"/>
      <c r="CC42" s="498"/>
      <c r="CD42" s="498"/>
      <c r="CE42" s="498"/>
      <c r="CF42" s="498"/>
      <c r="CG42" s="498"/>
      <c r="CH42" s="498"/>
      <c r="CI42" s="498"/>
      <c r="CJ42" s="498"/>
      <c r="CK42" s="498"/>
      <c r="CL42" s="498"/>
      <c r="CM42" s="498"/>
      <c r="CN42" s="498"/>
      <c r="CO42" s="498"/>
      <c r="CP42" s="498"/>
      <c r="CQ42" s="498"/>
      <c r="CR42" s="498"/>
      <c r="CS42" s="498"/>
      <c r="CT42" s="503">
        <f>SUM(F42:CS42)</f>
        <v>0</v>
      </c>
      <c r="CU42" s="115" t="s">
        <v>227</v>
      </c>
    </row>
    <row r="43" spans="1:99" ht="13" thickBot="1" x14ac:dyDescent="0.3">
      <c r="B43" s="121"/>
      <c r="C43" s="121"/>
      <c r="D43" s="121"/>
      <c r="E43" s="51"/>
      <c r="F43" s="51"/>
      <c r="G43" s="51"/>
      <c r="H43" s="51"/>
      <c r="I43" s="52"/>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c r="AZ43" s="51"/>
      <c r="BA43" s="51"/>
      <c r="BB43" s="51"/>
      <c r="BC43" s="51"/>
      <c r="BD43" s="51"/>
      <c r="BE43" s="51"/>
      <c r="BF43" s="51"/>
      <c r="BG43" s="51"/>
      <c r="BH43" s="51"/>
      <c r="BI43" s="51"/>
      <c r="BJ43" s="51"/>
      <c r="BK43" s="51"/>
      <c r="BL43" s="51"/>
      <c r="BM43" s="51"/>
      <c r="BN43" s="51"/>
      <c r="BO43" s="51"/>
      <c r="BP43" s="51"/>
      <c r="BQ43" s="51"/>
      <c r="BR43" s="51"/>
      <c r="BS43" s="51"/>
      <c r="BT43" s="51"/>
      <c r="BU43" s="51"/>
      <c r="BV43" s="51"/>
      <c r="BW43" s="51"/>
      <c r="BX43" s="51"/>
      <c r="BY43" s="51"/>
      <c r="BZ43" s="51"/>
      <c r="CA43" s="51"/>
      <c r="CB43" s="51"/>
      <c r="CC43" s="51"/>
      <c r="CD43" s="51"/>
      <c r="CE43" s="51"/>
      <c r="CF43" s="51"/>
      <c r="CG43" s="51"/>
      <c r="CH43" s="51"/>
      <c r="CI43" s="51"/>
      <c r="CJ43" s="51"/>
      <c r="CK43" s="51"/>
      <c r="CL43" s="51"/>
      <c r="CM43" s="51"/>
      <c r="CN43" s="51"/>
      <c r="CO43" s="51"/>
      <c r="CP43" s="51"/>
      <c r="CQ43" s="51"/>
      <c r="CR43" s="51"/>
      <c r="CS43" s="51"/>
      <c r="CT43" s="51"/>
      <c r="CU43" s="51"/>
    </row>
    <row r="44" spans="1:99" ht="14.5" x14ac:dyDescent="0.35">
      <c r="A44" s="9" t="s">
        <v>223</v>
      </c>
      <c r="B44" s="762" t="s">
        <v>84</v>
      </c>
      <c r="C44" s="763" t="s">
        <v>214</v>
      </c>
      <c r="D44" s="764" t="s">
        <v>208</v>
      </c>
      <c r="E44" s="23" t="s">
        <v>204</v>
      </c>
      <c r="F44" s="105">
        <v>0</v>
      </c>
      <c r="G44" s="29">
        <v>0</v>
      </c>
      <c r="H44" s="29">
        <v>0</v>
      </c>
      <c r="I44" s="106">
        <v>0</v>
      </c>
      <c r="J44" s="29">
        <v>0</v>
      </c>
      <c r="K44" s="29">
        <v>0</v>
      </c>
      <c r="L44" s="29">
        <v>0</v>
      </c>
      <c r="M44" s="29">
        <v>0</v>
      </c>
      <c r="N44" s="29">
        <v>0</v>
      </c>
      <c r="O44" s="29">
        <v>0</v>
      </c>
      <c r="P44" s="29">
        <v>0</v>
      </c>
      <c r="Q44" s="29">
        <v>0</v>
      </c>
      <c r="R44" s="29">
        <v>0</v>
      </c>
      <c r="S44" s="29">
        <v>0</v>
      </c>
      <c r="T44" s="29">
        <v>0</v>
      </c>
      <c r="U44" s="29">
        <v>0</v>
      </c>
      <c r="V44" s="56">
        <v>0</v>
      </c>
      <c r="W44" s="56"/>
      <c r="X44" s="56">
        <v>70</v>
      </c>
      <c r="Y44" s="56"/>
      <c r="Z44" s="56">
        <v>35</v>
      </c>
      <c r="AA44" s="56"/>
      <c r="AB44" s="56"/>
      <c r="AC44" s="56"/>
      <c r="AD44" s="56"/>
      <c r="AE44" s="56"/>
      <c r="AF44" s="56"/>
      <c r="AG44" s="56"/>
      <c r="AH44" s="56"/>
      <c r="AI44" s="56"/>
      <c r="AJ44" s="56"/>
      <c r="AK44" s="56"/>
      <c r="AL44" s="56"/>
      <c r="AM44" s="56"/>
      <c r="AN44" s="57"/>
      <c r="AO44" s="505"/>
      <c r="AP44" s="505"/>
      <c r="AQ44" s="505"/>
      <c r="AR44" s="505"/>
      <c r="AS44" s="505"/>
      <c r="AT44" s="505"/>
      <c r="AU44" s="505"/>
      <c r="AV44" s="505"/>
      <c r="AW44" s="505"/>
      <c r="AX44" s="505"/>
      <c r="AY44" s="505"/>
      <c r="AZ44" s="505"/>
      <c r="BA44" s="505"/>
      <c r="BB44" s="505"/>
      <c r="BC44" s="505"/>
      <c r="BD44" s="505"/>
      <c r="BE44" s="505"/>
      <c r="BF44" s="505"/>
      <c r="BG44" s="505"/>
      <c r="BH44" s="505"/>
      <c r="BI44" s="505"/>
      <c r="BJ44" s="505"/>
      <c r="BK44" s="505"/>
      <c r="BL44" s="505"/>
      <c r="BM44" s="505"/>
      <c r="BN44" s="505"/>
      <c r="BO44" s="505"/>
      <c r="BP44" s="505"/>
      <c r="BQ44" s="505"/>
      <c r="BR44" s="505"/>
      <c r="BS44" s="505"/>
      <c r="BT44" s="505"/>
      <c r="BU44" s="505"/>
      <c r="BV44" s="505"/>
      <c r="BW44" s="505"/>
      <c r="BX44" s="505"/>
      <c r="BY44" s="505"/>
      <c r="BZ44" s="505"/>
      <c r="CA44" s="505"/>
      <c r="CB44" s="505"/>
      <c r="CC44" s="505"/>
      <c r="CD44" s="505"/>
      <c r="CE44" s="505"/>
      <c r="CF44" s="505"/>
      <c r="CG44" s="505"/>
      <c r="CH44" s="505"/>
      <c r="CI44" s="505"/>
      <c r="CJ44" s="505"/>
      <c r="CK44" s="505"/>
      <c r="CL44" s="505"/>
      <c r="CM44" s="505"/>
      <c r="CN44" s="505"/>
      <c r="CO44" s="505"/>
      <c r="CP44" s="505"/>
      <c r="CQ44" s="505"/>
      <c r="CR44" s="505"/>
      <c r="CS44" s="505"/>
      <c r="CT44" s="30">
        <f>SUM(F44:CS44)</f>
        <v>105</v>
      </c>
      <c r="CU44" s="112" t="s">
        <v>222</v>
      </c>
    </row>
    <row r="45" spans="1:99" ht="14.5" x14ac:dyDescent="0.35">
      <c r="A45" s="9" t="s">
        <v>223</v>
      </c>
      <c r="B45" s="762"/>
      <c r="C45" s="763"/>
      <c r="D45" s="764"/>
      <c r="E45" s="32" t="s">
        <v>224</v>
      </c>
      <c r="F45" s="107">
        <v>0</v>
      </c>
      <c r="G45" s="38">
        <v>0</v>
      </c>
      <c r="H45" s="38">
        <v>0</v>
      </c>
      <c r="I45" s="108">
        <v>0</v>
      </c>
      <c r="J45" s="38">
        <v>0</v>
      </c>
      <c r="K45" s="38">
        <v>0</v>
      </c>
      <c r="L45" s="38">
        <v>0</v>
      </c>
      <c r="M45" s="38">
        <v>0</v>
      </c>
      <c r="N45" s="38">
        <v>0</v>
      </c>
      <c r="O45" s="38">
        <v>0</v>
      </c>
      <c r="P45" s="38">
        <v>0</v>
      </c>
      <c r="Q45" s="38">
        <v>0</v>
      </c>
      <c r="R45" s="38">
        <v>0</v>
      </c>
      <c r="S45" s="38">
        <v>0</v>
      </c>
      <c r="T45" s="38">
        <v>0</v>
      </c>
      <c r="U45" s="38">
        <v>0</v>
      </c>
      <c r="V45" s="38"/>
      <c r="W45" s="38"/>
      <c r="X45" s="38"/>
      <c r="Y45" s="38"/>
      <c r="Z45" s="37">
        <v>35</v>
      </c>
      <c r="AA45" s="37"/>
      <c r="AB45" s="37"/>
      <c r="AC45" s="37">
        <v>35</v>
      </c>
      <c r="AD45" s="37"/>
      <c r="AE45" s="37"/>
      <c r="AF45" s="37"/>
      <c r="AG45" s="37"/>
      <c r="AH45" s="37"/>
      <c r="AI45" s="37"/>
      <c r="AJ45" s="38"/>
      <c r="AK45" s="38">
        <v>35</v>
      </c>
      <c r="AL45" s="38"/>
      <c r="AM45" s="38"/>
      <c r="AN45" s="63"/>
      <c r="AO45" s="153"/>
      <c r="AP45" s="153"/>
      <c r="AQ45" s="153"/>
      <c r="AR45" s="153"/>
      <c r="AS45" s="153"/>
      <c r="AT45" s="153"/>
      <c r="AU45" s="153"/>
      <c r="AV45" s="153"/>
      <c r="AW45" s="153"/>
      <c r="AX45" s="153"/>
      <c r="AY45" s="153"/>
      <c r="AZ45" s="153"/>
      <c r="BA45" s="153"/>
      <c r="BB45" s="153"/>
      <c r="BC45" s="153"/>
      <c r="BD45" s="153"/>
      <c r="BE45" s="153"/>
      <c r="BF45" s="153"/>
      <c r="BG45" s="153"/>
      <c r="BH45" s="153"/>
      <c r="BI45" s="153"/>
      <c r="BJ45" s="153"/>
      <c r="BK45" s="153"/>
      <c r="BL45" s="153"/>
      <c r="BM45" s="153"/>
      <c r="BN45" s="153"/>
      <c r="BO45" s="153"/>
      <c r="BP45" s="153"/>
      <c r="BQ45" s="153"/>
      <c r="BR45" s="153"/>
      <c r="BS45" s="153"/>
      <c r="BT45" s="153"/>
      <c r="BU45" s="153"/>
      <c r="BV45" s="153"/>
      <c r="BW45" s="153"/>
      <c r="BX45" s="153"/>
      <c r="BY45" s="153"/>
      <c r="BZ45" s="153"/>
      <c r="CA45" s="153"/>
      <c r="CB45" s="153"/>
      <c r="CC45" s="153"/>
      <c r="CD45" s="153"/>
      <c r="CE45" s="153"/>
      <c r="CF45" s="153"/>
      <c r="CG45" s="153"/>
      <c r="CH45" s="153"/>
      <c r="CI45" s="153"/>
      <c r="CJ45" s="153"/>
      <c r="CK45" s="153"/>
      <c r="CL45" s="153"/>
      <c r="CM45" s="153"/>
      <c r="CN45" s="153"/>
      <c r="CO45" s="153"/>
      <c r="CP45" s="153"/>
      <c r="CQ45" s="153"/>
      <c r="CR45" s="153"/>
      <c r="CS45" s="153"/>
      <c r="CT45" s="39">
        <f>SUM(F45:CS45)</f>
        <v>105</v>
      </c>
      <c r="CU45" s="114" t="s">
        <v>225</v>
      </c>
    </row>
    <row r="46" spans="1:99" ht="15" thickBot="1" x14ac:dyDescent="0.4">
      <c r="A46" s="9" t="s">
        <v>223</v>
      </c>
      <c r="B46" s="762"/>
      <c r="C46" s="763"/>
      <c r="D46" s="764"/>
      <c r="E46" s="41" t="s">
        <v>226</v>
      </c>
      <c r="F46" s="109"/>
      <c r="G46" s="83"/>
      <c r="H46" s="83"/>
      <c r="I46" s="84"/>
      <c r="J46" s="83"/>
      <c r="K46" s="69"/>
      <c r="L46" s="85"/>
      <c r="M46" s="69"/>
      <c r="N46" s="69"/>
      <c r="O46" s="69"/>
      <c r="P46" s="69"/>
      <c r="Q46" s="101"/>
      <c r="R46" s="101"/>
      <c r="S46" s="101"/>
      <c r="T46" s="101"/>
      <c r="U46" s="101"/>
      <c r="V46" s="101"/>
      <c r="W46" s="101"/>
      <c r="X46" s="110"/>
      <c r="Y46" s="101"/>
      <c r="Z46" s="110">
        <v>35</v>
      </c>
      <c r="AA46" s="101"/>
      <c r="AB46" s="101">
        <v>70</v>
      </c>
      <c r="AC46" s="101"/>
      <c r="AD46" s="101"/>
      <c r="AE46" s="101"/>
      <c r="AF46" s="101"/>
      <c r="AG46" s="101"/>
      <c r="AH46" s="101"/>
      <c r="AI46" s="101"/>
      <c r="AJ46" s="101"/>
      <c r="AK46" s="101">
        <v>35</v>
      </c>
      <c r="AL46" s="101"/>
      <c r="AM46" s="101"/>
      <c r="AN46" s="494"/>
      <c r="AO46" s="498"/>
      <c r="AP46" s="498"/>
      <c r="AQ46" s="498"/>
      <c r="AR46" s="498"/>
      <c r="AS46" s="498"/>
      <c r="AT46" s="498"/>
      <c r="AU46" s="498"/>
      <c r="AV46" s="498"/>
      <c r="AW46" s="498"/>
      <c r="AX46" s="498"/>
      <c r="AY46" s="498"/>
      <c r="AZ46" s="498"/>
      <c r="BA46" s="498"/>
      <c r="BB46" s="498"/>
      <c r="BC46" s="498"/>
      <c r="BD46" s="498"/>
      <c r="BE46" s="498"/>
      <c r="BF46" s="498"/>
      <c r="BG46" s="498"/>
      <c r="BH46" s="498"/>
      <c r="BI46" s="498"/>
      <c r="BJ46" s="498"/>
      <c r="BK46" s="498"/>
      <c r="BL46" s="498"/>
      <c r="BM46" s="498"/>
      <c r="BN46" s="498"/>
      <c r="BO46" s="498"/>
      <c r="BP46" s="498"/>
      <c r="BQ46" s="498"/>
      <c r="BR46" s="498"/>
      <c r="BS46" s="498"/>
      <c r="BT46" s="498"/>
      <c r="BU46" s="498"/>
      <c r="BV46" s="498"/>
      <c r="BW46" s="498"/>
      <c r="BX46" s="498"/>
      <c r="BY46" s="498"/>
      <c r="BZ46" s="498"/>
      <c r="CA46" s="498"/>
      <c r="CB46" s="498"/>
      <c r="CC46" s="498"/>
      <c r="CD46" s="498"/>
      <c r="CE46" s="498"/>
      <c r="CF46" s="498"/>
      <c r="CG46" s="498"/>
      <c r="CH46" s="498"/>
      <c r="CI46" s="498"/>
      <c r="CJ46" s="498"/>
      <c r="CK46" s="498"/>
      <c r="CL46" s="498"/>
      <c r="CM46" s="498"/>
      <c r="CN46" s="498"/>
      <c r="CO46" s="498"/>
      <c r="CP46" s="498"/>
      <c r="CQ46" s="498"/>
      <c r="CR46" s="498"/>
      <c r="CS46" s="498"/>
      <c r="CT46" s="506">
        <f>SUM(F46:CS46)</f>
        <v>140</v>
      </c>
      <c r="CU46" s="115" t="s">
        <v>227</v>
      </c>
    </row>
    <row r="47" spans="1:99" ht="13" thickBot="1" x14ac:dyDescent="0.3">
      <c r="B47" s="48"/>
      <c r="C47" s="48"/>
      <c r="D47" s="48"/>
      <c r="E47" s="49"/>
      <c r="F47" s="50"/>
      <c r="G47" s="51"/>
      <c r="H47" s="51"/>
      <c r="I47" s="52"/>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c r="BA47" s="51"/>
      <c r="BB47" s="51"/>
      <c r="BC47" s="51"/>
      <c r="BD47" s="51"/>
      <c r="BE47" s="51"/>
      <c r="BF47" s="51"/>
      <c r="BG47" s="51"/>
      <c r="BH47" s="51"/>
      <c r="BI47" s="51"/>
      <c r="BJ47" s="51"/>
      <c r="BK47" s="51"/>
      <c r="BL47" s="51"/>
      <c r="BM47" s="51"/>
      <c r="BN47" s="51"/>
      <c r="BO47" s="51"/>
      <c r="BP47" s="51"/>
      <c r="BQ47" s="51"/>
      <c r="BR47" s="51"/>
      <c r="BS47" s="51"/>
      <c r="BT47" s="51"/>
      <c r="BU47" s="51"/>
      <c r="BV47" s="51"/>
      <c r="BW47" s="51"/>
      <c r="BX47" s="51"/>
      <c r="BY47" s="51"/>
      <c r="BZ47" s="51"/>
      <c r="CA47" s="51"/>
      <c r="CB47" s="51"/>
      <c r="CC47" s="51"/>
      <c r="CD47" s="51"/>
      <c r="CE47" s="51"/>
      <c r="CF47" s="51"/>
      <c r="CG47" s="51"/>
      <c r="CH47" s="51"/>
      <c r="CI47" s="51"/>
      <c r="CJ47" s="51"/>
      <c r="CK47" s="51"/>
      <c r="CL47" s="51"/>
      <c r="CM47" s="51"/>
      <c r="CN47" s="51"/>
      <c r="CO47" s="51"/>
      <c r="CP47" s="51"/>
      <c r="CQ47" s="51"/>
      <c r="CR47" s="51"/>
      <c r="CS47" s="51"/>
      <c r="CT47" s="51"/>
      <c r="CU47" s="51"/>
    </row>
    <row r="48" spans="1:99" ht="14.5" x14ac:dyDescent="0.35">
      <c r="B48" s="762" t="s">
        <v>84</v>
      </c>
      <c r="C48" s="765" t="s">
        <v>214</v>
      </c>
      <c r="D48" s="766" t="s">
        <v>185</v>
      </c>
      <c r="E48" s="23" t="s">
        <v>204</v>
      </c>
      <c r="F48" s="111">
        <f t="shared" ref="F48:R49" si="56">F44/$CT$20</f>
        <v>0</v>
      </c>
      <c r="G48" s="89">
        <f t="shared" si="56"/>
        <v>0</v>
      </c>
      <c r="H48" s="89">
        <f t="shared" si="56"/>
        <v>0</v>
      </c>
      <c r="I48" s="90">
        <f t="shared" si="56"/>
        <v>0</v>
      </c>
      <c r="J48" s="89">
        <f t="shared" si="56"/>
        <v>0</v>
      </c>
      <c r="K48" s="89">
        <f t="shared" si="56"/>
        <v>0</v>
      </c>
      <c r="L48" s="89">
        <f t="shared" si="56"/>
        <v>0</v>
      </c>
      <c r="M48" s="89">
        <f t="shared" si="56"/>
        <v>0</v>
      </c>
      <c r="N48" s="89">
        <f t="shared" si="56"/>
        <v>0</v>
      </c>
      <c r="O48" s="89">
        <f t="shared" si="56"/>
        <v>0</v>
      </c>
      <c r="P48" s="89">
        <f t="shared" si="56"/>
        <v>0</v>
      </c>
      <c r="Q48" s="89">
        <f t="shared" si="56"/>
        <v>0</v>
      </c>
      <c r="R48" s="89">
        <f t="shared" si="56"/>
        <v>0</v>
      </c>
      <c r="S48" s="89">
        <f>S44/$CT$36</f>
        <v>0</v>
      </c>
      <c r="T48" s="89">
        <f>T44/$CT$20</f>
        <v>0</v>
      </c>
      <c r="U48" s="89">
        <f>U44/$CT$36</f>
        <v>0</v>
      </c>
      <c r="V48" s="89">
        <f t="shared" ref="V48:AB48" si="57">V44/$CT$44</f>
        <v>0</v>
      </c>
      <c r="W48" s="89">
        <f t="shared" si="57"/>
        <v>0</v>
      </c>
      <c r="X48" s="89">
        <f t="shared" si="57"/>
        <v>0.66666666666666663</v>
      </c>
      <c r="Y48" s="89">
        <f t="shared" si="57"/>
        <v>0</v>
      </c>
      <c r="Z48" s="89">
        <f t="shared" si="57"/>
        <v>0.33333333333333331</v>
      </c>
      <c r="AA48" s="89">
        <f t="shared" si="57"/>
        <v>0</v>
      </c>
      <c r="AB48" s="89">
        <f t="shared" si="57"/>
        <v>0</v>
      </c>
      <c r="AC48" s="89"/>
      <c r="AD48" s="89"/>
      <c r="AE48" s="89"/>
      <c r="AF48" s="89"/>
      <c r="AG48" s="89"/>
      <c r="AH48" s="89"/>
      <c r="AI48" s="89"/>
      <c r="AJ48" s="89"/>
      <c r="AK48" s="89"/>
      <c r="AL48" s="89"/>
      <c r="AM48" s="89"/>
      <c r="AN48" s="485"/>
      <c r="AO48" s="164"/>
      <c r="AP48" s="164"/>
      <c r="AQ48" s="164"/>
      <c r="AR48" s="164"/>
      <c r="AS48" s="164"/>
      <c r="AT48" s="164"/>
      <c r="AU48" s="164"/>
      <c r="AV48" s="164"/>
      <c r="AW48" s="164"/>
      <c r="AX48" s="164"/>
      <c r="AY48" s="164"/>
      <c r="AZ48" s="164"/>
      <c r="BA48" s="164"/>
      <c r="BB48" s="164"/>
      <c r="BC48" s="164"/>
      <c r="BD48" s="164"/>
      <c r="BE48" s="164"/>
      <c r="BF48" s="164"/>
      <c r="BG48" s="164"/>
      <c r="BH48" s="164"/>
      <c r="BI48" s="164"/>
      <c r="BJ48" s="164"/>
      <c r="BK48" s="164"/>
      <c r="BL48" s="164"/>
      <c r="BM48" s="164"/>
      <c r="BN48" s="164"/>
      <c r="BO48" s="164"/>
      <c r="BP48" s="164"/>
      <c r="BQ48" s="164"/>
      <c r="BR48" s="164"/>
      <c r="BS48" s="164"/>
      <c r="BT48" s="164"/>
      <c r="BU48" s="164"/>
      <c r="BV48" s="164"/>
      <c r="BW48" s="164"/>
      <c r="BX48" s="164"/>
      <c r="BY48" s="164"/>
      <c r="BZ48" s="164"/>
      <c r="CA48" s="164"/>
      <c r="CB48" s="164"/>
      <c r="CC48" s="164"/>
      <c r="CD48" s="164"/>
      <c r="CE48" s="164"/>
      <c r="CF48" s="164"/>
      <c r="CG48" s="164"/>
      <c r="CH48" s="164"/>
      <c r="CI48" s="164"/>
      <c r="CJ48" s="164"/>
      <c r="CK48" s="164"/>
      <c r="CL48" s="164"/>
      <c r="CM48" s="164"/>
      <c r="CN48" s="164"/>
      <c r="CO48" s="164"/>
      <c r="CP48" s="164"/>
      <c r="CQ48" s="164"/>
      <c r="CR48" s="164"/>
      <c r="CS48" s="164"/>
      <c r="CT48" s="500">
        <f>SUM(F48:CS48)</f>
        <v>1</v>
      </c>
      <c r="CU48" s="112" t="s">
        <v>222</v>
      </c>
    </row>
    <row r="49" spans="1:99" ht="14.5" x14ac:dyDescent="0.35">
      <c r="B49" s="762"/>
      <c r="C49" s="765"/>
      <c r="D49" s="766"/>
      <c r="E49" s="32" t="s">
        <v>224</v>
      </c>
      <c r="F49" s="117">
        <f t="shared" si="56"/>
        <v>0</v>
      </c>
      <c r="G49" s="113">
        <f t="shared" si="56"/>
        <v>0</v>
      </c>
      <c r="H49" s="113">
        <f t="shared" si="56"/>
        <v>0</v>
      </c>
      <c r="I49" s="118">
        <f t="shared" si="56"/>
        <v>0</v>
      </c>
      <c r="J49" s="113">
        <f t="shared" si="56"/>
        <v>0</v>
      </c>
      <c r="K49" s="113">
        <f t="shared" si="56"/>
        <v>0</v>
      </c>
      <c r="L49" s="113">
        <f t="shared" si="56"/>
        <v>0</v>
      </c>
      <c r="M49" s="113">
        <f t="shared" si="56"/>
        <v>0</v>
      </c>
      <c r="N49" s="113">
        <f t="shared" si="56"/>
        <v>0</v>
      </c>
      <c r="O49" s="113">
        <f t="shared" si="56"/>
        <v>0</v>
      </c>
      <c r="P49" s="113">
        <f t="shared" si="56"/>
        <v>0</v>
      </c>
      <c r="Q49" s="113">
        <f t="shared" si="56"/>
        <v>0</v>
      </c>
      <c r="R49" s="113">
        <f t="shared" si="56"/>
        <v>0</v>
      </c>
      <c r="S49" s="113">
        <f>S45/$CT$20</f>
        <v>0</v>
      </c>
      <c r="T49" s="113">
        <f>T45/$CT$20</f>
        <v>0</v>
      </c>
      <c r="U49" s="113">
        <f t="shared" ref="U49:AB49" si="58">U45/$CT$20</f>
        <v>0</v>
      </c>
      <c r="V49" s="113">
        <f t="shared" si="58"/>
        <v>0</v>
      </c>
      <c r="W49" s="113">
        <f t="shared" si="58"/>
        <v>0</v>
      </c>
      <c r="X49" s="113">
        <f t="shared" si="58"/>
        <v>0</v>
      </c>
      <c r="Y49" s="113">
        <f t="shared" si="58"/>
        <v>0</v>
      </c>
      <c r="Z49" s="113">
        <f t="shared" si="58"/>
        <v>8.9285714285714288E-2</v>
      </c>
      <c r="AA49" s="113">
        <f t="shared" si="58"/>
        <v>0</v>
      </c>
      <c r="AB49" s="113">
        <f t="shared" si="58"/>
        <v>0</v>
      </c>
      <c r="AC49" s="113"/>
      <c r="AD49" s="113"/>
      <c r="AE49" s="113"/>
      <c r="AF49" s="113"/>
      <c r="AG49" s="113"/>
      <c r="AH49" s="113"/>
      <c r="AI49" s="113"/>
      <c r="AJ49" s="113"/>
      <c r="AK49" s="113"/>
      <c r="AL49" s="113"/>
      <c r="AM49" s="113"/>
      <c r="AN49" s="499"/>
      <c r="AO49" s="165"/>
      <c r="AP49" s="165"/>
      <c r="AQ49" s="165"/>
      <c r="AR49" s="165"/>
      <c r="AS49" s="165"/>
      <c r="AT49" s="165"/>
      <c r="AU49" s="165"/>
      <c r="AV49" s="165"/>
      <c r="AW49" s="165"/>
      <c r="AX49" s="165"/>
      <c r="AY49" s="165"/>
      <c r="AZ49" s="165"/>
      <c r="BA49" s="165"/>
      <c r="BB49" s="165"/>
      <c r="BC49" s="165"/>
      <c r="BD49" s="165"/>
      <c r="BE49" s="165"/>
      <c r="BF49" s="165"/>
      <c r="BG49" s="165"/>
      <c r="BH49" s="165"/>
      <c r="BI49" s="165"/>
      <c r="BJ49" s="165"/>
      <c r="BK49" s="165"/>
      <c r="BL49" s="165"/>
      <c r="BM49" s="165"/>
      <c r="BN49" s="165"/>
      <c r="BO49" s="165"/>
      <c r="BP49" s="165"/>
      <c r="BQ49" s="165"/>
      <c r="BR49" s="165"/>
      <c r="BS49" s="165"/>
      <c r="BT49" s="165"/>
      <c r="BU49" s="165"/>
      <c r="BV49" s="165"/>
      <c r="BW49" s="165"/>
      <c r="BX49" s="165"/>
      <c r="BY49" s="165"/>
      <c r="BZ49" s="165"/>
      <c r="CA49" s="165"/>
      <c r="CB49" s="165"/>
      <c r="CC49" s="165"/>
      <c r="CD49" s="165"/>
      <c r="CE49" s="165"/>
      <c r="CF49" s="165"/>
      <c r="CG49" s="165"/>
      <c r="CH49" s="165"/>
      <c r="CI49" s="165"/>
      <c r="CJ49" s="165"/>
      <c r="CK49" s="165"/>
      <c r="CL49" s="165"/>
      <c r="CM49" s="165"/>
      <c r="CN49" s="165"/>
      <c r="CO49" s="165"/>
      <c r="CP49" s="165"/>
      <c r="CQ49" s="165"/>
      <c r="CR49" s="165"/>
      <c r="CS49" s="165"/>
      <c r="CT49" s="501">
        <f>SUM(F49:CS49)</f>
        <v>8.9285714285714288E-2</v>
      </c>
      <c r="CU49" s="114" t="s">
        <v>225</v>
      </c>
    </row>
    <row r="50" spans="1:99" ht="15" thickBot="1" x14ac:dyDescent="0.4">
      <c r="B50" s="762"/>
      <c r="C50" s="765"/>
      <c r="D50" s="766"/>
      <c r="E50" s="41" t="s">
        <v>226</v>
      </c>
      <c r="F50" s="109"/>
      <c r="G50" s="83"/>
      <c r="H50" s="83"/>
      <c r="I50" s="84"/>
      <c r="J50" s="83"/>
      <c r="K50" s="69"/>
      <c r="L50" s="85"/>
      <c r="M50" s="69"/>
      <c r="N50" s="69"/>
      <c r="O50" s="69"/>
      <c r="P50" s="69"/>
      <c r="Q50" s="101"/>
      <c r="R50" s="101"/>
      <c r="S50" s="101"/>
      <c r="T50" s="101"/>
      <c r="U50" s="101"/>
      <c r="V50" s="101"/>
      <c r="W50" s="101"/>
      <c r="X50" s="101"/>
      <c r="Y50" s="101"/>
      <c r="Z50" s="101"/>
      <c r="AA50" s="101"/>
      <c r="AB50" s="101"/>
      <c r="AC50" s="101"/>
      <c r="AD50" s="101"/>
      <c r="AE50" s="101"/>
      <c r="AF50" s="101"/>
      <c r="AG50" s="101"/>
      <c r="AH50" s="101"/>
      <c r="AI50" s="101"/>
      <c r="AJ50" s="101"/>
      <c r="AK50" s="101"/>
      <c r="AL50" s="101"/>
      <c r="AM50" s="101"/>
      <c r="AN50" s="494"/>
      <c r="AO50" s="498"/>
      <c r="AP50" s="498"/>
      <c r="AQ50" s="498"/>
      <c r="AR50" s="498"/>
      <c r="AS50" s="498"/>
      <c r="AT50" s="498"/>
      <c r="AU50" s="498"/>
      <c r="AV50" s="498"/>
      <c r="AW50" s="498"/>
      <c r="AX50" s="498"/>
      <c r="AY50" s="498"/>
      <c r="AZ50" s="498"/>
      <c r="BA50" s="498"/>
      <c r="BB50" s="498"/>
      <c r="BC50" s="498"/>
      <c r="BD50" s="498"/>
      <c r="BE50" s="498"/>
      <c r="BF50" s="498"/>
      <c r="BG50" s="498"/>
      <c r="BH50" s="498"/>
      <c r="BI50" s="498"/>
      <c r="BJ50" s="498"/>
      <c r="BK50" s="498"/>
      <c r="BL50" s="498"/>
      <c r="BM50" s="498"/>
      <c r="BN50" s="498"/>
      <c r="BO50" s="498"/>
      <c r="BP50" s="498"/>
      <c r="BQ50" s="498"/>
      <c r="BR50" s="498"/>
      <c r="BS50" s="498"/>
      <c r="BT50" s="498"/>
      <c r="BU50" s="498"/>
      <c r="BV50" s="498"/>
      <c r="BW50" s="498"/>
      <c r="BX50" s="498"/>
      <c r="BY50" s="498"/>
      <c r="BZ50" s="498"/>
      <c r="CA50" s="498"/>
      <c r="CB50" s="498"/>
      <c r="CC50" s="498"/>
      <c r="CD50" s="498"/>
      <c r="CE50" s="498"/>
      <c r="CF50" s="498"/>
      <c r="CG50" s="498"/>
      <c r="CH50" s="498"/>
      <c r="CI50" s="498"/>
      <c r="CJ50" s="498"/>
      <c r="CK50" s="498"/>
      <c r="CL50" s="498"/>
      <c r="CM50" s="498"/>
      <c r="CN50" s="498"/>
      <c r="CO50" s="498"/>
      <c r="CP50" s="498"/>
      <c r="CQ50" s="498"/>
      <c r="CR50" s="498"/>
      <c r="CS50" s="498"/>
      <c r="CT50" s="506">
        <f>SUM(F50:CS50)</f>
        <v>0</v>
      </c>
      <c r="CU50" s="115" t="s">
        <v>227</v>
      </c>
    </row>
    <row r="51" spans="1:99" ht="13" thickBot="1" x14ac:dyDescent="0.3">
      <c r="B51" s="48"/>
      <c r="C51" s="48"/>
      <c r="D51" s="48"/>
      <c r="E51" s="49"/>
      <c r="F51" s="50"/>
      <c r="G51" s="51"/>
      <c r="H51" s="51"/>
      <c r="I51" s="52"/>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51"/>
      <c r="AZ51" s="51"/>
      <c r="BA51" s="51"/>
      <c r="BB51" s="51"/>
      <c r="BC51" s="51"/>
      <c r="BD51" s="51"/>
      <c r="BE51" s="51"/>
      <c r="BF51" s="51"/>
      <c r="BG51" s="51"/>
      <c r="BH51" s="51"/>
      <c r="BI51" s="51"/>
      <c r="BJ51" s="51"/>
      <c r="BK51" s="51"/>
      <c r="BL51" s="51"/>
      <c r="BM51" s="51"/>
      <c r="BN51" s="51"/>
      <c r="BO51" s="51"/>
      <c r="BP51" s="51"/>
      <c r="BQ51" s="51"/>
      <c r="BR51" s="51"/>
      <c r="BS51" s="51"/>
      <c r="BT51" s="51"/>
      <c r="BU51" s="51"/>
      <c r="BV51" s="51"/>
      <c r="BW51" s="51"/>
      <c r="BX51" s="51"/>
      <c r="BY51" s="51"/>
      <c r="BZ51" s="51"/>
      <c r="CA51" s="51"/>
      <c r="CB51" s="51"/>
      <c r="CC51" s="51"/>
      <c r="CD51" s="51"/>
      <c r="CE51" s="51"/>
      <c r="CF51" s="51"/>
      <c r="CG51" s="51"/>
      <c r="CH51" s="51"/>
      <c r="CI51" s="51"/>
      <c r="CJ51" s="51"/>
      <c r="CK51" s="51"/>
      <c r="CL51" s="51"/>
      <c r="CM51" s="51"/>
      <c r="CN51" s="51"/>
      <c r="CO51" s="51"/>
      <c r="CP51" s="51"/>
      <c r="CQ51" s="51"/>
      <c r="CR51" s="51"/>
      <c r="CS51" s="51"/>
      <c r="CT51" s="51"/>
      <c r="CU51" s="51"/>
    </row>
    <row r="52" spans="1:99" ht="14.5" x14ac:dyDescent="0.35">
      <c r="A52" s="9" t="s">
        <v>228</v>
      </c>
      <c r="B52" s="762" t="s">
        <v>229</v>
      </c>
      <c r="C52" s="762" t="s">
        <v>229</v>
      </c>
      <c r="D52" s="762" t="s">
        <v>229</v>
      </c>
      <c r="E52" s="23" t="s">
        <v>204</v>
      </c>
      <c r="F52" s="122">
        <f>F4+F12+F20+F28+F36+F44</f>
        <v>7598</v>
      </c>
      <c r="G52" s="123">
        <f t="shared" ref="G52:AO54" si="59">G4+G12+G20+G28+G36+G44</f>
        <v>1536</v>
      </c>
      <c r="H52" s="123">
        <f t="shared" si="59"/>
        <v>1628</v>
      </c>
      <c r="I52" s="123">
        <f t="shared" si="59"/>
        <v>1886</v>
      </c>
      <c r="J52" s="123">
        <f t="shared" si="59"/>
        <v>1572</v>
      </c>
      <c r="K52" s="123">
        <f t="shared" si="59"/>
        <v>6572</v>
      </c>
      <c r="L52" s="123">
        <f t="shared" si="59"/>
        <v>6618</v>
      </c>
      <c r="M52" s="123">
        <f t="shared" si="59"/>
        <v>10000</v>
      </c>
      <c r="N52" s="123">
        <f t="shared" si="59"/>
        <v>6572</v>
      </c>
      <c r="O52" s="123">
        <f t="shared" si="59"/>
        <v>6618</v>
      </c>
      <c r="P52" s="123">
        <f t="shared" si="59"/>
        <v>6572</v>
      </c>
      <c r="Q52" s="123">
        <f t="shared" si="59"/>
        <v>1618</v>
      </c>
      <c r="R52" s="123">
        <f t="shared" si="59"/>
        <v>1572</v>
      </c>
      <c r="S52" s="123">
        <f t="shared" si="59"/>
        <v>1285</v>
      </c>
      <c r="T52" s="123">
        <f t="shared" si="59"/>
        <v>203</v>
      </c>
      <c r="U52" s="123">
        <f t="shared" si="59"/>
        <v>62.2</v>
      </c>
      <c r="V52" s="123">
        <f t="shared" si="59"/>
        <v>0</v>
      </c>
      <c r="W52" s="123">
        <f t="shared" si="59"/>
        <v>62.2</v>
      </c>
      <c r="X52" s="123">
        <f t="shared" si="59"/>
        <v>70</v>
      </c>
      <c r="Y52" s="123">
        <f t="shared" si="59"/>
        <v>32.200000000000003</v>
      </c>
      <c r="Z52" s="123">
        <f t="shared" si="59"/>
        <v>35</v>
      </c>
      <c r="AA52" s="123">
        <f t="shared" si="59"/>
        <v>0</v>
      </c>
      <c r="AB52" s="123">
        <f t="shared" si="59"/>
        <v>0</v>
      </c>
      <c r="AC52" s="123">
        <f t="shared" si="59"/>
        <v>0</v>
      </c>
      <c r="AD52" s="123">
        <f t="shared" si="59"/>
        <v>0</v>
      </c>
      <c r="AE52" s="123">
        <f t="shared" si="59"/>
        <v>0</v>
      </c>
      <c r="AF52" s="123">
        <f t="shared" si="59"/>
        <v>0</v>
      </c>
      <c r="AG52" s="123">
        <f t="shared" si="59"/>
        <v>0</v>
      </c>
      <c r="AH52" s="123">
        <f t="shared" si="59"/>
        <v>0</v>
      </c>
      <c r="AI52" s="123">
        <f t="shared" si="59"/>
        <v>0</v>
      </c>
      <c r="AJ52" s="123">
        <f t="shared" si="59"/>
        <v>0</v>
      </c>
      <c r="AK52" s="123">
        <f t="shared" si="59"/>
        <v>0</v>
      </c>
      <c r="AL52" s="123">
        <f t="shared" si="59"/>
        <v>0</v>
      </c>
      <c r="AM52" s="123">
        <f t="shared" si="59"/>
        <v>0</v>
      </c>
      <c r="AN52" s="123">
        <f t="shared" si="59"/>
        <v>0</v>
      </c>
      <c r="AO52" s="124">
        <f t="shared" si="59"/>
        <v>0</v>
      </c>
      <c r="AP52" s="489"/>
      <c r="AQ52" s="489"/>
      <c r="AR52" s="489"/>
      <c r="AS52" s="489"/>
      <c r="AT52" s="489"/>
      <c r="AU52" s="489"/>
      <c r="AV52" s="489"/>
      <c r="AW52" s="489"/>
      <c r="AX52" s="489"/>
      <c r="AY52" s="489"/>
      <c r="AZ52" s="489"/>
      <c r="BA52" s="489"/>
      <c r="BB52" s="489"/>
      <c r="BC52" s="489"/>
      <c r="BD52" s="489"/>
      <c r="BE52" s="489"/>
      <c r="BF52" s="489"/>
      <c r="BG52" s="489"/>
      <c r="BH52" s="489"/>
      <c r="BI52" s="489"/>
      <c r="BJ52" s="489"/>
      <c r="BK52" s="489"/>
      <c r="BL52" s="489"/>
      <c r="BM52" s="489"/>
      <c r="BN52" s="489"/>
      <c r="BO52" s="489"/>
      <c r="BP52" s="489"/>
      <c r="BQ52" s="489"/>
      <c r="BR52" s="489"/>
      <c r="BS52" s="489"/>
      <c r="BT52" s="489"/>
      <c r="BU52" s="489"/>
      <c r="BV52" s="489"/>
      <c r="BW52" s="489"/>
      <c r="BX52" s="489"/>
      <c r="BY52" s="489"/>
      <c r="BZ52" s="489"/>
      <c r="CA52" s="489"/>
      <c r="CB52" s="489"/>
      <c r="CC52" s="489"/>
      <c r="CD52" s="489"/>
      <c r="CE52" s="489"/>
      <c r="CF52" s="489"/>
      <c r="CG52" s="489"/>
      <c r="CH52" s="489"/>
      <c r="CI52" s="489"/>
      <c r="CJ52" s="489"/>
      <c r="CK52" s="489"/>
      <c r="CL52" s="489"/>
      <c r="CM52" s="489"/>
      <c r="CN52" s="489"/>
      <c r="CO52" s="489"/>
      <c r="CP52" s="489"/>
      <c r="CQ52" s="489"/>
      <c r="CR52" s="489"/>
      <c r="CS52" s="489"/>
      <c r="CT52" s="120">
        <f>SUM(F52:CS52)</f>
        <v>62111.599999999991</v>
      </c>
      <c r="CU52" s="112" t="s">
        <v>222</v>
      </c>
    </row>
    <row r="53" spans="1:99" ht="14.5" x14ac:dyDescent="0.35">
      <c r="A53" s="9" t="s">
        <v>228</v>
      </c>
      <c r="B53" s="762"/>
      <c r="C53" s="762"/>
      <c r="D53" s="762"/>
      <c r="E53" s="32" t="s">
        <v>224</v>
      </c>
      <c r="F53" s="125">
        <f t="shared" ref="F53:U54" si="60">F5+F13+F21+F29+F37+F45</f>
        <v>7598</v>
      </c>
      <c r="G53" s="126">
        <f t="shared" si="60"/>
        <v>1536</v>
      </c>
      <c r="H53" s="126">
        <f t="shared" si="60"/>
        <v>1628</v>
      </c>
      <c r="I53" s="126">
        <f t="shared" si="60"/>
        <v>2028</v>
      </c>
      <c r="J53" s="126">
        <f t="shared" si="60"/>
        <v>1965</v>
      </c>
      <c r="K53" s="126">
        <f t="shared" si="60"/>
        <v>2739</v>
      </c>
      <c r="L53" s="126">
        <f t="shared" si="60"/>
        <v>1559</v>
      </c>
      <c r="M53" s="126">
        <f t="shared" si="60"/>
        <v>0</v>
      </c>
      <c r="N53" s="126">
        <f t="shared" si="60"/>
        <v>1412</v>
      </c>
      <c r="O53" s="126">
        <f t="shared" si="60"/>
        <v>2019</v>
      </c>
      <c r="P53" s="126">
        <f t="shared" si="60"/>
        <v>1872</v>
      </c>
      <c r="Q53" s="126">
        <f t="shared" si="60"/>
        <v>2742</v>
      </c>
      <c r="R53" s="126">
        <f t="shared" si="60"/>
        <v>2650</v>
      </c>
      <c r="S53" s="126">
        <f t="shared" si="60"/>
        <v>1051</v>
      </c>
      <c r="T53" s="126">
        <f t="shared" si="60"/>
        <v>0</v>
      </c>
      <c r="U53" s="126">
        <f t="shared" si="60"/>
        <v>1494</v>
      </c>
      <c r="V53" s="126">
        <f t="shared" si="59"/>
        <v>2091</v>
      </c>
      <c r="W53" s="126">
        <f t="shared" si="59"/>
        <v>2300</v>
      </c>
      <c r="X53" s="126">
        <f t="shared" si="59"/>
        <v>1005</v>
      </c>
      <c r="Y53" s="126">
        <f t="shared" si="59"/>
        <v>1998</v>
      </c>
      <c r="Z53" s="126">
        <f t="shared" si="59"/>
        <v>467</v>
      </c>
      <c r="AA53" s="126">
        <f t="shared" si="59"/>
        <v>0</v>
      </c>
      <c r="AB53" s="126">
        <f t="shared" si="59"/>
        <v>525</v>
      </c>
      <c r="AC53" s="126">
        <f t="shared" si="59"/>
        <v>2291</v>
      </c>
      <c r="AD53" s="126">
        <f t="shared" si="59"/>
        <v>3470</v>
      </c>
      <c r="AE53" s="126">
        <f t="shared" si="59"/>
        <v>0</v>
      </c>
      <c r="AF53" s="126">
        <f t="shared" si="59"/>
        <v>0</v>
      </c>
      <c r="AG53" s="126">
        <f t="shared" si="59"/>
        <v>1440</v>
      </c>
      <c r="AH53" s="126">
        <f t="shared" si="59"/>
        <v>650</v>
      </c>
      <c r="AI53" s="126">
        <f t="shared" si="59"/>
        <v>1754</v>
      </c>
      <c r="AJ53" s="126">
        <f t="shared" si="59"/>
        <v>2490</v>
      </c>
      <c r="AK53" s="126">
        <f t="shared" si="59"/>
        <v>2479</v>
      </c>
      <c r="AL53" s="126">
        <f t="shared" si="59"/>
        <v>2296</v>
      </c>
      <c r="AM53" s="126">
        <f t="shared" si="59"/>
        <v>2930</v>
      </c>
      <c r="AN53" s="126">
        <f t="shared" si="59"/>
        <v>0</v>
      </c>
      <c r="AO53" s="127">
        <f t="shared" si="59"/>
        <v>0</v>
      </c>
      <c r="AP53" s="490"/>
      <c r="AQ53" s="490"/>
      <c r="AR53" s="490"/>
      <c r="AS53" s="490"/>
      <c r="AT53" s="490"/>
      <c r="AU53" s="490"/>
      <c r="AV53" s="490"/>
      <c r="AW53" s="490"/>
      <c r="AX53" s="490"/>
      <c r="AY53" s="490"/>
      <c r="AZ53" s="490"/>
      <c r="BA53" s="490"/>
      <c r="BB53" s="490"/>
      <c r="BC53" s="490"/>
      <c r="BD53" s="490"/>
      <c r="BE53" s="490"/>
      <c r="BF53" s="490"/>
      <c r="BG53" s="490"/>
      <c r="BH53" s="490"/>
      <c r="BI53" s="490"/>
      <c r="BJ53" s="490"/>
      <c r="BK53" s="490"/>
      <c r="BL53" s="490"/>
      <c r="BM53" s="490"/>
      <c r="BN53" s="490"/>
      <c r="BO53" s="490"/>
      <c r="BP53" s="490"/>
      <c r="BQ53" s="490"/>
      <c r="BR53" s="490"/>
      <c r="BS53" s="490"/>
      <c r="BT53" s="490"/>
      <c r="BU53" s="490"/>
      <c r="BV53" s="490"/>
      <c r="BW53" s="490"/>
      <c r="BX53" s="490"/>
      <c r="BY53" s="490"/>
      <c r="BZ53" s="490"/>
      <c r="CA53" s="490"/>
      <c r="CB53" s="490"/>
      <c r="CC53" s="490"/>
      <c r="CD53" s="490"/>
      <c r="CE53" s="490"/>
      <c r="CF53" s="490"/>
      <c r="CG53" s="490"/>
      <c r="CH53" s="490"/>
      <c r="CI53" s="490"/>
      <c r="CJ53" s="490"/>
      <c r="CK53" s="490"/>
      <c r="CL53" s="490"/>
      <c r="CM53" s="490"/>
      <c r="CN53" s="490"/>
      <c r="CO53" s="490"/>
      <c r="CP53" s="490"/>
      <c r="CQ53" s="490"/>
      <c r="CR53" s="490"/>
      <c r="CS53" s="490"/>
      <c r="CT53" s="116">
        <f>SUM(F53:CS53)</f>
        <v>60479</v>
      </c>
      <c r="CU53" s="114" t="s">
        <v>225</v>
      </c>
    </row>
    <row r="54" spans="1:99" ht="15" thickBot="1" x14ac:dyDescent="0.4">
      <c r="A54" s="9" t="s">
        <v>228</v>
      </c>
      <c r="B54" s="762"/>
      <c r="C54" s="762"/>
      <c r="D54" s="762"/>
      <c r="E54" s="41" t="s">
        <v>226</v>
      </c>
      <c r="F54" s="128">
        <f t="shared" si="60"/>
        <v>0</v>
      </c>
      <c r="G54" s="129">
        <f t="shared" si="59"/>
        <v>0</v>
      </c>
      <c r="H54" s="129">
        <f t="shared" si="59"/>
        <v>0</v>
      </c>
      <c r="I54" s="129">
        <f t="shared" si="59"/>
        <v>0</v>
      </c>
      <c r="J54" s="129">
        <f t="shared" si="59"/>
        <v>0</v>
      </c>
      <c r="K54" s="129">
        <f t="shared" si="59"/>
        <v>0</v>
      </c>
      <c r="L54" s="129">
        <f t="shared" si="59"/>
        <v>0</v>
      </c>
      <c r="M54" s="129">
        <f t="shared" si="59"/>
        <v>0</v>
      </c>
      <c r="N54" s="129">
        <f t="shared" si="59"/>
        <v>0</v>
      </c>
      <c r="O54" s="129">
        <f t="shared" si="59"/>
        <v>0</v>
      </c>
      <c r="P54" s="129">
        <f t="shared" si="59"/>
        <v>1075.4391891891892</v>
      </c>
      <c r="Q54" s="129">
        <f t="shared" si="59"/>
        <v>1075.4391891891892</v>
      </c>
      <c r="R54" s="129">
        <f t="shared" si="59"/>
        <v>1075.4391891891892</v>
      </c>
      <c r="S54" s="129">
        <f t="shared" si="59"/>
        <v>890.68243243243251</v>
      </c>
      <c r="T54" s="129">
        <f t="shared" si="59"/>
        <v>0</v>
      </c>
      <c r="U54" s="129">
        <f t="shared" si="59"/>
        <v>2362.1999999999998</v>
      </c>
      <c r="V54" s="129">
        <f t="shared" si="59"/>
        <v>2300</v>
      </c>
      <c r="W54" s="129">
        <f t="shared" si="59"/>
        <v>2062.1999999999998</v>
      </c>
      <c r="X54" s="129">
        <f t="shared" si="59"/>
        <v>2000</v>
      </c>
      <c r="Y54" s="129">
        <f t="shared" si="59"/>
        <v>2032.2</v>
      </c>
      <c r="Z54" s="129">
        <f t="shared" si="59"/>
        <v>2035</v>
      </c>
      <c r="AA54" s="129">
        <f t="shared" si="59"/>
        <v>1250</v>
      </c>
      <c r="AB54" s="129">
        <f t="shared" si="59"/>
        <v>2570</v>
      </c>
      <c r="AC54" s="129">
        <f t="shared" si="59"/>
        <v>2500</v>
      </c>
      <c r="AD54" s="129">
        <f t="shared" si="59"/>
        <v>1250</v>
      </c>
      <c r="AE54" s="129">
        <f t="shared" si="59"/>
        <v>1250</v>
      </c>
      <c r="AF54" s="129">
        <f t="shared" si="59"/>
        <v>1250</v>
      </c>
      <c r="AG54" s="129">
        <f t="shared" si="59"/>
        <v>1250</v>
      </c>
      <c r="AH54" s="129">
        <f t="shared" si="59"/>
        <v>1250</v>
      </c>
      <c r="AI54" s="129">
        <f t="shared" si="59"/>
        <v>2500</v>
      </c>
      <c r="AJ54" s="129">
        <f t="shared" si="59"/>
        <v>2500</v>
      </c>
      <c r="AK54" s="129">
        <f t="shared" si="59"/>
        <v>1539</v>
      </c>
      <c r="AL54" s="129">
        <f t="shared" si="59"/>
        <v>1500</v>
      </c>
      <c r="AM54" s="129">
        <f t="shared" si="59"/>
        <v>1250</v>
      </c>
      <c r="AN54" s="129">
        <f t="shared" si="59"/>
        <v>1250</v>
      </c>
      <c r="AO54" s="130">
        <f t="shared" si="59"/>
        <v>0</v>
      </c>
      <c r="AP54" s="491"/>
      <c r="AQ54" s="491"/>
      <c r="AR54" s="491"/>
      <c r="AS54" s="491"/>
      <c r="AT54" s="491"/>
      <c r="AU54" s="491"/>
      <c r="AV54" s="491"/>
      <c r="AW54" s="491"/>
      <c r="AX54" s="491"/>
      <c r="AY54" s="491"/>
      <c r="AZ54" s="491"/>
      <c r="BA54" s="491"/>
      <c r="BB54" s="491"/>
      <c r="BC54" s="491"/>
      <c r="BD54" s="491"/>
      <c r="BE54" s="491"/>
      <c r="BF54" s="491"/>
      <c r="BG54" s="491"/>
      <c r="BH54" s="491"/>
      <c r="BI54" s="491"/>
      <c r="BJ54" s="491"/>
      <c r="BK54" s="491"/>
      <c r="BL54" s="491"/>
      <c r="BM54" s="491"/>
      <c r="BN54" s="491"/>
      <c r="BO54" s="491"/>
      <c r="BP54" s="491"/>
      <c r="BQ54" s="491"/>
      <c r="BR54" s="491"/>
      <c r="BS54" s="491"/>
      <c r="BT54" s="491"/>
      <c r="BU54" s="491"/>
      <c r="BV54" s="491"/>
      <c r="BW54" s="491"/>
      <c r="BX54" s="491"/>
      <c r="BY54" s="491"/>
      <c r="BZ54" s="491"/>
      <c r="CA54" s="491"/>
      <c r="CB54" s="491"/>
      <c r="CC54" s="491"/>
      <c r="CD54" s="491"/>
      <c r="CE54" s="491"/>
      <c r="CF54" s="491"/>
      <c r="CG54" s="491"/>
      <c r="CH54" s="491"/>
      <c r="CI54" s="491"/>
      <c r="CJ54" s="491"/>
      <c r="CK54" s="491"/>
      <c r="CL54" s="491"/>
      <c r="CM54" s="491"/>
      <c r="CN54" s="491"/>
      <c r="CO54" s="491"/>
      <c r="CP54" s="491"/>
      <c r="CQ54" s="491"/>
      <c r="CR54" s="491"/>
      <c r="CS54" s="491"/>
      <c r="CT54" s="131">
        <f>SUM(F54:CS54)</f>
        <v>40017.600000000006</v>
      </c>
      <c r="CU54" s="115" t="s">
        <v>227</v>
      </c>
    </row>
    <row r="55" spans="1:99" ht="13" thickBot="1" x14ac:dyDescent="0.3">
      <c r="B55" s="48"/>
      <c r="C55" s="48"/>
      <c r="D55" s="48"/>
      <c r="E55" s="49"/>
      <c r="F55" s="50"/>
      <c r="G55" s="51"/>
      <c r="H55" s="51"/>
      <c r="I55" s="52"/>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c r="AY55" s="51"/>
      <c r="AZ55" s="51"/>
      <c r="BA55" s="51"/>
      <c r="BB55" s="51"/>
      <c r="BC55" s="51"/>
      <c r="BD55" s="51"/>
      <c r="BE55" s="51"/>
      <c r="BF55" s="51"/>
      <c r="BG55" s="51"/>
      <c r="BH55" s="51"/>
      <c r="BI55" s="51"/>
      <c r="BJ55" s="51"/>
      <c r="BK55" s="51"/>
      <c r="BL55" s="51"/>
      <c r="BM55" s="51"/>
      <c r="BN55" s="51"/>
      <c r="BO55" s="51"/>
      <c r="BP55" s="51"/>
      <c r="BQ55" s="51"/>
      <c r="BR55" s="51"/>
      <c r="BS55" s="51"/>
      <c r="BT55" s="51"/>
      <c r="BU55" s="51"/>
      <c r="BV55" s="51"/>
      <c r="BW55" s="51"/>
      <c r="BX55" s="51"/>
      <c r="BY55" s="51"/>
      <c r="BZ55" s="51"/>
      <c r="CA55" s="51"/>
      <c r="CB55" s="51"/>
      <c r="CC55" s="51"/>
      <c r="CD55" s="51"/>
      <c r="CE55" s="51"/>
      <c r="CF55" s="51"/>
      <c r="CG55" s="51"/>
      <c r="CH55" s="51"/>
      <c r="CI55" s="51"/>
      <c r="CJ55" s="51"/>
      <c r="CK55" s="51"/>
      <c r="CL55" s="51"/>
      <c r="CM55" s="51"/>
      <c r="CN55" s="51"/>
      <c r="CO55" s="51"/>
      <c r="CP55" s="51"/>
      <c r="CQ55" s="51"/>
      <c r="CR55" s="51"/>
      <c r="CS55" s="51"/>
      <c r="CT55" s="51"/>
      <c r="CU55" s="51"/>
    </row>
    <row r="56" spans="1:99" ht="14.5" x14ac:dyDescent="0.35">
      <c r="A56" s="9" t="s">
        <v>228</v>
      </c>
      <c r="B56" s="762" t="s">
        <v>229</v>
      </c>
      <c r="C56" s="762" t="s">
        <v>229</v>
      </c>
      <c r="D56" s="762" t="s">
        <v>229</v>
      </c>
      <c r="E56" s="23" t="s">
        <v>204</v>
      </c>
      <c r="F56" s="132">
        <f>F52/$CT$52</f>
        <v>0.12232819634335616</v>
      </c>
      <c r="G56" s="132">
        <f t="shared" ref="G56:AO58" si="61">G52/$CT$52</f>
        <v>2.4729680124163607E-2</v>
      </c>
      <c r="H56" s="132">
        <f t="shared" si="61"/>
        <v>2.6210884923267154E-2</v>
      </c>
      <c r="I56" s="132">
        <f t="shared" si="61"/>
        <v>3.036469838162276E-2</v>
      </c>
      <c r="J56" s="132">
        <f t="shared" si="61"/>
        <v>2.5309282002073691E-2</v>
      </c>
      <c r="K56" s="132">
        <f t="shared" si="61"/>
        <v>0.10580954282291877</v>
      </c>
      <c r="L56" s="132">
        <f t="shared" si="61"/>
        <v>0.10655014522247054</v>
      </c>
      <c r="M56" s="132">
        <f t="shared" si="61"/>
        <v>0.16100052164169015</v>
      </c>
      <c r="N56" s="132">
        <f t="shared" si="61"/>
        <v>0.10580954282291877</v>
      </c>
      <c r="O56" s="132">
        <f t="shared" si="61"/>
        <v>0.10655014522247054</v>
      </c>
      <c r="P56" s="132">
        <f t="shared" si="61"/>
        <v>0.10580954282291877</v>
      </c>
      <c r="Q56" s="132">
        <f t="shared" si="61"/>
        <v>2.6049884401625464E-2</v>
      </c>
      <c r="R56" s="132">
        <f t="shared" si="61"/>
        <v>2.5309282002073691E-2</v>
      </c>
      <c r="S56" s="132">
        <f t="shared" si="61"/>
        <v>2.0688567030957183E-2</v>
      </c>
      <c r="T56" s="132">
        <f t="shared" si="61"/>
        <v>3.2683105893263099E-3</v>
      </c>
      <c r="U56" s="132">
        <f t="shared" si="61"/>
        <v>1.0014232446113127E-3</v>
      </c>
      <c r="V56" s="132">
        <f t="shared" si="61"/>
        <v>0</v>
      </c>
      <c r="W56" s="132">
        <f t="shared" si="61"/>
        <v>1.0014232446113127E-3</v>
      </c>
      <c r="X56" s="132">
        <f t="shared" si="61"/>
        <v>1.1270036514918311E-3</v>
      </c>
      <c r="Y56" s="132">
        <f t="shared" si="61"/>
        <v>5.1842167968624232E-4</v>
      </c>
      <c r="Z56" s="132">
        <f t="shared" si="61"/>
        <v>5.6350182574591554E-4</v>
      </c>
      <c r="AA56" s="132">
        <f t="shared" si="61"/>
        <v>0</v>
      </c>
      <c r="AB56" s="132">
        <f t="shared" si="61"/>
        <v>0</v>
      </c>
      <c r="AC56" s="132">
        <f t="shared" si="61"/>
        <v>0</v>
      </c>
      <c r="AD56" s="132">
        <f t="shared" si="61"/>
        <v>0</v>
      </c>
      <c r="AE56" s="132">
        <f t="shared" si="61"/>
        <v>0</v>
      </c>
      <c r="AF56" s="132">
        <f t="shared" si="61"/>
        <v>0</v>
      </c>
      <c r="AG56" s="132">
        <f t="shared" si="61"/>
        <v>0</v>
      </c>
      <c r="AH56" s="132">
        <f t="shared" si="61"/>
        <v>0</v>
      </c>
      <c r="AI56" s="132">
        <f t="shared" si="61"/>
        <v>0</v>
      </c>
      <c r="AJ56" s="132">
        <f t="shared" si="61"/>
        <v>0</v>
      </c>
      <c r="AK56" s="132">
        <f t="shared" si="61"/>
        <v>0</v>
      </c>
      <c r="AL56" s="132">
        <f t="shared" si="61"/>
        <v>0</v>
      </c>
      <c r="AM56" s="132">
        <f t="shared" si="61"/>
        <v>0</v>
      </c>
      <c r="AN56" s="132">
        <f t="shared" si="61"/>
        <v>0</v>
      </c>
      <c r="AO56" s="132">
        <f t="shared" si="61"/>
        <v>0</v>
      </c>
      <c r="AP56" s="511"/>
      <c r="AQ56" s="511"/>
      <c r="AR56" s="511"/>
      <c r="AS56" s="511"/>
      <c r="AT56" s="511"/>
      <c r="AU56" s="511"/>
      <c r="AV56" s="511"/>
      <c r="AW56" s="511"/>
      <c r="AX56" s="511"/>
      <c r="AY56" s="511"/>
      <c r="AZ56" s="511"/>
      <c r="BA56" s="512"/>
      <c r="BB56" s="512"/>
      <c r="BC56" s="512"/>
      <c r="BD56" s="512"/>
      <c r="BE56" s="512"/>
      <c r="BF56" s="512"/>
      <c r="BG56" s="512"/>
      <c r="BH56" s="512"/>
      <c r="BI56" s="512"/>
      <c r="BJ56" s="512"/>
      <c r="BK56" s="512"/>
      <c r="BL56" s="512"/>
      <c r="BM56" s="512"/>
      <c r="BN56" s="512"/>
      <c r="BO56" s="512"/>
      <c r="BP56" s="512"/>
      <c r="BQ56" s="512"/>
      <c r="BR56" s="512"/>
      <c r="BS56" s="512"/>
      <c r="BT56" s="512"/>
      <c r="BU56" s="512"/>
      <c r="BV56" s="512"/>
      <c r="BW56" s="512"/>
      <c r="BX56" s="512"/>
      <c r="BY56" s="512"/>
      <c r="BZ56" s="512"/>
      <c r="CA56" s="512"/>
      <c r="CB56" s="512"/>
      <c r="CC56" s="512"/>
      <c r="CD56" s="512"/>
      <c r="CE56" s="512"/>
      <c r="CF56" s="512"/>
      <c r="CG56" s="512"/>
      <c r="CH56" s="512"/>
      <c r="CI56" s="512"/>
      <c r="CJ56" s="512"/>
      <c r="CK56" s="512"/>
      <c r="CL56" s="512"/>
      <c r="CM56" s="512"/>
      <c r="CN56" s="512"/>
      <c r="CO56" s="512"/>
      <c r="CP56" s="512"/>
      <c r="CQ56" s="512"/>
      <c r="CR56" s="512"/>
      <c r="CS56" s="512"/>
      <c r="CT56" s="590">
        <f>SUM(F56:CS56)</f>
        <v>1</v>
      </c>
      <c r="CU56" s="112" t="s">
        <v>222</v>
      </c>
    </row>
    <row r="57" spans="1:99" ht="14.5" x14ac:dyDescent="0.35">
      <c r="A57" s="9" t="s">
        <v>228</v>
      </c>
      <c r="B57" s="762"/>
      <c r="C57" s="762"/>
      <c r="D57" s="762"/>
      <c r="E57" s="32" t="s">
        <v>224</v>
      </c>
      <c r="F57" s="133">
        <f>F53/$CT$52</f>
        <v>0.12232819634335616</v>
      </c>
      <c r="G57" s="133">
        <f t="shared" si="61"/>
        <v>2.4729680124163607E-2</v>
      </c>
      <c r="H57" s="133">
        <f t="shared" si="61"/>
        <v>2.6210884923267154E-2</v>
      </c>
      <c r="I57" s="133">
        <f t="shared" si="61"/>
        <v>3.2650905788934759E-2</v>
      </c>
      <c r="J57" s="133">
        <f t="shared" si="61"/>
        <v>3.1636602502592114E-2</v>
      </c>
      <c r="K57" s="133">
        <f t="shared" si="61"/>
        <v>4.4098042877658929E-2</v>
      </c>
      <c r="L57" s="133">
        <f t="shared" si="61"/>
        <v>2.5099981323939494E-2</v>
      </c>
      <c r="M57" s="133">
        <f t="shared" si="61"/>
        <v>0</v>
      </c>
      <c r="N57" s="133">
        <f t="shared" si="61"/>
        <v>2.2733273655806647E-2</v>
      </c>
      <c r="O57" s="133">
        <f t="shared" si="61"/>
        <v>3.2506005319457243E-2</v>
      </c>
      <c r="P57" s="133">
        <f t="shared" si="61"/>
        <v>3.0139297651324396E-2</v>
      </c>
      <c r="Q57" s="133">
        <f t="shared" si="61"/>
        <v>4.4146343034151436E-2</v>
      </c>
      <c r="R57" s="133">
        <f t="shared" si="61"/>
        <v>4.2665138235047889E-2</v>
      </c>
      <c r="S57" s="133">
        <f t="shared" si="61"/>
        <v>1.6921154824541634E-2</v>
      </c>
      <c r="T57" s="133">
        <f t="shared" si="61"/>
        <v>0</v>
      </c>
      <c r="U57" s="133">
        <f t="shared" si="61"/>
        <v>2.4053477933268508E-2</v>
      </c>
      <c r="V57" s="133">
        <f t="shared" si="61"/>
        <v>3.3665209075277411E-2</v>
      </c>
      <c r="W57" s="133">
        <f t="shared" si="61"/>
        <v>3.7030119977588732E-2</v>
      </c>
      <c r="X57" s="133">
        <f t="shared" si="61"/>
        <v>1.618055242498986E-2</v>
      </c>
      <c r="Y57" s="133">
        <f t="shared" si="61"/>
        <v>3.216790422400969E-2</v>
      </c>
      <c r="Z57" s="133">
        <f t="shared" si="61"/>
        <v>7.5187243606669295E-3</v>
      </c>
      <c r="AA57" s="133">
        <f t="shared" si="61"/>
        <v>0</v>
      </c>
      <c r="AB57" s="133">
        <f t="shared" si="61"/>
        <v>8.4525273861887316E-3</v>
      </c>
      <c r="AC57" s="133">
        <f t="shared" si="61"/>
        <v>3.688521950811121E-2</v>
      </c>
      <c r="AD57" s="133">
        <f t="shared" si="61"/>
        <v>5.5867181009666478E-2</v>
      </c>
      <c r="AE57" s="133">
        <f t="shared" si="61"/>
        <v>0</v>
      </c>
      <c r="AF57" s="133">
        <f t="shared" si="61"/>
        <v>0</v>
      </c>
      <c r="AG57" s="133">
        <f t="shared" si="61"/>
        <v>2.3184075116403382E-2</v>
      </c>
      <c r="AH57" s="133">
        <f t="shared" si="61"/>
        <v>1.0465033906709859E-2</v>
      </c>
      <c r="AI57" s="133">
        <f t="shared" si="61"/>
        <v>2.8239491495952451E-2</v>
      </c>
      <c r="AJ57" s="133">
        <f t="shared" si="61"/>
        <v>4.0089129888780849E-2</v>
      </c>
      <c r="AK57" s="133">
        <f t="shared" si="61"/>
        <v>3.9912029314974985E-2</v>
      </c>
      <c r="AL57" s="133">
        <f t="shared" si="61"/>
        <v>3.6965719768932058E-2</v>
      </c>
      <c r="AM57" s="133">
        <f t="shared" si="61"/>
        <v>4.7173152841015212E-2</v>
      </c>
      <c r="AN57" s="133">
        <f t="shared" si="61"/>
        <v>0</v>
      </c>
      <c r="AO57" s="492">
        <f t="shared" si="61"/>
        <v>0</v>
      </c>
      <c r="AP57" s="512"/>
      <c r="AQ57" s="512"/>
      <c r="AR57" s="512"/>
      <c r="AS57" s="512"/>
      <c r="AT57" s="512"/>
      <c r="AU57" s="512"/>
      <c r="AV57" s="512"/>
      <c r="AW57" s="512"/>
      <c r="AX57" s="512"/>
      <c r="AY57" s="512"/>
      <c r="AZ57" s="589"/>
      <c r="BA57" s="512"/>
      <c r="BB57" s="512"/>
      <c r="BC57" s="512"/>
      <c r="BD57" s="512"/>
      <c r="BE57" s="512"/>
      <c r="BF57" s="512"/>
      <c r="BG57" s="512"/>
      <c r="BH57" s="512"/>
      <c r="BI57" s="512"/>
      <c r="BJ57" s="512"/>
      <c r="BK57" s="512"/>
      <c r="BL57" s="512"/>
      <c r="BM57" s="512"/>
      <c r="BN57" s="512"/>
      <c r="BO57" s="512"/>
      <c r="BP57" s="512"/>
      <c r="BQ57" s="512"/>
      <c r="BR57" s="512"/>
      <c r="BS57" s="512"/>
      <c r="BT57" s="512"/>
      <c r="BU57" s="512"/>
      <c r="BV57" s="512"/>
      <c r="BW57" s="512"/>
      <c r="BX57" s="512"/>
      <c r="BY57" s="512"/>
      <c r="BZ57" s="512"/>
      <c r="CA57" s="512"/>
      <c r="CB57" s="512"/>
      <c r="CC57" s="512"/>
      <c r="CD57" s="512"/>
      <c r="CE57" s="512"/>
      <c r="CF57" s="512"/>
      <c r="CG57" s="512"/>
      <c r="CH57" s="512"/>
      <c r="CI57" s="512"/>
      <c r="CJ57" s="512"/>
      <c r="CK57" s="512"/>
      <c r="CL57" s="512"/>
      <c r="CM57" s="512"/>
      <c r="CN57" s="512"/>
      <c r="CO57" s="512"/>
      <c r="CP57" s="512"/>
      <c r="CQ57" s="512"/>
      <c r="CR57" s="512"/>
      <c r="CS57" s="512"/>
      <c r="CT57" s="509">
        <f>SUM(F57:CS57)</f>
        <v>0.97371505483677778</v>
      </c>
      <c r="CU57" s="114" t="s">
        <v>225</v>
      </c>
    </row>
    <row r="58" spans="1:99" ht="15" thickBot="1" x14ac:dyDescent="0.4">
      <c r="A58" s="9" t="s">
        <v>228</v>
      </c>
      <c r="B58" s="762"/>
      <c r="C58" s="762"/>
      <c r="D58" s="762"/>
      <c r="E58" s="41" t="s">
        <v>226</v>
      </c>
      <c r="F58" s="128">
        <f t="shared" ref="F58:O58" si="62">F10+F18+F26+F34+F42+F50</f>
        <v>0</v>
      </c>
      <c r="G58" s="129">
        <f t="shared" si="62"/>
        <v>0</v>
      </c>
      <c r="H58" s="129">
        <f t="shared" si="62"/>
        <v>0</v>
      </c>
      <c r="I58" s="129">
        <f t="shared" si="62"/>
        <v>0</v>
      </c>
      <c r="J58" s="129">
        <f t="shared" si="62"/>
        <v>0</v>
      </c>
      <c r="K58" s="129">
        <f t="shared" si="62"/>
        <v>0</v>
      </c>
      <c r="L58" s="129">
        <f t="shared" si="62"/>
        <v>0</v>
      </c>
      <c r="M58" s="129">
        <f t="shared" si="62"/>
        <v>0</v>
      </c>
      <c r="N58" s="129">
        <f t="shared" si="62"/>
        <v>0</v>
      </c>
      <c r="O58" s="129">
        <f t="shared" si="62"/>
        <v>0</v>
      </c>
      <c r="P58" s="134"/>
      <c r="Q58" s="134"/>
      <c r="R58" s="134">
        <f t="shared" si="61"/>
        <v>1.7314627045337577E-2</v>
      </c>
      <c r="S58" s="134">
        <f t="shared" si="61"/>
        <v>1.4340033623871106E-2</v>
      </c>
      <c r="T58" s="134">
        <f t="shared" si="61"/>
        <v>0</v>
      </c>
      <c r="U58" s="134">
        <f t="shared" si="61"/>
        <v>3.8031543222200044E-2</v>
      </c>
      <c r="V58" s="134">
        <f t="shared" si="61"/>
        <v>3.7030119977588732E-2</v>
      </c>
      <c r="W58" s="134">
        <f t="shared" si="61"/>
        <v>3.3201527572949335E-2</v>
      </c>
      <c r="X58" s="134">
        <f t="shared" si="61"/>
        <v>3.2200104328338031E-2</v>
      </c>
      <c r="Y58" s="134">
        <f t="shared" si="61"/>
        <v>3.2718526008024273E-2</v>
      </c>
      <c r="Z58" s="134">
        <f t="shared" si="61"/>
        <v>3.2763606154083941E-2</v>
      </c>
      <c r="AA58" s="134">
        <f t="shared" si="61"/>
        <v>2.0125065205211269E-2</v>
      </c>
      <c r="AB58" s="134">
        <f t="shared" si="61"/>
        <v>4.1377134061914365E-2</v>
      </c>
      <c r="AC58" s="134">
        <f t="shared" si="61"/>
        <v>4.0250130410422538E-2</v>
      </c>
      <c r="AD58" s="134">
        <f t="shared" si="61"/>
        <v>2.0125065205211269E-2</v>
      </c>
      <c r="AE58" s="134">
        <f t="shared" si="61"/>
        <v>2.0125065205211269E-2</v>
      </c>
      <c r="AF58" s="134">
        <f t="shared" si="61"/>
        <v>2.0125065205211269E-2</v>
      </c>
      <c r="AG58" s="134">
        <f t="shared" si="61"/>
        <v>2.0125065205211269E-2</v>
      </c>
      <c r="AH58" s="134">
        <f t="shared" si="61"/>
        <v>2.0125065205211269E-2</v>
      </c>
      <c r="AI58" s="134">
        <f t="shared" si="61"/>
        <v>4.0250130410422538E-2</v>
      </c>
      <c r="AJ58" s="134">
        <f t="shared" si="61"/>
        <v>4.0250130410422538E-2</v>
      </c>
      <c r="AK58" s="134">
        <f t="shared" si="61"/>
        <v>2.4777980280656114E-2</v>
      </c>
      <c r="AL58" s="134">
        <f t="shared" si="61"/>
        <v>2.4150078246253523E-2</v>
      </c>
      <c r="AM58" s="134">
        <f t="shared" si="61"/>
        <v>2.0125065205211269E-2</v>
      </c>
      <c r="AN58" s="134">
        <f t="shared" si="61"/>
        <v>2.0125065205211269E-2</v>
      </c>
      <c r="AO58" s="508">
        <f t="shared" si="61"/>
        <v>0</v>
      </c>
      <c r="AP58" s="512"/>
      <c r="AQ58" s="512"/>
      <c r="AR58" s="512"/>
      <c r="AS58" s="512"/>
      <c r="AT58" s="512"/>
      <c r="AU58" s="512"/>
      <c r="AV58" s="512"/>
      <c r="AW58" s="512"/>
      <c r="AX58" s="512"/>
      <c r="AY58" s="512"/>
      <c r="AZ58" s="589"/>
      <c r="BA58" s="512"/>
      <c r="BB58" s="512"/>
      <c r="BC58" s="512"/>
      <c r="BD58" s="512"/>
      <c r="BE58" s="512"/>
      <c r="BF58" s="512"/>
      <c r="BG58" s="512"/>
      <c r="BH58" s="512"/>
      <c r="BI58" s="512"/>
      <c r="BJ58" s="512"/>
      <c r="BK58" s="512"/>
      <c r="BL58" s="512"/>
      <c r="BM58" s="512"/>
      <c r="BN58" s="512"/>
      <c r="BO58" s="512"/>
      <c r="BP58" s="512"/>
      <c r="BQ58" s="512"/>
      <c r="BR58" s="512"/>
      <c r="BS58" s="512"/>
      <c r="BT58" s="512"/>
      <c r="BU58" s="512"/>
      <c r="BV58" s="512"/>
      <c r="BW58" s="512"/>
      <c r="BX58" s="512"/>
      <c r="BY58" s="512"/>
      <c r="BZ58" s="512"/>
      <c r="CA58" s="512"/>
      <c r="CB58" s="512"/>
      <c r="CC58" s="512"/>
      <c r="CD58" s="512"/>
      <c r="CE58" s="512"/>
      <c r="CF58" s="512"/>
      <c r="CG58" s="512"/>
      <c r="CH58" s="512"/>
      <c r="CI58" s="512"/>
      <c r="CJ58" s="512"/>
      <c r="CK58" s="512"/>
      <c r="CL58" s="512"/>
      <c r="CM58" s="512"/>
      <c r="CN58" s="512"/>
      <c r="CO58" s="512"/>
      <c r="CP58" s="512"/>
      <c r="CQ58" s="512"/>
      <c r="CR58" s="512"/>
      <c r="CS58" s="512"/>
      <c r="CT58" s="510">
        <f>SUM(F58:CS58)</f>
        <v>0.60965619339417487</v>
      </c>
      <c r="CU58" s="115" t="s">
        <v>227</v>
      </c>
    </row>
    <row r="62" spans="1:99" x14ac:dyDescent="0.25">
      <c r="I62" s="9"/>
    </row>
    <row r="67" spans="5:19" x14ac:dyDescent="0.25">
      <c r="E67" s="135"/>
    </row>
    <row r="70" spans="5:19" x14ac:dyDescent="0.25">
      <c r="P70" s="137"/>
      <c r="Q70" s="137"/>
      <c r="R70" s="137"/>
      <c r="S70" s="137"/>
    </row>
    <row r="72" spans="5:19" x14ac:dyDescent="0.25">
      <c r="I72" s="9"/>
    </row>
    <row r="73" spans="5:19" x14ac:dyDescent="0.25">
      <c r="I73" s="9"/>
    </row>
  </sheetData>
  <mergeCells count="42">
    <mergeCell ref="B52:B54"/>
    <mergeCell ref="C52:C54"/>
    <mergeCell ref="D52:D54"/>
    <mergeCell ref="B56:B58"/>
    <mergeCell ref="C56:C58"/>
    <mergeCell ref="D56:D58"/>
    <mergeCell ref="B44:B46"/>
    <mergeCell ref="C44:C46"/>
    <mergeCell ref="D44:D46"/>
    <mergeCell ref="B48:B50"/>
    <mergeCell ref="C48:C50"/>
    <mergeCell ref="D48:D50"/>
    <mergeCell ref="B36:B38"/>
    <mergeCell ref="C36:C38"/>
    <mergeCell ref="D36:D38"/>
    <mergeCell ref="B40:B42"/>
    <mergeCell ref="C40:C42"/>
    <mergeCell ref="D40:D42"/>
    <mergeCell ref="B28:B30"/>
    <mergeCell ref="C28:C30"/>
    <mergeCell ref="D28:D30"/>
    <mergeCell ref="B32:B34"/>
    <mergeCell ref="C32:C34"/>
    <mergeCell ref="D32:D34"/>
    <mergeCell ref="B20:B22"/>
    <mergeCell ref="C20:C22"/>
    <mergeCell ref="D20:D22"/>
    <mergeCell ref="B24:B26"/>
    <mergeCell ref="C24:C26"/>
    <mergeCell ref="D24:D26"/>
    <mergeCell ref="B12:B14"/>
    <mergeCell ref="C12:C14"/>
    <mergeCell ref="D12:D14"/>
    <mergeCell ref="B16:B18"/>
    <mergeCell ref="C16:C18"/>
    <mergeCell ref="D16:D18"/>
    <mergeCell ref="B4:B6"/>
    <mergeCell ref="C4:C6"/>
    <mergeCell ref="D4:D6"/>
    <mergeCell ref="B8:B10"/>
    <mergeCell ref="C8:C10"/>
    <mergeCell ref="D8:D10"/>
  </mergeCells>
  <phoneticPr fontId="47" type="noConversion"/>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4AF05-4989-48DF-9C33-A1295C0BA868}">
  <dimension ref="A1:AZ19"/>
  <sheetViews>
    <sheetView zoomScale="130" zoomScaleNormal="130" workbookViewId="0">
      <pane xSplit="4" ySplit="3" topLeftCell="AS4" activePane="bottomRight" state="frozen"/>
      <selection pane="topRight" activeCell="E1" sqref="E1"/>
      <selection pane="bottomLeft" activeCell="A4" sqref="A4"/>
      <selection pane="bottomRight" activeCell="AR21" sqref="AR21"/>
    </sheetView>
  </sheetViews>
  <sheetFormatPr defaultColWidth="8.6328125" defaultRowHeight="12.5" outlineLevelCol="1" x14ac:dyDescent="0.25"/>
  <cols>
    <col min="1" max="1" width="27.54296875" style="9" bestFit="1" customWidth="1"/>
    <col min="2" max="3" width="14.08984375" style="9" customWidth="1"/>
    <col min="4" max="4" width="8.6328125" style="9" customWidth="1"/>
    <col min="5" max="5" width="11.36328125" style="9" customWidth="1" outlineLevel="1"/>
    <col min="6" max="9" width="10.36328125" style="9" customWidth="1" outlineLevel="1"/>
    <col min="10" max="10" width="11.08984375" style="9" customWidth="1" outlineLevel="1"/>
    <col min="11" max="11" width="10.36328125" style="9" customWidth="1" outlineLevel="1"/>
    <col min="12" max="12" width="8.90625" style="9" customWidth="1" outlineLevel="1"/>
    <col min="13" max="13" width="10.36328125" style="9" customWidth="1" outlineLevel="1"/>
    <col min="14" max="14" width="11.36328125" style="9" customWidth="1" outlineLevel="1"/>
    <col min="15" max="50" width="9.90625" style="9" customWidth="1" outlineLevel="1"/>
    <col min="51" max="51" width="12.6328125" style="9" bestFit="1" customWidth="1"/>
    <col min="52" max="52" width="18" style="9" bestFit="1" customWidth="1"/>
    <col min="53" max="16384" width="8.6328125" style="9"/>
  </cols>
  <sheetData>
    <row r="1" spans="1:52" ht="13" thickBot="1" x14ac:dyDescent="0.3"/>
    <row r="2" spans="1:52" ht="13" thickBot="1" x14ac:dyDescent="0.3">
      <c r="A2" s="138"/>
      <c r="B2" s="139"/>
      <c r="C2" s="139"/>
      <c r="D2" s="139"/>
      <c r="E2" s="10" t="s">
        <v>44</v>
      </c>
      <c r="F2" s="11" t="s">
        <v>39</v>
      </c>
      <c r="G2" s="11" t="s">
        <v>40</v>
      </c>
      <c r="H2" s="11" t="s">
        <v>41</v>
      </c>
      <c r="I2" s="11" t="s">
        <v>42</v>
      </c>
      <c r="J2" s="11" t="s">
        <v>43</v>
      </c>
      <c r="K2" s="11" t="s">
        <v>44</v>
      </c>
      <c r="L2" s="11" t="s">
        <v>45</v>
      </c>
      <c r="M2" s="11" t="s">
        <v>39</v>
      </c>
      <c r="N2" s="11" t="s">
        <v>40</v>
      </c>
      <c r="O2" s="13" t="s">
        <v>41</v>
      </c>
      <c r="P2" s="11" t="s">
        <v>42</v>
      </c>
      <c r="Q2" s="13" t="s">
        <v>43</v>
      </c>
      <c r="R2" s="11" t="s">
        <v>44</v>
      </c>
      <c r="S2" s="13" t="s">
        <v>45</v>
      </c>
      <c r="T2" s="11" t="s">
        <v>39</v>
      </c>
      <c r="U2" s="13" t="s">
        <v>40</v>
      </c>
      <c r="V2" s="11" t="s">
        <v>41</v>
      </c>
      <c r="W2" s="11" t="s">
        <v>42</v>
      </c>
      <c r="X2" s="13" t="s">
        <v>43</v>
      </c>
      <c r="Y2" s="11" t="s">
        <v>44</v>
      </c>
      <c r="Z2" s="13" t="s">
        <v>45</v>
      </c>
      <c r="AA2" s="11" t="s">
        <v>39</v>
      </c>
      <c r="AB2" s="11" t="s">
        <v>40</v>
      </c>
      <c r="AC2" s="11" t="s">
        <v>41</v>
      </c>
      <c r="AD2" s="11" t="s">
        <v>39</v>
      </c>
      <c r="AE2" s="11" t="s">
        <v>40</v>
      </c>
      <c r="AF2" s="11" t="s">
        <v>41</v>
      </c>
      <c r="AG2" s="11" t="s">
        <v>42</v>
      </c>
      <c r="AH2" s="11" t="s">
        <v>43</v>
      </c>
      <c r="AI2" s="11" t="s">
        <v>44</v>
      </c>
      <c r="AJ2" s="11" t="s">
        <v>45</v>
      </c>
      <c r="AK2" s="11" t="s">
        <v>39</v>
      </c>
      <c r="AL2" s="11" t="s">
        <v>40</v>
      </c>
      <c r="AM2" s="11" t="s">
        <v>41</v>
      </c>
      <c r="AN2" s="11" t="s">
        <v>42</v>
      </c>
      <c r="AO2" s="11" t="s">
        <v>43</v>
      </c>
      <c r="AP2" s="11" t="s">
        <v>44</v>
      </c>
      <c r="AQ2" s="11" t="s">
        <v>45</v>
      </c>
      <c r="AR2" s="11" t="s">
        <v>39</v>
      </c>
      <c r="AS2" s="11" t="s">
        <v>40</v>
      </c>
      <c r="AT2" s="11" t="s">
        <v>41</v>
      </c>
      <c r="AU2" s="11" t="s">
        <v>42</v>
      </c>
      <c r="AV2" s="11" t="s">
        <v>43</v>
      </c>
      <c r="AW2" s="11" t="s">
        <v>44</v>
      </c>
      <c r="AX2" s="11" t="s">
        <v>45</v>
      </c>
      <c r="AY2" s="14"/>
      <c r="AZ2" s="140"/>
    </row>
    <row r="3" spans="1:52" ht="64.5" customHeight="1" thickBot="1" x14ac:dyDescent="0.4">
      <c r="A3" s="141" t="s">
        <v>219</v>
      </c>
      <c r="B3" s="142" t="s">
        <v>220</v>
      </c>
      <c r="C3" s="142" t="s">
        <v>202</v>
      </c>
      <c r="D3" s="143"/>
      <c r="E3" s="19">
        <v>45962</v>
      </c>
      <c r="F3" s="20">
        <v>45964</v>
      </c>
      <c r="G3" s="20">
        <f t="shared" ref="G3:AC3" si="0">F3+1</f>
        <v>45965</v>
      </c>
      <c r="H3" s="20">
        <f t="shared" si="0"/>
        <v>45966</v>
      </c>
      <c r="I3" s="20">
        <f t="shared" si="0"/>
        <v>45967</v>
      </c>
      <c r="J3" s="20">
        <f t="shared" si="0"/>
        <v>45968</v>
      </c>
      <c r="K3" s="20">
        <f t="shared" si="0"/>
        <v>45969</v>
      </c>
      <c r="L3" s="20">
        <f t="shared" si="0"/>
        <v>45970</v>
      </c>
      <c r="M3" s="20">
        <f t="shared" si="0"/>
        <v>45971</v>
      </c>
      <c r="N3" s="20">
        <f t="shared" si="0"/>
        <v>45972</v>
      </c>
      <c r="O3" s="21">
        <f t="shared" si="0"/>
        <v>45973</v>
      </c>
      <c r="P3" s="20">
        <f t="shared" si="0"/>
        <v>45974</v>
      </c>
      <c r="Q3" s="21">
        <f t="shared" si="0"/>
        <v>45975</v>
      </c>
      <c r="R3" s="20">
        <f t="shared" si="0"/>
        <v>45976</v>
      </c>
      <c r="S3" s="21">
        <f t="shared" si="0"/>
        <v>45977</v>
      </c>
      <c r="T3" s="20">
        <f t="shared" si="0"/>
        <v>45978</v>
      </c>
      <c r="U3" s="21">
        <f t="shared" si="0"/>
        <v>45979</v>
      </c>
      <c r="V3" s="20">
        <f t="shared" si="0"/>
        <v>45980</v>
      </c>
      <c r="W3" s="21">
        <f t="shared" si="0"/>
        <v>45981</v>
      </c>
      <c r="X3" s="20">
        <f t="shared" si="0"/>
        <v>45982</v>
      </c>
      <c r="Y3" s="21">
        <f t="shared" si="0"/>
        <v>45983</v>
      </c>
      <c r="Z3" s="20">
        <f t="shared" si="0"/>
        <v>45984</v>
      </c>
      <c r="AA3" s="21">
        <f t="shared" si="0"/>
        <v>45985</v>
      </c>
      <c r="AB3" s="21">
        <f t="shared" si="0"/>
        <v>45986</v>
      </c>
      <c r="AC3" s="21">
        <f t="shared" si="0"/>
        <v>45987</v>
      </c>
      <c r="AD3" s="21">
        <f>AC3+5</f>
        <v>45992</v>
      </c>
      <c r="AE3" s="21">
        <f>AD3+1</f>
        <v>45993</v>
      </c>
      <c r="AF3" s="21">
        <f t="shared" ref="AF3:AS3" si="1">AE3+1</f>
        <v>45994</v>
      </c>
      <c r="AG3" s="21">
        <f t="shared" si="1"/>
        <v>45995</v>
      </c>
      <c r="AH3" s="21">
        <f t="shared" si="1"/>
        <v>45996</v>
      </c>
      <c r="AI3" s="21">
        <f t="shared" si="1"/>
        <v>45997</v>
      </c>
      <c r="AJ3" s="21">
        <f t="shared" si="1"/>
        <v>45998</v>
      </c>
      <c r="AK3" s="21">
        <f t="shared" si="1"/>
        <v>45999</v>
      </c>
      <c r="AL3" s="21">
        <f t="shared" si="1"/>
        <v>46000</v>
      </c>
      <c r="AM3" s="21">
        <f t="shared" si="1"/>
        <v>46001</v>
      </c>
      <c r="AN3" s="21">
        <f t="shared" si="1"/>
        <v>46002</v>
      </c>
      <c r="AO3" s="21">
        <f t="shared" si="1"/>
        <v>46003</v>
      </c>
      <c r="AP3" s="21">
        <f t="shared" si="1"/>
        <v>46004</v>
      </c>
      <c r="AQ3" s="21">
        <f t="shared" si="1"/>
        <v>46005</v>
      </c>
      <c r="AR3" s="21">
        <f t="shared" si="1"/>
        <v>46006</v>
      </c>
      <c r="AS3" s="21">
        <f t="shared" si="1"/>
        <v>46007</v>
      </c>
      <c r="AT3" s="21">
        <f>AS3+1</f>
        <v>46008</v>
      </c>
      <c r="AU3" s="21">
        <f t="shared" ref="AU3:AX3" si="2">AT3+1</f>
        <v>46009</v>
      </c>
      <c r="AV3" s="21">
        <f t="shared" si="2"/>
        <v>46010</v>
      </c>
      <c r="AW3" s="21">
        <f t="shared" si="2"/>
        <v>46011</v>
      </c>
      <c r="AX3" s="21">
        <f t="shared" si="2"/>
        <v>46012</v>
      </c>
      <c r="AY3" s="144" t="s">
        <v>32</v>
      </c>
      <c r="AZ3" s="145"/>
    </row>
    <row r="4" spans="1:52" ht="14.5" x14ac:dyDescent="0.35">
      <c r="A4" s="767" t="s">
        <v>84</v>
      </c>
      <c r="B4" s="770" t="s">
        <v>216</v>
      </c>
      <c r="C4" s="772" t="s">
        <v>211</v>
      </c>
      <c r="D4" s="146" t="s">
        <v>204</v>
      </c>
      <c r="E4" s="147">
        <v>0</v>
      </c>
      <c r="F4" s="147">
        <v>0</v>
      </c>
      <c r="G4" s="147">
        <v>0</v>
      </c>
      <c r="H4" s="147">
        <v>0</v>
      </c>
      <c r="I4" s="147">
        <v>0</v>
      </c>
      <c r="J4" s="147">
        <v>0</v>
      </c>
      <c r="K4" s="147">
        <v>0</v>
      </c>
      <c r="L4" s="147">
        <v>0</v>
      </c>
      <c r="M4" s="147">
        <v>10</v>
      </c>
      <c r="N4" s="147">
        <v>10</v>
      </c>
      <c r="O4" s="147">
        <v>10</v>
      </c>
      <c r="P4" s="147">
        <v>10</v>
      </c>
      <c r="Q4" s="147">
        <v>10</v>
      </c>
      <c r="R4" s="147">
        <v>10</v>
      </c>
      <c r="S4" s="147">
        <v>0</v>
      </c>
      <c r="T4" s="147">
        <v>10</v>
      </c>
      <c r="U4" s="147">
        <v>10</v>
      </c>
      <c r="V4" s="147">
        <v>10</v>
      </c>
      <c r="W4" s="147"/>
      <c r="X4" s="147"/>
      <c r="Y4" s="147"/>
      <c r="Z4" s="147">
        <v>10</v>
      </c>
      <c r="AA4" s="147">
        <v>10</v>
      </c>
      <c r="AB4" s="147">
        <v>8</v>
      </c>
      <c r="AC4" s="147">
        <v>0</v>
      </c>
      <c r="AD4" s="147"/>
      <c r="AE4" s="148">
        <v>5</v>
      </c>
      <c r="AF4" s="148">
        <v>5</v>
      </c>
      <c r="AG4" s="148"/>
      <c r="AH4" s="148"/>
      <c r="AI4" s="148"/>
      <c r="AJ4" s="148"/>
      <c r="AK4" s="148"/>
      <c r="AL4" s="148">
        <v>11</v>
      </c>
      <c r="AM4" s="148">
        <v>16</v>
      </c>
      <c r="AN4" s="148">
        <v>7</v>
      </c>
      <c r="AO4" s="148">
        <v>9</v>
      </c>
      <c r="AP4" s="148"/>
      <c r="AQ4" s="148"/>
      <c r="AR4" s="148"/>
      <c r="AS4" s="148"/>
      <c r="AT4" s="148"/>
      <c r="AU4" s="148"/>
      <c r="AV4" s="148"/>
      <c r="AW4" s="148"/>
      <c r="AX4" s="148"/>
      <c r="AY4" s="149">
        <f>SUM(E4:AX4)</f>
        <v>171</v>
      </c>
      <c r="AZ4" s="150" t="s">
        <v>222</v>
      </c>
    </row>
    <row r="5" spans="1:52" ht="14.5" x14ac:dyDescent="0.35">
      <c r="A5" s="768"/>
      <c r="B5" s="765"/>
      <c r="C5" s="766"/>
      <c r="D5" s="151" t="s">
        <v>224</v>
      </c>
      <c r="E5" s="152">
        <v>0</v>
      </c>
      <c r="F5" s="152">
        <v>0</v>
      </c>
      <c r="G5" s="152">
        <v>0</v>
      </c>
      <c r="H5" s="152">
        <v>0</v>
      </c>
      <c r="I5" s="152">
        <v>0</v>
      </c>
      <c r="J5" s="152">
        <v>0</v>
      </c>
      <c r="K5" s="152">
        <v>0</v>
      </c>
      <c r="L5" s="152">
        <v>0</v>
      </c>
      <c r="M5" s="152">
        <v>0</v>
      </c>
      <c r="N5" s="152">
        <v>10</v>
      </c>
      <c r="O5" s="152">
        <v>34</v>
      </c>
      <c r="P5" s="152">
        <v>21</v>
      </c>
      <c r="Q5" s="152">
        <v>11</v>
      </c>
      <c r="R5" s="152">
        <v>18</v>
      </c>
      <c r="S5" s="152">
        <v>0</v>
      </c>
      <c r="T5" s="152">
        <v>7</v>
      </c>
      <c r="U5" s="152">
        <v>15</v>
      </c>
      <c r="V5" s="152">
        <v>12</v>
      </c>
      <c r="W5" s="152">
        <v>0</v>
      </c>
      <c r="X5" s="152">
        <v>0</v>
      </c>
      <c r="Y5" s="152">
        <v>0</v>
      </c>
      <c r="Z5" s="152">
        <v>0</v>
      </c>
      <c r="AA5" s="152">
        <v>0</v>
      </c>
      <c r="AB5" s="152">
        <v>0</v>
      </c>
      <c r="AC5" s="152">
        <v>0</v>
      </c>
      <c r="AD5" s="152">
        <v>0</v>
      </c>
      <c r="AE5" s="152">
        <v>0</v>
      </c>
      <c r="AF5" s="152">
        <v>0</v>
      </c>
      <c r="AG5" s="152">
        <v>0</v>
      </c>
      <c r="AH5" s="152">
        <v>0</v>
      </c>
      <c r="AI5" s="152">
        <v>0</v>
      </c>
      <c r="AJ5" s="152"/>
      <c r="AK5" s="152"/>
      <c r="AL5" s="152">
        <v>11</v>
      </c>
      <c r="AM5" s="152">
        <v>16</v>
      </c>
      <c r="AN5" s="152">
        <v>7</v>
      </c>
      <c r="AO5" s="152">
        <v>9</v>
      </c>
      <c r="AP5" s="152"/>
      <c r="AQ5" s="152"/>
      <c r="AR5" s="152"/>
      <c r="AS5" s="152"/>
      <c r="AT5" s="152"/>
      <c r="AU5" s="152"/>
      <c r="AV5" s="152"/>
      <c r="AW5" s="152"/>
      <c r="AX5" s="152"/>
      <c r="AY5" s="154">
        <f>SUM(E5:AX5)</f>
        <v>171</v>
      </c>
      <c r="AZ5" s="155" t="s">
        <v>224</v>
      </c>
    </row>
    <row r="6" spans="1:52" ht="15" thickBot="1" x14ac:dyDescent="0.4">
      <c r="A6" s="769"/>
      <c r="B6" s="771"/>
      <c r="C6" s="773"/>
      <c r="D6" s="156" t="s">
        <v>226</v>
      </c>
      <c r="E6" s="157"/>
      <c r="F6" s="157"/>
      <c r="G6" s="157"/>
      <c r="H6" s="157"/>
      <c r="I6" s="157"/>
      <c r="J6" s="157"/>
      <c r="K6" s="157"/>
      <c r="L6" s="157"/>
      <c r="M6" s="157"/>
      <c r="N6" s="158">
        <v>9</v>
      </c>
      <c r="O6" s="158"/>
      <c r="P6" s="157">
        <v>8.9473684210526319</v>
      </c>
      <c r="Q6" s="157">
        <v>8.9473684210526319</v>
      </c>
      <c r="R6" s="157">
        <v>8.9473684210526319</v>
      </c>
      <c r="S6" s="157">
        <v>0</v>
      </c>
      <c r="T6" s="157">
        <v>8.9473684210526319</v>
      </c>
      <c r="U6" s="157">
        <v>8.9473684210526319</v>
      </c>
      <c r="V6" s="157">
        <v>8.9473684210526319</v>
      </c>
      <c r="W6" s="157">
        <v>8.9473684210526319</v>
      </c>
      <c r="X6" s="157">
        <v>8.9473684210526319</v>
      </c>
      <c r="Y6" s="157">
        <v>8.9473684210526319</v>
      </c>
      <c r="Z6" s="157">
        <v>8.9473684210526319</v>
      </c>
      <c r="AA6" s="157">
        <v>8.9473684210526319</v>
      </c>
      <c r="AB6" s="157">
        <v>7.1578947368421044</v>
      </c>
      <c r="AC6" s="157">
        <v>0</v>
      </c>
      <c r="AD6" s="157">
        <v>4.4736842105263159</v>
      </c>
      <c r="AE6" s="157">
        <v>4.4736842105263159</v>
      </c>
      <c r="AF6" s="157">
        <v>4.4736842105263159</v>
      </c>
      <c r="AG6" s="158"/>
      <c r="AH6" s="158"/>
      <c r="AI6" s="158"/>
      <c r="AJ6" s="159"/>
      <c r="AK6" s="159"/>
      <c r="AL6" s="159">
        <v>11</v>
      </c>
      <c r="AM6" s="159">
        <v>16</v>
      </c>
      <c r="AN6" s="159">
        <v>7</v>
      </c>
      <c r="AO6" s="159">
        <v>9</v>
      </c>
      <c r="AP6" s="159"/>
      <c r="AQ6" s="159"/>
      <c r="AR6" s="159"/>
      <c r="AS6" s="159"/>
      <c r="AT6" s="159"/>
      <c r="AU6" s="591"/>
      <c r="AV6" s="591"/>
      <c r="AW6" s="591"/>
      <c r="AX6" s="591"/>
      <c r="AY6" s="154">
        <f>SUM(E6:AX6)</f>
        <v>171</v>
      </c>
      <c r="AZ6" s="160" t="s">
        <v>226</v>
      </c>
    </row>
    <row r="7" spans="1:52" ht="13" thickBot="1" x14ac:dyDescent="0.3">
      <c r="A7" s="51"/>
      <c r="B7" s="51"/>
      <c r="C7" s="51"/>
      <c r="D7" s="51"/>
      <c r="E7" s="51"/>
      <c r="F7" s="51"/>
      <c r="G7" s="51"/>
      <c r="H7" s="51"/>
      <c r="I7" s="51"/>
      <c r="J7" s="51"/>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c r="AV7" s="51"/>
      <c r="AW7" s="51"/>
      <c r="AX7" s="51"/>
      <c r="AY7" s="51"/>
      <c r="AZ7" s="51"/>
    </row>
    <row r="8" spans="1:52" ht="14.5" x14ac:dyDescent="0.35">
      <c r="A8" s="767" t="s">
        <v>84</v>
      </c>
      <c r="B8" s="770" t="s">
        <v>216</v>
      </c>
      <c r="C8" s="772" t="s">
        <v>185</v>
      </c>
      <c r="D8" s="146" t="s">
        <v>204</v>
      </c>
      <c r="E8" s="161">
        <v>0</v>
      </c>
      <c r="F8" s="161">
        <v>0</v>
      </c>
      <c r="G8" s="161">
        <v>0</v>
      </c>
      <c r="H8" s="161">
        <v>0</v>
      </c>
      <c r="I8" s="161">
        <v>0</v>
      </c>
      <c r="J8" s="162">
        <v>0</v>
      </c>
      <c r="K8" s="162">
        <v>0</v>
      </c>
      <c r="L8" s="162">
        <v>0</v>
      </c>
      <c r="M8" s="162">
        <v>5.8479532163742687E-2</v>
      </c>
      <c r="N8" s="162">
        <v>5.8479532163742687E-2</v>
      </c>
      <c r="O8" s="162">
        <v>5.8479532163742687E-2</v>
      </c>
      <c r="P8" s="162">
        <v>5.8479532163742687E-2</v>
      </c>
      <c r="Q8" s="162">
        <v>5.8479532163742687E-2</v>
      </c>
      <c r="R8" s="162">
        <v>5.8479532163742687E-2</v>
      </c>
      <c r="S8" s="162">
        <v>0</v>
      </c>
      <c r="T8" s="162">
        <v>5.8479532163742687E-2</v>
      </c>
      <c r="U8" s="162">
        <v>5.8479532163742687E-2</v>
      </c>
      <c r="V8" s="162">
        <v>5.8479532163742687E-2</v>
      </c>
      <c r="W8" s="162">
        <v>0</v>
      </c>
      <c r="X8" s="162">
        <v>0</v>
      </c>
      <c r="Y8" s="162">
        <v>0</v>
      </c>
      <c r="Z8" s="162">
        <v>5.8479532163742687E-2</v>
      </c>
      <c r="AA8" s="162">
        <v>5.8479532163742687E-2</v>
      </c>
      <c r="AB8" s="162">
        <v>4.6783625730994149E-2</v>
      </c>
      <c r="AC8" s="162">
        <v>0</v>
      </c>
      <c r="AD8" s="162">
        <v>0</v>
      </c>
      <c r="AE8" s="162">
        <v>2.9239766081871343E-2</v>
      </c>
      <c r="AF8" s="162">
        <v>2.9239766081871343E-2</v>
      </c>
      <c r="AG8" s="162">
        <v>0</v>
      </c>
      <c r="AH8" s="162">
        <v>0</v>
      </c>
      <c r="AI8" s="162">
        <v>0</v>
      </c>
      <c r="AJ8" s="161">
        <v>0</v>
      </c>
      <c r="AK8" s="161">
        <v>0</v>
      </c>
      <c r="AL8" s="161">
        <v>6.4327485380116955E-2</v>
      </c>
      <c r="AM8" s="161">
        <v>9.3567251461988299E-2</v>
      </c>
      <c r="AN8" s="161">
        <v>4.0935672514619881E-2</v>
      </c>
      <c r="AO8" s="161">
        <v>5.2631578947368418E-2</v>
      </c>
      <c r="AP8" s="161">
        <v>0</v>
      </c>
      <c r="AQ8" s="161">
        <v>0</v>
      </c>
      <c r="AR8" s="161">
        <v>0</v>
      </c>
      <c r="AS8" s="161">
        <v>0</v>
      </c>
      <c r="AT8" s="161"/>
      <c r="AU8" s="161"/>
      <c r="AV8" s="161"/>
      <c r="AW8" s="161"/>
      <c r="AX8" s="161"/>
      <c r="AY8" s="163">
        <f>SUM(E8:AX8)</f>
        <v>1</v>
      </c>
      <c r="AZ8" s="150" t="s">
        <v>222</v>
      </c>
    </row>
    <row r="9" spans="1:52" ht="14.5" x14ac:dyDescent="0.35">
      <c r="A9" s="768"/>
      <c r="B9" s="765"/>
      <c r="C9" s="766"/>
      <c r="D9" s="151" t="s">
        <v>224</v>
      </c>
      <c r="E9" s="164">
        <v>0</v>
      </c>
      <c r="F9" s="165">
        <v>0</v>
      </c>
      <c r="G9" s="165">
        <v>0</v>
      </c>
      <c r="H9" s="165">
        <v>0</v>
      </c>
      <c r="I9" s="165">
        <v>0</v>
      </c>
      <c r="J9" s="166">
        <v>0</v>
      </c>
      <c r="K9" s="166">
        <v>0</v>
      </c>
      <c r="L9" s="166">
        <v>0</v>
      </c>
      <c r="M9" s="166">
        <v>0</v>
      </c>
      <c r="N9" s="167">
        <v>5.8479532163742687E-2</v>
      </c>
      <c r="O9" s="167">
        <v>0.19883040935672514</v>
      </c>
      <c r="P9" s="168">
        <v>0.12280701754385964</v>
      </c>
      <c r="Q9" s="168">
        <v>6.4327485380116955E-2</v>
      </c>
      <c r="R9" s="168">
        <v>0.10526315789473684</v>
      </c>
      <c r="S9" s="168">
        <v>0</v>
      </c>
      <c r="T9" s="168">
        <v>4.0935672514619881E-2</v>
      </c>
      <c r="U9" s="168">
        <v>8.771929824561403E-2</v>
      </c>
      <c r="V9" s="168">
        <v>7.0175438596491224E-2</v>
      </c>
      <c r="W9" s="168">
        <v>0</v>
      </c>
      <c r="X9" s="168">
        <v>0</v>
      </c>
      <c r="Y9" s="168">
        <v>0</v>
      </c>
      <c r="Z9" s="168">
        <v>0</v>
      </c>
      <c r="AA9" s="168">
        <v>0</v>
      </c>
      <c r="AB9" s="168">
        <v>0</v>
      </c>
      <c r="AC9" s="168">
        <v>0</v>
      </c>
      <c r="AD9" s="168">
        <v>0</v>
      </c>
      <c r="AE9" s="168">
        <v>0</v>
      </c>
      <c r="AF9" s="168">
        <v>0</v>
      </c>
      <c r="AG9" s="168">
        <v>0</v>
      </c>
      <c r="AH9" s="168">
        <v>0</v>
      </c>
      <c r="AI9" s="168">
        <v>0</v>
      </c>
      <c r="AJ9" s="168">
        <v>0</v>
      </c>
      <c r="AK9" s="168">
        <v>0</v>
      </c>
      <c r="AL9" s="168">
        <v>6.4327485380116955E-2</v>
      </c>
      <c r="AM9" s="168">
        <v>9.3567251461988299E-2</v>
      </c>
      <c r="AN9" s="168">
        <v>4.0935672514619881E-2</v>
      </c>
      <c r="AO9" s="168">
        <v>5.2631578947368418E-2</v>
      </c>
      <c r="AP9" s="168">
        <f>AP5/$AY$5</f>
        <v>0</v>
      </c>
      <c r="AQ9" s="168">
        <f>AQ5/$AY$5</f>
        <v>0</v>
      </c>
      <c r="AR9" s="168">
        <f>AR5/$AY$5</f>
        <v>0</v>
      </c>
      <c r="AS9" s="168">
        <f>AS5/$AY$5</f>
        <v>0</v>
      </c>
      <c r="AT9" s="168">
        <f>AT5/$AY$5</f>
        <v>0</v>
      </c>
      <c r="AU9" s="168"/>
      <c r="AV9" s="168"/>
      <c r="AW9" s="168"/>
      <c r="AX9" s="168"/>
      <c r="AY9" s="169">
        <f>SUM(E9:AX9)</f>
        <v>1</v>
      </c>
      <c r="AZ9" s="155" t="s">
        <v>224</v>
      </c>
    </row>
    <row r="10" spans="1:52" ht="15" thickBot="1" x14ac:dyDescent="0.4">
      <c r="A10" s="769"/>
      <c r="B10" s="771"/>
      <c r="C10" s="773"/>
      <c r="D10" s="156" t="s">
        <v>226</v>
      </c>
      <c r="E10" s="170"/>
      <c r="F10" s="171"/>
      <c r="G10" s="171"/>
      <c r="H10" s="171"/>
      <c r="I10" s="171"/>
      <c r="J10" s="172"/>
      <c r="K10" s="172"/>
      <c r="L10" s="172"/>
      <c r="M10" s="172">
        <v>0</v>
      </c>
      <c r="N10" s="173">
        <v>5.2631578947368418E-2</v>
      </c>
      <c r="O10" s="173">
        <v>0</v>
      </c>
      <c r="P10" s="173">
        <v>5.2323791935980302E-2</v>
      </c>
      <c r="Q10" s="173">
        <v>5.2323791935980302E-2</v>
      </c>
      <c r="R10" s="173">
        <v>5.2323791935980302E-2</v>
      </c>
      <c r="S10" s="173">
        <v>0</v>
      </c>
      <c r="T10" s="173">
        <v>5.2323791935980302E-2</v>
      </c>
      <c r="U10" s="173">
        <v>5.2323791935980302E-2</v>
      </c>
      <c r="V10" s="173">
        <v>5.2323791935980302E-2</v>
      </c>
      <c r="W10" s="173">
        <v>5.2323791935980302E-2</v>
      </c>
      <c r="X10" s="173">
        <v>5.2323791935980302E-2</v>
      </c>
      <c r="Y10" s="173">
        <v>5.2323791935980302E-2</v>
      </c>
      <c r="Z10" s="173">
        <v>5.2323791935980302E-2</v>
      </c>
      <c r="AA10" s="173">
        <v>5.2323791935980302E-2</v>
      </c>
      <c r="AB10" s="173">
        <v>4.1859033548784237E-2</v>
      </c>
      <c r="AC10" s="173">
        <v>0</v>
      </c>
      <c r="AD10" s="173">
        <v>2.6161895967990151E-2</v>
      </c>
      <c r="AE10" s="173">
        <v>2.6161895967990151E-2</v>
      </c>
      <c r="AF10" s="173">
        <v>2.6161895967990151E-2</v>
      </c>
      <c r="AG10" s="173">
        <v>0</v>
      </c>
      <c r="AH10" s="173">
        <v>0</v>
      </c>
      <c r="AI10" s="173">
        <v>0</v>
      </c>
      <c r="AJ10" s="173">
        <v>0</v>
      </c>
      <c r="AK10" s="173">
        <v>0</v>
      </c>
      <c r="AL10" s="173">
        <v>6.4327485380116955E-2</v>
      </c>
      <c r="AM10" s="173">
        <v>9.3567251461988299E-2</v>
      </c>
      <c r="AN10" s="173">
        <v>4.0935672514619881E-2</v>
      </c>
      <c r="AO10" s="173">
        <v>5.2631578947368418E-2</v>
      </c>
      <c r="AP10" s="173">
        <f>AP6/$AY$4</f>
        <v>0</v>
      </c>
      <c r="AQ10" s="173">
        <f>AQ6/$AY$4</f>
        <v>0</v>
      </c>
      <c r="AR10" s="173">
        <f>AR6/$AY$4</f>
        <v>0</v>
      </c>
      <c r="AS10" s="173">
        <f>AS6/$AY$4</f>
        <v>0</v>
      </c>
      <c r="AT10" s="173">
        <f>AT6/$AY$4</f>
        <v>0</v>
      </c>
      <c r="AU10" s="173"/>
      <c r="AV10" s="173"/>
      <c r="AW10" s="173"/>
      <c r="AX10" s="173"/>
      <c r="AY10" s="174">
        <f>SUM(E10:AX10)</f>
        <v>1</v>
      </c>
      <c r="AZ10" s="160" t="s">
        <v>226</v>
      </c>
    </row>
    <row r="11" spans="1:52" ht="13" thickBot="1" x14ac:dyDescent="0.3">
      <c r="A11" s="51"/>
      <c r="B11" s="51"/>
      <c r="C11" s="51"/>
      <c r="D11" s="51"/>
      <c r="E11" s="51"/>
      <c r="F11" s="51"/>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row>
    <row r="12" spans="1:52" ht="14.5" x14ac:dyDescent="0.35">
      <c r="A12" s="767" t="s">
        <v>84</v>
      </c>
      <c r="B12" s="770" t="s">
        <v>217</v>
      </c>
      <c r="C12" s="772" t="s">
        <v>211</v>
      </c>
      <c r="D12" s="146" t="s">
        <v>204</v>
      </c>
      <c r="E12" s="175">
        <v>0</v>
      </c>
      <c r="F12" s="175">
        <v>0</v>
      </c>
      <c r="G12" s="175">
        <v>0</v>
      </c>
      <c r="H12" s="175">
        <v>0</v>
      </c>
      <c r="I12" s="175">
        <v>0</v>
      </c>
      <c r="J12" s="175">
        <v>0</v>
      </c>
      <c r="K12" s="175">
        <v>0</v>
      </c>
      <c r="L12" s="175">
        <v>0</v>
      </c>
      <c r="M12" s="175">
        <v>0</v>
      </c>
      <c r="N12" s="175">
        <v>0</v>
      </c>
      <c r="O12" s="175">
        <v>0</v>
      </c>
      <c r="P12" s="175">
        <v>0</v>
      </c>
      <c r="Q12" s="147">
        <v>20</v>
      </c>
      <c r="R12" s="176">
        <v>0</v>
      </c>
      <c r="S12" s="147">
        <v>0</v>
      </c>
      <c r="T12" s="147">
        <v>0</v>
      </c>
      <c r="U12" s="147">
        <v>0</v>
      </c>
      <c r="V12" s="147">
        <v>20</v>
      </c>
      <c r="W12" s="147">
        <v>0</v>
      </c>
      <c r="X12" s="147">
        <v>0</v>
      </c>
      <c r="Y12" s="147">
        <v>20</v>
      </c>
      <c r="Z12" s="147">
        <v>0</v>
      </c>
      <c r="AA12" s="147">
        <v>0</v>
      </c>
      <c r="AB12" s="147">
        <v>20</v>
      </c>
      <c r="AC12" s="147">
        <v>0</v>
      </c>
      <c r="AD12" s="147">
        <v>0</v>
      </c>
      <c r="AE12" s="147">
        <v>20</v>
      </c>
      <c r="AF12" s="147">
        <v>0</v>
      </c>
      <c r="AG12" s="147">
        <v>0</v>
      </c>
      <c r="AH12" s="147">
        <v>20</v>
      </c>
      <c r="AI12" s="147">
        <v>0</v>
      </c>
      <c r="AJ12" s="147">
        <v>0</v>
      </c>
      <c r="AK12" s="147"/>
      <c r="AL12" s="147">
        <v>0</v>
      </c>
      <c r="AM12" s="147"/>
      <c r="AN12" s="147"/>
      <c r="AO12" s="147">
        <v>9</v>
      </c>
      <c r="AP12" s="147"/>
      <c r="AQ12" s="147"/>
      <c r="AR12" s="147"/>
      <c r="AS12" s="597">
        <v>22</v>
      </c>
      <c r="AT12" s="597">
        <v>20</v>
      </c>
      <c r="AU12" s="147"/>
      <c r="AV12" s="147"/>
      <c r="AW12" s="147"/>
      <c r="AX12" s="147"/>
      <c r="AY12" s="149">
        <f>SUM(E12:AX12)</f>
        <v>171</v>
      </c>
      <c r="AZ12" s="150" t="s">
        <v>222</v>
      </c>
    </row>
    <row r="13" spans="1:52" ht="14.5" x14ac:dyDescent="0.35">
      <c r="A13" s="768"/>
      <c r="B13" s="765"/>
      <c r="C13" s="766"/>
      <c r="D13" s="151" t="s">
        <v>224</v>
      </c>
      <c r="E13" s="153">
        <v>0</v>
      </c>
      <c r="F13" s="153">
        <v>0</v>
      </c>
      <c r="G13" s="153">
        <v>0</v>
      </c>
      <c r="H13" s="153">
        <v>0</v>
      </c>
      <c r="I13" s="153">
        <v>0</v>
      </c>
      <c r="J13" s="153">
        <v>0</v>
      </c>
      <c r="K13" s="153">
        <v>0</v>
      </c>
      <c r="L13" s="153">
        <v>0</v>
      </c>
      <c r="M13" s="153">
        <v>0</v>
      </c>
      <c r="N13" s="153">
        <v>0</v>
      </c>
      <c r="O13" s="153">
        <v>0</v>
      </c>
      <c r="P13" s="153">
        <v>0</v>
      </c>
      <c r="Q13" s="152">
        <v>20</v>
      </c>
      <c r="R13" s="152">
        <v>0</v>
      </c>
      <c r="S13" s="152">
        <v>0</v>
      </c>
      <c r="T13" s="152">
        <v>0</v>
      </c>
      <c r="U13" s="152">
        <v>0</v>
      </c>
      <c r="V13" s="152">
        <v>20</v>
      </c>
      <c r="W13" s="152">
        <v>0</v>
      </c>
      <c r="X13" s="152">
        <v>0</v>
      </c>
      <c r="Y13" s="152">
        <v>16</v>
      </c>
      <c r="Z13" s="152">
        <v>0</v>
      </c>
      <c r="AA13" s="152">
        <v>0</v>
      </c>
      <c r="AB13" s="152">
        <v>28</v>
      </c>
      <c r="AC13" s="152">
        <v>0</v>
      </c>
      <c r="AD13" s="152">
        <v>0</v>
      </c>
      <c r="AE13" s="152">
        <v>20</v>
      </c>
      <c r="AF13" s="152">
        <v>0</v>
      </c>
      <c r="AG13" s="152">
        <v>0</v>
      </c>
      <c r="AH13" s="152">
        <v>24</v>
      </c>
      <c r="AI13" s="152">
        <v>0</v>
      </c>
      <c r="AJ13" s="152">
        <v>0</v>
      </c>
      <c r="AK13" s="152">
        <v>0</v>
      </c>
      <c r="AL13" s="152">
        <v>0</v>
      </c>
      <c r="AM13" s="152">
        <v>0</v>
      </c>
      <c r="AN13" s="152"/>
      <c r="AO13" s="152">
        <v>9</v>
      </c>
      <c r="AP13" s="152"/>
      <c r="AQ13" s="152"/>
      <c r="AR13" s="152"/>
      <c r="AS13" s="598">
        <v>16</v>
      </c>
      <c r="AT13" s="598"/>
      <c r="AU13" s="152"/>
      <c r="AV13" s="152"/>
      <c r="AW13" s="152"/>
      <c r="AX13" s="152"/>
      <c r="AY13" s="154">
        <f>SUM(E13:AX13)</f>
        <v>153</v>
      </c>
      <c r="AZ13" s="155" t="s">
        <v>224</v>
      </c>
    </row>
    <row r="14" spans="1:52" ht="15" thickBot="1" x14ac:dyDescent="0.4">
      <c r="A14" s="769"/>
      <c r="B14" s="771"/>
      <c r="C14" s="773"/>
      <c r="D14" s="156" t="s">
        <v>226</v>
      </c>
      <c r="E14" s="158"/>
      <c r="F14" s="158"/>
      <c r="G14" s="158"/>
      <c r="H14" s="158"/>
      <c r="I14" s="158"/>
      <c r="J14" s="158"/>
      <c r="K14" s="158"/>
      <c r="L14" s="158"/>
      <c r="M14" s="158"/>
      <c r="N14" s="158"/>
      <c r="O14" s="158"/>
      <c r="P14" s="158"/>
      <c r="Q14" s="157">
        <v>20</v>
      </c>
      <c r="R14" s="157"/>
      <c r="S14" s="157"/>
      <c r="T14" s="157"/>
      <c r="U14" s="157">
        <v>0</v>
      </c>
      <c r="V14" s="157">
        <v>20</v>
      </c>
      <c r="W14" s="157">
        <v>0</v>
      </c>
      <c r="X14" s="157">
        <v>0</v>
      </c>
      <c r="Y14" s="157">
        <v>20</v>
      </c>
      <c r="Z14" s="157">
        <v>0</v>
      </c>
      <c r="AA14" s="157">
        <v>0</v>
      </c>
      <c r="AB14" s="157">
        <v>20</v>
      </c>
      <c r="AC14" s="157">
        <v>0</v>
      </c>
      <c r="AD14" s="157">
        <v>0</v>
      </c>
      <c r="AE14" s="157">
        <v>20</v>
      </c>
      <c r="AF14" s="157">
        <v>0</v>
      </c>
      <c r="AG14" s="157">
        <v>0</v>
      </c>
      <c r="AH14" s="157">
        <v>20</v>
      </c>
      <c r="AI14" s="157">
        <v>0</v>
      </c>
      <c r="AJ14" s="157">
        <v>0</v>
      </c>
      <c r="AK14" s="157"/>
      <c r="AL14" s="157"/>
      <c r="AM14" s="157"/>
      <c r="AN14" s="157"/>
      <c r="AO14" s="157">
        <v>9</v>
      </c>
      <c r="AP14" s="157"/>
      <c r="AQ14" s="157"/>
      <c r="AR14" s="157"/>
      <c r="AS14" s="596">
        <v>22</v>
      </c>
      <c r="AT14" s="596">
        <v>20</v>
      </c>
      <c r="AU14" s="157"/>
      <c r="AV14" s="157"/>
      <c r="AW14" s="157"/>
      <c r="AX14" s="157"/>
      <c r="AY14" s="177">
        <f>SUM(E14:AX14)</f>
        <v>171</v>
      </c>
      <c r="AZ14" s="160" t="s">
        <v>226</v>
      </c>
    </row>
    <row r="15" spans="1:52" ht="13" thickBot="1" x14ac:dyDescent="0.3">
      <c r="A15" s="51"/>
      <c r="B15" s="51"/>
      <c r="C15" s="51"/>
      <c r="D15" s="51"/>
      <c r="E15" s="51"/>
      <c r="F15" s="51"/>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row>
    <row r="16" spans="1:52" ht="12.9" customHeight="1" x14ac:dyDescent="0.35">
      <c r="A16" s="767" t="s">
        <v>84</v>
      </c>
      <c r="B16" s="770" t="s">
        <v>217</v>
      </c>
      <c r="C16" s="772" t="s">
        <v>185</v>
      </c>
      <c r="D16" s="146" t="s">
        <v>204</v>
      </c>
      <c r="E16" s="161">
        <v>0</v>
      </c>
      <c r="F16" s="161">
        <v>0</v>
      </c>
      <c r="G16" s="161">
        <v>0</v>
      </c>
      <c r="H16" s="161">
        <v>0</v>
      </c>
      <c r="I16" s="161">
        <v>0</v>
      </c>
      <c r="J16" s="161">
        <v>0</v>
      </c>
      <c r="K16" s="161">
        <v>0</v>
      </c>
      <c r="L16" s="161">
        <v>0</v>
      </c>
      <c r="M16" s="161">
        <v>0</v>
      </c>
      <c r="N16" s="161">
        <v>0</v>
      </c>
      <c r="O16" s="161">
        <v>0</v>
      </c>
      <c r="P16" s="161">
        <v>0</v>
      </c>
      <c r="Q16" s="161">
        <v>0.11695906432748537</v>
      </c>
      <c r="R16" s="161">
        <v>0</v>
      </c>
      <c r="S16" s="161">
        <v>0</v>
      </c>
      <c r="T16" s="161">
        <v>0</v>
      </c>
      <c r="U16" s="161">
        <v>0</v>
      </c>
      <c r="V16" s="161">
        <v>0.11695906432748537</v>
      </c>
      <c r="W16" s="161">
        <v>0</v>
      </c>
      <c r="X16" s="161">
        <v>0</v>
      </c>
      <c r="Y16" s="161">
        <v>0.11695906432748537</v>
      </c>
      <c r="Z16" s="161">
        <v>0</v>
      </c>
      <c r="AA16" s="161">
        <v>0</v>
      </c>
      <c r="AB16" s="161">
        <v>0.11695906432748537</v>
      </c>
      <c r="AC16" s="161">
        <v>0</v>
      </c>
      <c r="AD16" s="161">
        <v>0</v>
      </c>
      <c r="AE16" s="161">
        <v>0.11695906432748537</v>
      </c>
      <c r="AF16" s="161">
        <v>0</v>
      </c>
      <c r="AG16" s="161">
        <v>0</v>
      </c>
      <c r="AH16" s="161">
        <v>0.11695906432748537</v>
      </c>
      <c r="AI16" s="161">
        <v>0</v>
      </c>
      <c r="AJ16" s="161">
        <v>0</v>
      </c>
      <c r="AK16" s="161">
        <v>0</v>
      </c>
      <c r="AL16" s="161">
        <v>0</v>
      </c>
      <c r="AM16" s="161">
        <v>0</v>
      </c>
      <c r="AN16" s="161">
        <v>0</v>
      </c>
      <c r="AO16" s="161">
        <v>5.2631578947368418E-2</v>
      </c>
      <c r="AP16" s="161">
        <v>0</v>
      </c>
      <c r="AQ16" s="161">
        <v>0</v>
      </c>
      <c r="AR16" s="161">
        <v>0</v>
      </c>
      <c r="AS16" s="599">
        <v>0.12865497076023391</v>
      </c>
      <c r="AT16" s="599">
        <v>0.11695906432748537</v>
      </c>
      <c r="AU16" s="161"/>
      <c r="AV16" s="161"/>
      <c r="AW16" s="161"/>
      <c r="AX16" s="161"/>
      <c r="AY16" s="163">
        <f>SUM(E16:AX16)</f>
        <v>0.99999999999999989</v>
      </c>
      <c r="AZ16" s="150" t="s">
        <v>222</v>
      </c>
    </row>
    <row r="17" spans="1:52" ht="14.5" x14ac:dyDescent="0.35">
      <c r="A17" s="768"/>
      <c r="B17" s="765"/>
      <c r="C17" s="766"/>
      <c r="D17" s="151" t="s">
        <v>224</v>
      </c>
      <c r="E17" s="165">
        <v>0</v>
      </c>
      <c r="F17" s="165">
        <v>0</v>
      </c>
      <c r="G17" s="165">
        <v>0</v>
      </c>
      <c r="H17" s="165">
        <v>0</v>
      </c>
      <c r="I17" s="165">
        <v>0</v>
      </c>
      <c r="J17" s="165">
        <v>0</v>
      </c>
      <c r="K17" s="165">
        <v>0</v>
      </c>
      <c r="L17" s="165">
        <v>0</v>
      </c>
      <c r="M17" s="165">
        <v>0</v>
      </c>
      <c r="N17" s="165">
        <v>0</v>
      </c>
      <c r="O17" s="165">
        <v>0</v>
      </c>
      <c r="P17" s="165">
        <v>0</v>
      </c>
      <c r="Q17" s="165">
        <v>0.11695906432748537</v>
      </c>
      <c r="R17" s="165">
        <v>0</v>
      </c>
      <c r="S17" s="165">
        <v>0</v>
      </c>
      <c r="T17" s="165">
        <v>0</v>
      </c>
      <c r="U17" s="165">
        <v>0</v>
      </c>
      <c r="V17" s="165">
        <v>0.11695906432748537</v>
      </c>
      <c r="W17" s="165">
        <v>0</v>
      </c>
      <c r="X17" s="165">
        <v>0</v>
      </c>
      <c r="Y17" s="165">
        <v>9.3567251461988299E-2</v>
      </c>
      <c r="Z17" s="165">
        <v>0</v>
      </c>
      <c r="AA17" s="165">
        <v>0</v>
      </c>
      <c r="AB17" s="165">
        <v>0.16374269005847952</v>
      </c>
      <c r="AC17" s="165">
        <v>0</v>
      </c>
      <c r="AD17" s="165">
        <v>0</v>
      </c>
      <c r="AE17" s="165">
        <v>0.11695906432748537</v>
      </c>
      <c r="AF17" s="165">
        <v>0</v>
      </c>
      <c r="AG17" s="165">
        <v>0</v>
      </c>
      <c r="AH17" s="165">
        <v>0.14035087719298245</v>
      </c>
      <c r="AI17" s="165">
        <v>0</v>
      </c>
      <c r="AJ17" s="165">
        <v>0</v>
      </c>
      <c r="AK17" s="165">
        <v>0</v>
      </c>
      <c r="AL17" s="165">
        <v>0</v>
      </c>
      <c r="AM17" s="165">
        <v>0</v>
      </c>
      <c r="AN17" s="165">
        <v>0</v>
      </c>
      <c r="AO17" s="165">
        <v>5.2631578947368418E-2</v>
      </c>
      <c r="AP17" s="165">
        <v>0</v>
      </c>
      <c r="AQ17" s="165">
        <v>0</v>
      </c>
      <c r="AR17" s="165">
        <v>0</v>
      </c>
      <c r="AS17" s="601">
        <v>9.3567251461988299E-2</v>
      </c>
      <c r="AT17" s="601">
        <v>0</v>
      </c>
      <c r="AU17" s="165"/>
      <c r="AV17" s="165"/>
      <c r="AW17" s="165"/>
      <c r="AX17" s="165"/>
      <c r="AY17" s="169">
        <f>SUM(E17:AX17)</f>
        <v>0.89473684210526305</v>
      </c>
      <c r="AZ17" s="155" t="s">
        <v>224</v>
      </c>
    </row>
    <row r="18" spans="1:52" ht="15" thickBot="1" x14ac:dyDescent="0.4">
      <c r="A18" s="769"/>
      <c r="B18" s="771"/>
      <c r="C18" s="773"/>
      <c r="D18" s="156" t="s">
        <v>226</v>
      </c>
      <c r="E18" s="171"/>
      <c r="F18" s="171"/>
      <c r="G18" s="171"/>
      <c r="H18" s="171"/>
      <c r="I18" s="171"/>
      <c r="J18" s="171"/>
      <c r="K18" s="171"/>
      <c r="L18" s="171"/>
      <c r="M18" s="171"/>
      <c r="N18" s="171"/>
      <c r="O18" s="171"/>
      <c r="P18" s="171"/>
      <c r="Q18" s="171">
        <v>0.11695906432748537</v>
      </c>
      <c r="R18" s="171">
        <v>0</v>
      </c>
      <c r="S18" s="171">
        <v>0</v>
      </c>
      <c r="T18" s="171">
        <v>0</v>
      </c>
      <c r="U18" s="171">
        <v>0</v>
      </c>
      <c r="V18" s="171">
        <v>0.11695906432748537</v>
      </c>
      <c r="W18" s="171">
        <v>0</v>
      </c>
      <c r="X18" s="171">
        <v>0</v>
      </c>
      <c r="Y18" s="171">
        <v>0.11695906432748537</v>
      </c>
      <c r="Z18" s="171">
        <v>0</v>
      </c>
      <c r="AA18" s="171">
        <v>0</v>
      </c>
      <c r="AB18" s="171">
        <v>0.11695906432748537</v>
      </c>
      <c r="AC18" s="171">
        <v>0</v>
      </c>
      <c r="AD18" s="171">
        <v>0</v>
      </c>
      <c r="AE18" s="171">
        <v>0.11695906432748537</v>
      </c>
      <c r="AF18" s="171">
        <v>0</v>
      </c>
      <c r="AG18" s="171">
        <v>0</v>
      </c>
      <c r="AH18" s="171">
        <v>0.11695906432748537</v>
      </c>
      <c r="AI18" s="171">
        <v>0</v>
      </c>
      <c r="AJ18" s="171">
        <v>0</v>
      </c>
      <c r="AK18" s="171">
        <v>0</v>
      </c>
      <c r="AL18" s="171">
        <v>0</v>
      </c>
      <c r="AM18" s="171">
        <v>0</v>
      </c>
      <c r="AN18" s="171">
        <v>0</v>
      </c>
      <c r="AO18" s="171">
        <v>5.2631578947368418E-2</v>
      </c>
      <c r="AP18" s="171">
        <v>0</v>
      </c>
      <c r="AQ18" s="171">
        <v>0</v>
      </c>
      <c r="AR18" s="171">
        <v>0</v>
      </c>
      <c r="AS18" s="600">
        <v>0.12865497076023391</v>
      </c>
      <c r="AT18" s="600">
        <v>0.11695906432748537</v>
      </c>
      <c r="AU18" s="592"/>
      <c r="AV18" s="592"/>
      <c r="AW18" s="592"/>
      <c r="AX18" s="592"/>
      <c r="AY18" s="169">
        <f>SUM(E18:AX18)</f>
        <v>0.99999999999999989</v>
      </c>
      <c r="AZ18" s="160" t="s">
        <v>226</v>
      </c>
    </row>
    <row r="19" spans="1:52" x14ac:dyDescent="0.25">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row>
  </sheetData>
  <mergeCells count="12">
    <mergeCell ref="A12:A14"/>
    <mergeCell ref="B12:B14"/>
    <mergeCell ref="C12:C14"/>
    <mergeCell ref="A16:A18"/>
    <mergeCell ref="B16:B18"/>
    <mergeCell ref="C16:C18"/>
    <mergeCell ref="A4:A6"/>
    <mergeCell ref="B4:B6"/>
    <mergeCell ref="C4:C6"/>
    <mergeCell ref="A8:A10"/>
    <mergeCell ref="B8:B10"/>
    <mergeCell ref="C8:C10"/>
  </mergeCells>
  <phoneticPr fontId="47" type="noConversion"/>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DF08C-82A6-456B-91CD-F7998ED88ED7}">
  <sheetPr>
    <pageSetUpPr fitToPage="1"/>
  </sheetPr>
  <dimension ref="A1:N280"/>
  <sheetViews>
    <sheetView showGridLines="0" view="pageBreakPreview" zoomScale="70" zoomScaleNormal="85" zoomScaleSheetLayoutView="70" zoomScalePageLayoutView="70" workbookViewId="0">
      <selection activeCell="F18" sqref="F18:L18"/>
    </sheetView>
  </sheetViews>
  <sheetFormatPr defaultColWidth="14.90625" defaultRowHeight="21" outlineLevelRow="1" x14ac:dyDescent="0.5"/>
  <cols>
    <col min="1" max="1" width="2.54296875" style="178" customWidth="1"/>
    <col min="2" max="2" width="20.1796875" style="178" customWidth="1"/>
    <col min="3" max="3" width="31.54296875" style="178" customWidth="1"/>
    <col min="4" max="4" width="23.81640625" style="178" customWidth="1"/>
    <col min="5" max="5" width="25.1796875" style="178" customWidth="1"/>
    <col min="6" max="6" width="20.54296875" style="178" customWidth="1"/>
    <col min="7" max="7" width="24.81640625" style="178" customWidth="1"/>
    <col min="8" max="8" width="21.1796875" style="178" customWidth="1"/>
    <col min="9" max="9" width="21" style="178" customWidth="1"/>
    <col min="10" max="10" width="16.54296875" style="178" customWidth="1"/>
    <col min="11" max="11" width="16.81640625" style="178" customWidth="1"/>
    <col min="12" max="12" width="20" style="178" customWidth="1"/>
    <col min="13" max="13" width="14.90625" style="178" customWidth="1"/>
    <col min="14" max="16384" width="14.90625" style="178"/>
  </cols>
  <sheetData>
    <row r="1" spans="2:14" ht="12" customHeight="1" thickBot="1" x14ac:dyDescent="0.55000000000000004"/>
    <row r="2" spans="2:14" ht="21" customHeight="1" x14ac:dyDescent="0.5">
      <c r="B2" s="777"/>
      <c r="C2" s="778"/>
      <c r="D2" s="783" t="s">
        <v>0</v>
      </c>
      <c r="E2" s="783"/>
      <c r="F2" s="783"/>
      <c r="G2" s="783"/>
      <c r="H2" s="783"/>
      <c r="I2" s="784"/>
      <c r="J2" s="789" t="s">
        <v>1</v>
      </c>
      <c r="K2" s="790"/>
      <c r="L2" s="575"/>
    </row>
    <row r="3" spans="2:14" ht="26.15" customHeight="1" x14ac:dyDescent="0.5">
      <c r="B3" s="779"/>
      <c r="C3" s="780"/>
      <c r="D3" s="785"/>
      <c r="E3" s="785"/>
      <c r="F3" s="785"/>
      <c r="G3" s="785"/>
      <c r="H3" s="785"/>
      <c r="I3" s="786"/>
      <c r="J3" s="791" t="s">
        <v>2</v>
      </c>
      <c r="K3" s="792"/>
      <c r="L3" s="576">
        <v>0</v>
      </c>
    </row>
    <row r="4" spans="2:14" ht="24.65" customHeight="1" thickBot="1" x14ac:dyDescent="0.55000000000000004">
      <c r="B4" s="781"/>
      <c r="C4" s="782"/>
      <c r="D4" s="787"/>
      <c r="E4" s="787"/>
      <c r="F4" s="787"/>
      <c r="G4" s="787"/>
      <c r="H4" s="787"/>
      <c r="I4" s="788"/>
      <c r="J4" s="793" t="s">
        <v>3</v>
      </c>
      <c r="K4" s="794"/>
      <c r="L4" s="577"/>
    </row>
    <row r="5" spans="2:14" ht="19.399999999999999" customHeight="1" thickBot="1" x14ac:dyDescent="0.55000000000000004">
      <c r="B5" s="182"/>
      <c r="C5" s="183"/>
      <c r="D5" s="183"/>
      <c r="J5" s="184"/>
      <c r="K5" s="627"/>
      <c r="L5" s="628"/>
    </row>
    <row r="6" spans="2:14" ht="24.65" customHeight="1" thickBot="1" x14ac:dyDescent="0.55000000000000004">
      <c r="B6" s="182"/>
      <c r="C6" s="183"/>
      <c r="D6" s="183"/>
      <c r="H6" s="187" t="s">
        <v>230</v>
      </c>
      <c r="I6" s="568">
        <v>15209</v>
      </c>
      <c r="J6" s="184"/>
      <c r="K6" s="187" t="s">
        <v>4</v>
      </c>
      <c r="L6" s="188">
        <v>46339</v>
      </c>
    </row>
    <row r="7" spans="2:14" ht="15" customHeight="1" x14ac:dyDescent="0.5">
      <c r="B7" s="182"/>
      <c r="C7" s="183"/>
      <c r="D7" s="183"/>
      <c r="J7" s="184"/>
      <c r="K7" s="185"/>
      <c r="L7" s="186"/>
    </row>
    <row r="8" spans="2:14" s="189" customFormat="1" ht="20" collapsed="1" x14ac:dyDescent="0.4">
      <c r="B8" s="629" t="s">
        <v>5</v>
      </c>
      <c r="C8" s="630"/>
      <c r="D8" s="630"/>
      <c r="E8" s="630"/>
      <c r="F8" s="630"/>
      <c r="G8" s="630"/>
      <c r="H8" s="630"/>
      <c r="I8" s="630"/>
      <c r="J8" s="630"/>
      <c r="K8" s="630"/>
      <c r="L8" s="631"/>
    </row>
    <row r="9" spans="2:14" ht="21" customHeight="1" x14ac:dyDescent="0.5">
      <c r="B9" s="190" t="s">
        <v>6</v>
      </c>
      <c r="C9" s="632" t="s">
        <v>312</v>
      </c>
      <c r="D9" s="633"/>
      <c r="E9" s="633"/>
      <c r="F9" s="633"/>
      <c r="G9" s="633"/>
      <c r="H9" s="633"/>
      <c r="I9" s="633"/>
      <c r="J9" s="633"/>
      <c r="K9" s="633"/>
      <c r="L9" s="634"/>
    </row>
    <row r="10" spans="2:14" ht="27.75" customHeight="1" x14ac:dyDescent="0.5">
      <c r="B10" s="191"/>
      <c r="C10" s="635"/>
      <c r="D10" s="636"/>
      <c r="E10" s="636"/>
      <c r="F10" s="636"/>
      <c r="G10" s="636"/>
      <c r="H10" s="636"/>
      <c r="I10" s="636"/>
      <c r="J10" s="636"/>
      <c r="K10" s="636"/>
      <c r="L10" s="637"/>
      <c r="N10" s="183"/>
    </row>
    <row r="11" spans="2:14" ht="33.65" customHeight="1" x14ac:dyDescent="0.5">
      <c r="B11" s="191"/>
      <c r="C11" s="638"/>
      <c r="D11" s="639"/>
      <c r="E11" s="639"/>
      <c r="F11" s="639"/>
      <c r="G11" s="639"/>
      <c r="H11" s="639"/>
      <c r="I11" s="639"/>
      <c r="J11" s="639"/>
      <c r="K11" s="639"/>
      <c r="L11" s="640"/>
    </row>
    <row r="12" spans="2:14" ht="21.5" thickBot="1" x14ac:dyDescent="0.55000000000000004">
      <c r="B12" s="192"/>
      <c r="C12" s="193"/>
      <c r="D12" s="193"/>
      <c r="E12" s="193"/>
      <c r="F12" s="193"/>
      <c r="G12" s="193"/>
      <c r="H12" s="193"/>
      <c r="I12" s="193"/>
      <c r="J12" s="193"/>
      <c r="K12" s="193"/>
      <c r="L12" s="194"/>
    </row>
    <row r="13" spans="2:14" ht="36" customHeight="1" x14ac:dyDescent="0.5">
      <c r="B13" s="641" t="s">
        <v>8</v>
      </c>
      <c r="C13" s="642"/>
      <c r="D13" s="195" t="s">
        <v>9</v>
      </c>
      <c r="E13" s="196" t="s">
        <v>10</v>
      </c>
      <c r="F13" s="196" t="s">
        <v>11</v>
      </c>
      <c r="G13" s="196"/>
      <c r="H13" s="196"/>
      <c r="I13" s="196"/>
      <c r="J13" s="196" t="s">
        <v>12</v>
      </c>
      <c r="K13" s="196" t="s">
        <v>13</v>
      </c>
      <c r="L13" s="197" t="s">
        <v>14</v>
      </c>
    </row>
    <row r="14" spans="2:14" x14ac:dyDescent="0.5">
      <c r="B14" s="643" t="s">
        <v>231</v>
      </c>
      <c r="C14" s="644"/>
      <c r="D14" s="545">
        <v>19744</v>
      </c>
      <c r="E14" s="198">
        <v>2009</v>
      </c>
      <c r="F14" s="198"/>
      <c r="G14" s="198"/>
      <c r="H14" s="198"/>
      <c r="I14" s="199"/>
      <c r="J14" s="200">
        <f>D14</f>
        <v>19744</v>
      </c>
      <c r="K14" s="200">
        <f>SUM(E14:I14)</f>
        <v>2009</v>
      </c>
      <c r="L14" s="201">
        <f>SUM(J14:K14)</f>
        <v>21753</v>
      </c>
    </row>
    <row r="15" spans="2:14" ht="21.5" thickBot="1" x14ac:dyDescent="0.55000000000000004">
      <c r="B15" s="643" t="s">
        <v>232</v>
      </c>
      <c r="C15" s="644"/>
      <c r="D15" s="560">
        <v>854</v>
      </c>
      <c r="E15" s="202">
        <v>96</v>
      </c>
      <c r="F15" s="202"/>
      <c r="G15" s="202"/>
      <c r="H15" s="202"/>
      <c r="I15" s="203"/>
      <c r="J15" s="200">
        <f>D15</f>
        <v>854</v>
      </c>
      <c r="K15" s="200">
        <f>SUM(E15:I15)</f>
        <v>96</v>
      </c>
      <c r="L15" s="201">
        <f>SUM(J15:K15)</f>
        <v>950</v>
      </c>
    </row>
    <row r="16" spans="2:14" ht="22" thickTop="1" thickBot="1" x14ac:dyDescent="0.55000000000000004">
      <c r="B16" s="607" t="s">
        <v>17</v>
      </c>
      <c r="C16" s="608"/>
      <c r="D16" s="546">
        <f>SUM(D15+D14)</f>
        <v>20598</v>
      </c>
      <c r="E16" s="546">
        <f>SUM(E15+E14)</f>
        <v>2105</v>
      </c>
      <c r="F16" s="204">
        <f t="shared" ref="F16:K16" si="0">SUM(F15,F14)</f>
        <v>0</v>
      </c>
      <c r="G16" s="204">
        <f t="shared" si="0"/>
        <v>0</v>
      </c>
      <c r="H16" s="204">
        <f t="shared" si="0"/>
        <v>0</v>
      </c>
      <c r="I16" s="204">
        <f t="shared" si="0"/>
        <v>0</v>
      </c>
      <c r="J16" s="204">
        <f t="shared" si="0"/>
        <v>20598</v>
      </c>
      <c r="K16" s="204">
        <f t="shared" si="0"/>
        <v>2105</v>
      </c>
      <c r="L16" s="205">
        <f>SUM(L14:L15)</f>
        <v>22703</v>
      </c>
    </row>
    <row r="17" spans="2:12" ht="21.5" thickBot="1" x14ac:dyDescent="0.55000000000000004">
      <c r="B17" s="192"/>
      <c r="C17" s="193"/>
      <c r="D17" s="193"/>
      <c r="E17" s="193"/>
      <c r="F17" s="193"/>
      <c r="G17" s="193"/>
      <c r="H17" s="193"/>
      <c r="I17" s="193"/>
      <c r="J17" s="193"/>
      <c r="K17" s="193"/>
      <c r="L17" s="194"/>
    </row>
    <row r="18" spans="2:12" x14ac:dyDescent="0.5">
      <c r="B18" s="641" t="s">
        <v>18</v>
      </c>
      <c r="C18" s="645"/>
      <c r="D18" s="195" t="s">
        <v>19</v>
      </c>
      <c r="E18" s="196" t="s">
        <v>20</v>
      </c>
      <c r="F18" s="646" t="s">
        <v>21</v>
      </c>
      <c r="G18" s="647"/>
      <c r="H18" s="647"/>
      <c r="I18" s="647"/>
      <c r="J18" s="647"/>
      <c r="K18" s="647"/>
      <c r="L18" s="648"/>
    </row>
    <row r="19" spans="2:12" x14ac:dyDescent="0.5">
      <c r="B19" s="649" t="s">
        <v>22</v>
      </c>
      <c r="C19" s="650"/>
      <c r="D19" s="210">
        <v>0</v>
      </c>
      <c r="E19" s="210">
        <v>0</v>
      </c>
      <c r="F19" s="651"/>
      <c r="G19" s="652"/>
      <c r="H19" s="652"/>
      <c r="I19" s="652"/>
      <c r="J19" s="652"/>
      <c r="K19" s="652"/>
      <c r="L19" s="653"/>
    </row>
    <row r="20" spans="2:12" x14ac:dyDescent="0.5">
      <c r="B20" s="649" t="s">
        <v>23</v>
      </c>
      <c r="C20" s="650"/>
      <c r="D20" s="210">
        <v>0</v>
      </c>
      <c r="E20" s="210">
        <v>0</v>
      </c>
      <c r="F20" s="651"/>
      <c r="G20" s="652"/>
      <c r="H20" s="652"/>
      <c r="I20" s="652"/>
      <c r="J20" s="652"/>
      <c r="K20" s="652"/>
      <c r="L20" s="653"/>
    </row>
    <row r="21" spans="2:12" x14ac:dyDescent="0.5">
      <c r="B21" s="649" t="s">
        <v>24</v>
      </c>
      <c r="C21" s="650"/>
      <c r="D21" s="210">
        <v>0</v>
      </c>
      <c r="E21" s="210">
        <v>0</v>
      </c>
      <c r="F21" s="651"/>
      <c r="G21" s="652"/>
      <c r="H21" s="652"/>
      <c r="I21" s="652"/>
      <c r="J21" s="652"/>
      <c r="K21" s="652"/>
      <c r="L21" s="653"/>
    </row>
    <row r="22" spans="2:12" x14ac:dyDescent="0.5">
      <c r="B22" s="208"/>
      <c r="C22" s="209" t="s">
        <v>25</v>
      </c>
      <c r="D22" s="210">
        <v>0</v>
      </c>
      <c r="E22" s="210">
        <v>0</v>
      </c>
      <c r="F22" s="211"/>
      <c r="G22" s="212"/>
      <c r="H22" s="212"/>
      <c r="I22" s="212"/>
      <c r="J22" s="212"/>
      <c r="K22" s="212"/>
      <c r="L22" s="213"/>
    </row>
    <row r="23" spans="2:12" ht="24" customHeight="1" x14ac:dyDescent="0.5">
      <c r="B23" s="208"/>
      <c r="C23" s="209" t="s">
        <v>26</v>
      </c>
      <c r="D23" s="214">
        <v>0</v>
      </c>
      <c r="E23" s="214">
        <v>1</v>
      </c>
      <c r="F23" s="651"/>
      <c r="G23" s="652"/>
      <c r="H23" s="652"/>
      <c r="I23" s="652"/>
      <c r="J23" s="652"/>
      <c r="K23" s="652"/>
      <c r="L23" s="653"/>
    </row>
    <row r="24" spans="2:12" ht="21.5" thickBot="1" x14ac:dyDescent="0.55000000000000004">
      <c r="B24" s="649" t="s">
        <v>27</v>
      </c>
      <c r="C24" s="650"/>
      <c r="D24" s="215">
        <v>0</v>
      </c>
      <c r="E24" s="215">
        <v>0</v>
      </c>
      <c r="F24" s="654"/>
      <c r="G24" s="655"/>
      <c r="H24" s="655"/>
      <c r="I24" s="655"/>
      <c r="J24" s="655"/>
      <c r="K24" s="655"/>
      <c r="L24" s="656"/>
    </row>
    <row r="25" spans="2:12" ht="21.5" thickBot="1" x14ac:dyDescent="0.55000000000000004">
      <c r="B25" s="192"/>
      <c r="C25" s="193"/>
      <c r="D25" s="193"/>
      <c r="E25" s="193"/>
      <c r="F25" s="193"/>
      <c r="G25" s="193"/>
      <c r="H25" s="193"/>
      <c r="I25" s="193"/>
      <c r="J25" s="193"/>
      <c r="K25" s="193"/>
      <c r="L25" s="194"/>
    </row>
    <row r="26" spans="2:12" ht="33" customHeight="1" x14ac:dyDescent="0.5">
      <c r="B26" s="641" t="s">
        <v>28</v>
      </c>
      <c r="C26" s="645"/>
      <c r="D26" s="195" t="s">
        <v>29</v>
      </c>
      <c r="E26" s="196" t="s">
        <v>30</v>
      </c>
      <c r="F26" s="196" t="s">
        <v>31</v>
      </c>
      <c r="G26" s="196" t="s">
        <v>233</v>
      </c>
      <c r="H26" s="196"/>
      <c r="I26" s="197" t="s">
        <v>234</v>
      </c>
      <c r="J26" s="193"/>
      <c r="K26" s="193"/>
      <c r="L26" s="194"/>
    </row>
    <row r="27" spans="2:12" ht="19.5" customHeight="1" x14ac:dyDescent="0.5">
      <c r="B27" s="649"/>
      <c r="C27" s="657"/>
      <c r="D27" s="210" t="s">
        <v>235</v>
      </c>
      <c r="E27" s="216">
        <v>1</v>
      </c>
      <c r="F27" s="216"/>
      <c r="G27" s="217">
        <v>0</v>
      </c>
      <c r="H27" s="216"/>
      <c r="I27" s="218" t="s">
        <v>237</v>
      </c>
      <c r="J27" s="193"/>
      <c r="K27" s="193"/>
      <c r="L27" s="194"/>
    </row>
    <row r="28" spans="2:12" ht="19.5" customHeight="1" x14ac:dyDescent="0.5">
      <c r="B28" s="208"/>
      <c r="C28" s="544"/>
      <c r="D28" s="214" t="s">
        <v>236</v>
      </c>
      <c r="E28" s="561">
        <v>1</v>
      </c>
      <c r="F28" s="561"/>
      <c r="G28" s="562">
        <v>12</v>
      </c>
      <c r="H28" s="561"/>
      <c r="I28" s="563" t="s">
        <v>237</v>
      </c>
      <c r="J28" s="193"/>
      <c r="K28" s="193"/>
      <c r="L28" s="194"/>
    </row>
    <row r="29" spans="2:12" ht="19.5" customHeight="1" x14ac:dyDescent="0.5">
      <c r="B29" s="208"/>
      <c r="C29" s="544"/>
      <c r="D29" s="214" t="s">
        <v>288</v>
      </c>
      <c r="E29" s="561">
        <v>1</v>
      </c>
      <c r="F29" s="561"/>
      <c r="G29" s="562">
        <v>12</v>
      </c>
      <c r="H29" s="561"/>
      <c r="I29" s="563" t="s">
        <v>237</v>
      </c>
      <c r="J29" s="193"/>
      <c r="K29" s="193"/>
      <c r="L29" s="194"/>
    </row>
    <row r="30" spans="2:12" ht="19.5" customHeight="1" x14ac:dyDescent="0.5">
      <c r="B30" s="208"/>
      <c r="C30" s="544"/>
      <c r="D30" s="214" t="s">
        <v>238</v>
      </c>
      <c r="E30" s="561">
        <v>1</v>
      </c>
      <c r="F30" s="561"/>
      <c r="G30" s="562"/>
      <c r="H30" s="561"/>
      <c r="I30" s="563" t="s">
        <v>237</v>
      </c>
      <c r="J30" s="193"/>
      <c r="K30" s="573"/>
      <c r="L30" s="194"/>
    </row>
    <row r="31" spans="2:12" ht="19.5" customHeight="1" x14ac:dyDescent="0.5">
      <c r="B31" s="208"/>
      <c r="C31" s="544"/>
      <c r="D31" s="214" t="s">
        <v>239</v>
      </c>
      <c r="E31" s="561">
        <v>1</v>
      </c>
      <c r="F31" s="561"/>
      <c r="G31" s="562">
        <v>12</v>
      </c>
      <c r="H31" s="561"/>
      <c r="I31" s="563" t="s">
        <v>237</v>
      </c>
      <c r="J31" s="193"/>
      <c r="K31" s="193"/>
      <c r="L31" s="194"/>
    </row>
    <row r="32" spans="2:12" ht="19.5" customHeight="1" x14ac:dyDescent="0.5">
      <c r="B32" s="208"/>
      <c r="C32" s="544"/>
      <c r="D32" s="214" t="s">
        <v>240</v>
      </c>
      <c r="E32" s="561"/>
      <c r="F32" s="561"/>
      <c r="G32" s="562"/>
      <c r="H32" s="561"/>
      <c r="I32" s="563"/>
      <c r="J32" s="193"/>
      <c r="K32" s="193"/>
      <c r="L32" s="194"/>
    </row>
    <row r="33" spans="2:12" ht="19.5" customHeight="1" x14ac:dyDescent="0.5">
      <c r="B33" s="208"/>
      <c r="C33" s="544"/>
      <c r="D33" s="214" t="s">
        <v>241</v>
      </c>
      <c r="E33" s="561"/>
      <c r="F33" s="561"/>
      <c r="G33" s="562"/>
      <c r="H33" s="561"/>
      <c r="I33" s="563"/>
      <c r="J33" s="193"/>
      <c r="K33" s="193"/>
      <c r="L33" s="194"/>
    </row>
    <row r="34" spans="2:12" ht="19.5" customHeight="1" x14ac:dyDescent="0.5">
      <c r="B34" s="208"/>
      <c r="C34" s="544"/>
      <c r="D34" s="214" t="s">
        <v>242</v>
      </c>
      <c r="E34" s="561"/>
      <c r="F34" s="561"/>
      <c r="G34" s="562"/>
      <c r="H34" s="561"/>
      <c r="I34" s="563"/>
      <c r="J34" s="193"/>
      <c r="K34" s="193"/>
      <c r="L34" s="194"/>
    </row>
    <row r="35" spans="2:12" ht="19.5" customHeight="1" x14ac:dyDescent="0.5">
      <c r="B35" s="208"/>
      <c r="C35" s="544"/>
      <c r="D35" s="214" t="s">
        <v>243</v>
      </c>
      <c r="E35" s="561">
        <v>1</v>
      </c>
      <c r="F35" s="561"/>
      <c r="G35" s="562">
        <v>12</v>
      </c>
      <c r="H35" s="561"/>
      <c r="I35" s="563" t="s">
        <v>237</v>
      </c>
      <c r="J35" s="193"/>
      <c r="K35" s="193"/>
      <c r="L35" s="194"/>
    </row>
    <row r="36" spans="2:12" ht="19.5" customHeight="1" x14ac:dyDescent="0.5">
      <c r="B36" s="208"/>
      <c r="C36" s="544"/>
      <c r="D36" s="214" t="s">
        <v>244</v>
      </c>
      <c r="E36" s="561">
        <v>2</v>
      </c>
      <c r="F36" s="561"/>
      <c r="G36" s="562">
        <v>12</v>
      </c>
      <c r="H36" s="561"/>
      <c r="I36" s="563" t="s">
        <v>237</v>
      </c>
      <c r="J36" s="193"/>
      <c r="K36" s="193"/>
      <c r="L36" s="194"/>
    </row>
    <row r="37" spans="2:12" ht="19.5" customHeight="1" x14ac:dyDescent="0.5">
      <c r="B37" s="208"/>
      <c r="C37" s="544"/>
      <c r="D37" s="214" t="s">
        <v>245</v>
      </c>
      <c r="E37" s="561"/>
      <c r="F37" s="561"/>
      <c r="G37" s="562"/>
      <c r="H37" s="561"/>
      <c r="I37" s="563"/>
      <c r="J37" s="193"/>
      <c r="K37" s="193"/>
      <c r="L37" s="194"/>
    </row>
    <row r="38" spans="2:12" ht="19.5" customHeight="1" x14ac:dyDescent="0.5">
      <c r="B38" s="208"/>
      <c r="C38" s="544"/>
      <c r="D38" s="214" t="s">
        <v>246</v>
      </c>
      <c r="E38" s="561"/>
      <c r="F38" s="561"/>
      <c r="G38" s="562"/>
      <c r="H38" s="561"/>
      <c r="I38" s="563"/>
      <c r="J38" s="193"/>
      <c r="K38" s="193"/>
      <c r="L38" s="194"/>
    </row>
    <row r="39" spans="2:12" ht="19.5" customHeight="1" x14ac:dyDescent="0.5">
      <c r="B39" s="208"/>
      <c r="C39" s="544"/>
      <c r="D39" s="214" t="s">
        <v>313</v>
      </c>
      <c r="E39" s="561">
        <v>1</v>
      </c>
      <c r="F39" s="561"/>
      <c r="G39" s="562">
        <v>12</v>
      </c>
      <c r="H39" s="561"/>
      <c r="I39" s="563" t="s">
        <v>237</v>
      </c>
      <c r="J39" s="193"/>
      <c r="K39" s="193"/>
      <c r="L39" s="194"/>
    </row>
    <row r="40" spans="2:12" ht="19.5" customHeight="1" x14ac:dyDescent="0.5">
      <c r="B40" s="208"/>
      <c r="C40" s="544"/>
      <c r="D40" s="214" t="s">
        <v>247</v>
      </c>
      <c r="E40" s="561">
        <v>1</v>
      </c>
      <c r="F40" s="561"/>
      <c r="G40" s="562">
        <v>12</v>
      </c>
      <c r="H40" s="561"/>
      <c r="I40" s="563" t="s">
        <v>237</v>
      </c>
      <c r="J40" s="193"/>
      <c r="K40" s="193"/>
      <c r="L40" s="194"/>
    </row>
    <row r="41" spans="2:12" ht="19.5" customHeight="1" x14ac:dyDescent="0.5">
      <c r="B41" s="208"/>
      <c r="C41" s="544"/>
      <c r="D41" s="214" t="s">
        <v>248</v>
      </c>
      <c r="E41" s="561">
        <v>3</v>
      </c>
      <c r="F41" s="561"/>
      <c r="G41" s="562">
        <v>36</v>
      </c>
      <c r="H41" s="561"/>
      <c r="I41" s="563" t="s">
        <v>237</v>
      </c>
      <c r="J41" s="193"/>
      <c r="K41" s="193"/>
      <c r="L41" s="194"/>
    </row>
    <row r="42" spans="2:12" ht="19.5" customHeight="1" x14ac:dyDescent="0.5">
      <c r="B42" s="208"/>
      <c r="C42" s="544"/>
      <c r="D42" s="214" t="s">
        <v>249</v>
      </c>
      <c r="E42" s="561">
        <v>2</v>
      </c>
      <c r="F42" s="561"/>
      <c r="G42" s="562">
        <v>24</v>
      </c>
      <c r="H42" s="561"/>
      <c r="I42" s="563" t="s">
        <v>237</v>
      </c>
      <c r="J42" s="193"/>
      <c r="K42" s="193"/>
      <c r="L42" s="194"/>
    </row>
    <row r="43" spans="2:12" ht="19.5" customHeight="1" x14ac:dyDescent="0.5">
      <c r="B43" s="208"/>
      <c r="C43" s="544"/>
      <c r="D43" s="214" t="s">
        <v>250</v>
      </c>
      <c r="E43" s="561"/>
      <c r="F43" s="561"/>
      <c r="G43" s="562"/>
      <c r="H43" s="561"/>
      <c r="I43" s="563"/>
      <c r="J43" s="193"/>
      <c r="K43" s="193"/>
      <c r="L43" s="194"/>
    </row>
    <row r="44" spans="2:12" ht="19.5" customHeight="1" x14ac:dyDescent="0.5">
      <c r="B44" s="208"/>
      <c r="C44" s="544"/>
      <c r="D44" s="214" t="s">
        <v>251</v>
      </c>
      <c r="E44" s="561">
        <v>1</v>
      </c>
      <c r="F44" s="561"/>
      <c r="G44" s="562">
        <v>12</v>
      </c>
      <c r="H44" s="561"/>
      <c r="I44" s="563" t="s">
        <v>237</v>
      </c>
      <c r="J44" s="193"/>
      <c r="K44" s="193"/>
      <c r="L44" s="194"/>
    </row>
    <row r="45" spans="2:12" ht="19.5" customHeight="1" x14ac:dyDescent="0.5">
      <c r="B45" s="208"/>
      <c r="C45" s="544"/>
      <c r="D45" s="214" t="s">
        <v>314</v>
      </c>
      <c r="E45" s="561">
        <v>1</v>
      </c>
      <c r="F45" s="561"/>
      <c r="G45" s="562">
        <v>12</v>
      </c>
      <c r="H45" s="561"/>
      <c r="I45" s="563" t="s">
        <v>237</v>
      </c>
      <c r="J45" s="193"/>
      <c r="K45" s="193"/>
      <c r="L45" s="194"/>
    </row>
    <row r="46" spans="2:12" ht="19.5" customHeight="1" x14ac:dyDescent="0.5">
      <c r="B46" s="208"/>
      <c r="C46" s="544"/>
      <c r="D46" s="214" t="s">
        <v>252</v>
      </c>
      <c r="E46" s="561">
        <v>24</v>
      </c>
      <c r="F46" s="561"/>
      <c r="G46" s="562">
        <v>276</v>
      </c>
      <c r="H46" s="561"/>
      <c r="I46" s="563" t="s">
        <v>237</v>
      </c>
      <c r="J46" s="193"/>
      <c r="K46" s="193"/>
      <c r="L46" s="194"/>
    </row>
    <row r="47" spans="2:12" x14ac:dyDescent="0.5">
      <c r="B47" s="208"/>
      <c r="C47" s="544"/>
      <c r="D47" s="214" t="s">
        <v>253</v>
      </c>
      <c r="E47" s="561">
        <v>14</v>
      </c>
      <c r="F47" s="561"/>
      <c r="G47" s="562">
        <v>132</v>
      </c>
      <c r="H47" s="561"/>
      <c r="I47" s="563" t="s">
        <v>237</v>
      </c>
      <c r="J47" s="193"/>
      <c r="K47" s="193"/>
      <c r="L47" s="194"/>
    </row>
    <row r="48" spans="2:12" x14ac:dyDescent="0.5">
      <c r="B48" s="208"/>
      <c r="C48" s="544"/>
      <c r="D48" s="214" t="s">
        <v>315</v>
      </c>
      <c r="E48" s="561">
        <v>1</v>
      </c>
      <c r="F48" s="561"/>
      <c r="G48" s="562">
        <v>12</v>
      </c>
      <c r="H48" s="561"/>
      <c r="I48" s="563" t="s">
        <v>237</v>
      </c>
      <c r="J48" s="193"/>
      <c r="K48" s="193"/>
      <c r="L48" s="194"/>
    </row>
    <row r="49" spans="2:14" x14ac:dyDescent="0.5">
      <c r="B49" s="208"/>
      <c r="C49" s="544"/>
      <c r="D49" s="214" t="s">
        <v>316</v>
      </c>
      <c r="E49" s="561">
        <v>1</v>
      </c>
      <c r="F49" s="561"/>
      <c r="G49" s="562">
        <v>12</v>
      </c>
      <c r="H49" s="561"/>
      <c r="I49" s="563" t="s">
        <v>237</v>
      </c>
      <c r="J49" s="193"/>
      <c r="K49" s="193"/>
      <c r="L49" s="194"/>
    </row>
    <row r="50" spans="2:14" x14ac:dyDescent="0.5">
      <c r="B50" s="208"/>
      <c r="C50" s="544"/>
      <c r="D50" s="214" t="s">
        <v>300</v>
      </c>
      <c r="E50" s="561">
        <v>7</v>
      </c>
      <c r="F50" s="561"/>
      <c r="G50" s="562">
        <v>84</v>
      </c>
      <c r="H50" s="561"/>
      <c r="I50" s="563" t="s">
        <v>237</v>
      </c>
      <c r="J50" s="193"/>
      <c r="K50" s="193"/>
      <c r="L50" s="194"/>
    </row>
    <row r="51" spans="2:14" x14ac:dyDescent="0.5">
      <c r="B51" s="208"/>
      <c r="C51" s="544"/>
      <c r="D51" s="214" t="s">
        <v>317</v>
      </c>
      <c r="E51" s="561">
        <v>5</v>
      </c>
      <c r="F51" s="561"/>
      <c r="G51" s="562">
        <v>60</v>
      </c>
      <c r="H51" s="561"/>
      <c r="I51" s="563" t="s">
        <v>237</v>
      </c>
      <c r="J51" s="193"/>
      <c r="K51" s="193"/>
      <c r="L51" s="194"/>
    </row>
    <row r="52" spans="2:14" x14ac:dyDescent="0.5">
      <c r="B52" s="208"/>
      <c r="C52" s="544"/>
      <c r="D52" s="214" t="s">
        <v>318</v>
      </c>
      <c r="E52" s="561">
        <v>5</v>
      </c>
      <c r="F52" s="561"/>
      <c r="G52" s="562">
        <v>48</v>
      </c>
      <c r="H52" s="561"/>
      <c r="I52" s="563" t="s">
        <v>237</v>
      </c>
      <c r="J52" s="193"/>
      <c r="K52" s="193"/>
      <c r="L52" s="194"/>
    </row>
    <row r="53" spans="2:14" ht="41.15" customHeight="1" x14ac:dyDescent="0.5">
      <c r="B53" s="208"/>
      <c r="C53" s="544"/>
      <c r="D53" s="214" t="s">
        <v>254</v>
      </c>
      <c r="E53" s="561">
        <v>10</v>
      </c>
      <c r="F53" s="561"/>
      <c r="G53" s="562">
        <v>120</v>
      </c>
      <c r="H53" s="561"/>
      <c r="I53" s="563" t="s">
        <v>237</v>
      </c>
      <c r="J53" s="193"/>
      <c r="K53" s="193"/>
      <c r="L53" s="194"/>
      <c r="N53" s="178" t="s">
        <v>46</v>
      </c>
    </row>
    <row r="54" spans="2:14" x14ac:dyDescent="0.5">
      <c r="B54" s="208"/>
      <c r="C54" s="544"/>
      <c r="D54" s="214" t="s">
        <v>319</v>
      </c>
      <c r="E54" s="561">
        <v>2</v>
      </c>
      <c r="F54" s="561"/>
      <c r="G54" s="562">
        <v>24</v>
      </c>
      <c r="H54" s="561"/>
      <c r="I54" s="563" t="s">
        <v>237</v>
      </c>
      <c r="J54" s="193"/>
      <c r="K54" s="193"/>
      <c r="L54" s="194"/>
    </row>
    <row r="55" spans="2:14" ht="21" customHeight="1" x14ac:dyDescent="0.5">
      <c r="B55" s="208"/>
      <c r="C55" s="544"/>
      <c r="D55" s="214" t="s">
        <v>320</v>
      </c>
      <c r="E55" s="561">
        <v>1</v>
      </c>
      <c r="F55" s="561"/>
      <c r="G55" s="562">
        <v>12</v>
      </c>
      <c r="H55" s="561"/>
      <c r="I55" s="563" t="s">
        <v>237</v>
      </c>
      <c r="J55" s="193"/>
      <c r="K55" s="193"/>
      <c r="L55" s="194"/>
    </row>
    <row r="56" spans="2:14" x14ac:dyDescent="0.5">
      <c r="B56" s="208"/>
      <c r="C56" s="544"/>
      <c r="D56" s="214" t="s">
        <v>301</v>
      </c>
      <c r="E56" s="561"/>
      <c r="F56" s="561"/>
      <c r="G56" s="562"/>
      <c r="H56" s="561"/>
      <c r="I56" s="563"/>
      <c r="J56" s="193"/>
      <c r="K56" s="193"/>
      <c r="L56" s="194"/>
    </row>
    <row r="57" spans="2:14" ht="21.5" thickBot="1" x14ac:dyDescent="0.55000000000000004">
      <c r="B57" s="649"/>
      <c r="C57" s="657"/>
      <c r="D57" s="554">
        <f>D15/50</f>
        <v>17.079999999999998</v>
      </c>
      <c r="E57" s="555">
        <f>E15/50</f>
        <v>1.92</v>
      </c>
      <c r="F57" s="219"/>
      <c r="G57" s="220"/>
      <c r="H57" s="219"/>
      <c r="I57" s="221"/>
      <c r="J57" s="193"/>
      <c r="K57" s="193"/>
      <c r="L57" s="194"/>
    </row>
    <row r="58" spans="2:14" x14ac:dyDescent="0.5">
      <c r="B58" s="222" t="s">
        <v>35</v>
      </c>
      <c r="D58" s="223"/>
      <c r="E58" s="193"/>
      <c r="F58" s="193"/>
      <c r="G58" s="193"/>
      <c r="H58" s="193"/>
      <c r="I58" s="193"/>
      <c r="J58" s="193"/>
      <c r="K58" s="193"/>
      <c r="L58" s="194"/>
      <c r="N58" s="178" t="s">
        <v>46</v>
      </c>
    </row>
    <row r="59" spans="2:14" ht="21" hidden="1" customHeight="1" outlineLevel="1" x14ac:dyDescent="0.5">
      <c r="B59" s="224" t="s">
        <v>36</v>
      </c>
      <c r="C59" s="225"/>
      <c r="D59" s="193"/>
      <c r="E59" s="193"/>
      <c r="F59" s="193"/>
      <c r="G59" s="193"/>
      <c r="H59" s="193"/>
      <c r="I59" s="193"/>
      <c r="J59" s="193"/>
      <c r="K59" s="193"/>
      <c r="L59" s="194"/>
    </row>
    <row r="60" spans="2:14" ht="21" hidden="1" customHeight="1" outlineLevel="1" x14ac:dyDescent="0.5">
      <c r="B60" s="658" t="s">
        <v>289</v>
      </c>
      <c r="C60" s="659"/>
      <c r="D60" s="193"/>
      <c r="E60" s="193"/>
      <c r="F60" s="193"/>
      <c r="G60" s="193"/>
      <c r="H60" s="193"/>
      <c r="I60" s="193"/>
      <c r="J60" s="193"/>
      <c r="K60" s="193"/>
      <c r="L60" s="194"/>
    </row>
    <row r="61" spans="2:14" ht="21" hidden="1" customHeight="1" outlineLevel="1" x14ac:dyDescent="0.5">
      <c r="B61" s="658"/>
      <c r="C61" s="659"/>
      <c r="D61" s="193"/>
      <c r="E61" s="193"/>
      <c r="F61" s="193"/>
      <c r="G61" s="193"/>
      <c r="H61" s="193"/>
      <c r="I61" s="193"/>
      <c r="J61" s="193"/>
      <c r="K61" s="193"/>
      <c r="L61" s="194"/>
    </row>
    <row r="62" spans="2:14" ht="21" hidden="1" customHeight="1" outlineLevel="1" x14ac:dyDescent="0.5">
      <c r="B62" s="658"/>
      <c r="C62" s="659"/>
      <c r="D62" s="193"/>
      <c r="E62" s="193"/>
      <c r="F62" s="193"/>
      <c r="G62" s="193"/>
      <c r="H62" s="193"/>
      <c r="I62" s="193"/>
      <c r="J62" s="193"/>
      <c r="K62" s="193"/>
      <c r="L62" s="194"/>
    </row>
    <row r="63" spans="2:14" ht="21" hidden="1" customHeight="1" outlineLevel="1" x14ac:dyDescent="0.5">
      <c r="B63" s="660" t="s">
        <v>38</v>
      </c>
      <c r="C63" s="661"/>
      <c r="D63" s="195" t="s">
        <v>39</v>
      </c>
      <c r="E63" s="196" t="s">
        <v>40</v>
      </c>
      <c r="F63" s="196" t="s">
        <v>41</v>
      </c>
      <c r="G63" s="196" t="s">
        <v>42</v>
      </c>
      <c r="H63" s="196" t="s">
        <v>43</v>
      </c>
      <c r="I63" s="196" t="s">
        <v>44</v>
      </c>
      <c r="J63" s="197" t="s">
        <v>45</v>
      </c>
      <c r="K63" s="774"/>
      <c r="L63" s="663"/>
    </row>
    <row r="64" spans="2:14" ht="21" hidden="1" customHeight="1" outlineLevel="1" x14ac:dyDescent="0.5">
      <c r="B64" s="649" t="s">
        <v>47</v>
      </c>
      <c r="C64" s="657"/>
      <c r="D64" s="547">
        <v>46034</v>
      </c>
      <c r="E64" s="548">
        <f t="shared" ref="E64:J64" si="1">D64+1</f>
        <v>46035</v>
      </c>
      <c r="F64" s="548">
        <f t="shared" si="1"/>
        <v>46036</v>
      </c>
      <c r="G64" s="548">
        <f t="shared" si="1"/>
        <v>46037</v>
      </c>
      <c r="H64" s="548">
        <f t="shared" si="1"/>
        <v>46038</v>
      </c>
      <c r="I64" s="548">
        <f t="shared" si="1"/>
        <v>46039</v>
      </c>
      <c r="J64" s="549">
        <f t="shared" si="1"/>
        <v>46040</v>
      </c>
      <c r="K64" s="774"/>
      <c r="L64" s="663"/>
    </row>
    <row r="65" spans="1:12" s="189" customFormat="1" collapsed="1" x14ac:dyDescent="0.5">
      <c r="A65" s="178"/>
      <c r="B65" s="649" t="s">
        <v>48</v>
      </c>
      <c r="C65" s="657"/>
      <c r="D65" s="226">
        <v>63</v>
      </c>
      <c r="E65" s="556">
        <v>68</v>
      </c>
      <c r="F65" s="227"/>
      <c r="G65" s="556"/>
      <c r="H65" s="558"/>
      <c r="I65" s="227"/>
      <c r="J65" s="228"/>
      <c r="K65" s="774"/>
      <c r="L65" s="663"/>
    </row>
    <row r="66" spans="1:12" ht="26.4" customHeight="1" thickBot="1" x14ac:dyDescent="0.55000000000000004">
      <c r="B66" s="649" t="s">
        <v>49</v>
      </c>
      <c r="C66" s="657"/>
      <c r="D66" s="229">
        <v>37</v>
      </c>
      <c r="E66" s="557">
        <v>45</v>
      </c>
      <c r="F66" s="230"/>
      <c r="G66" s="557"/>
      <c r="H66" s="559"/>
      <c r="I66" s="230"/>
      <c r="J66" s="551"/>
      <c r="K66" s="774"/>
      <c r="L66" s="663"/>
    </row>
    <row r="67" spans="1:12" ht="21" customHeight="1" thickBot="1" x14ac:dyDescent="0.55000000000000004">
      <c r="B67" s="208"/>
      <c r="C67" s="231" t="s">
        <v>50</v>
      </c>
      <c r="D67" s="550"/>
      <c r="E67" s="232"/>
      <c r="F67" s="232"/>
      <c r="G67" s="232"/>
      <c r="H67" s="232"/>
      <c r="I67" s="552"/>
      <c r="J67" s="553"/>
      <c r="K67" s="774"/>
      <c r="L67" s="663"/>
    </row>
    <row r="68" spans="1:12" ht="20.149999999999999" customHeight="1" x14ac:dyDescent="0.5">
      <c r="B68" s="233"/>
      <c r="C68" s="234"/>
      <c r="D68" s="235"/>
      <c r="E68" s="236"/>
      <c r="F68" s="237"/>
      <c r="G68" s="237"/>
      <c r="H68" s="237"/>
      <c r="I68" s="237"/>
      <c r="J68" s="237"/>
      <c r="K68" s="237"/>
      <c r="L68" s="238"/>
    </row>
    <row r="69" spans="1:12" ht="21" customHeight="1" x14ac:dyDescent="0.5">
      <c r="B69" s="239" t="s">
        <v>51</v>
      </c>
      <c r="C69" s="578"/>
      <c r="D69" s="579" t="s">
        <v>52</v>
      </c>
      <c r="E69" s="579" t="s">
        <v>53</v>
      </c>
      <c r="F69" s="580" t="s">
        <v>54</v>
      </c>
      <c r="G69" s="579" t="s">
        <v>55</v>
      </c>
      <c r="H69" s="579" t="s">
        <v>56</v>
      </c>
      <c r="I69" s="579" t="s">
        <v>57</v>
      </c>
      <c r="J69" s="579" t="s">
        <v>58</v>
      </c>
      <c r="K69" s="243"/>
      <c r="L69" s="244"/>
    </row>
    <row r="70" spans="1:12" ht="21" customHeight="1" x14ac:dyDescent="0.5">
      <c r="B70" s="233"/>
      <c r="C70" s="581" t="s">
        <v>47</v>
      </c>
      <c r="D70" s="582">
        <v>44816</v>
      </c>
      <c r="E70" s="582">
        <f t="shared" ref="E70:J70" si="2">+D70+1</f>
        <v>44817</v>
      </c>
      <c r="F70" s="582">
        <f t="shared" si="2"/>
        <v>44818</v>
      </c>
      <c r="G70" s="582">
        <f t="shared" si="2"/>
        <v>44819</v>
      </c>
      <c r="H70" s="582">
        <f t="shared" si="2"/>
        <v>44820</v>
      </c>
      <c r="I70" s="582">
        <f t="shared" si="2"/>
        <v>44821</v>
      </c>
      <c r="J70" s="582">
        <f t="shared" si="2"/>
        <v>44822</v>
      </c>
      <c r="K70" s="243"/>
      <c r="L70" s="244"/>
    </row>
    <row r="71" spans="1:12" ht="21" customHeight="1" x14ac:dyDescent="0.5">
      <c r="B71" s="233"/>
      <c r="C71" s="581" t="s">
        <v>48</v>
      </c>
      <c r="D71" s="583"/>
      <c r="E71" s="583"/>
      <c r="F71" s="584"/>
      <c r="G71" s="583"/>
      <c r="H71" s="583"/>
      <c r="I71" s="583" t="s">
        <v>59</v>
      </c>
      <c r="J71" s="583" t="s">
        <v>59</v>
      </c>
      <c r="K71" s="243"/>
      <c r="L71" s="244"/>
    </row>
    <row r="72" spans="1:12" x14ac:dyDescent="0.5">
      <c r="B72" s="233"/>
      <c r="C72" s="581" t="s">
        <v>60</v>
      </c>
      <c r="D72" s="583"/>
      <c r="E72" s="583"/>
      <c r="F72" s="584"/>
      <c r="G72" s="583"/>
      <c r="H72" s="583"/>
      <c r="I72" s="583" t="s">
        <v>59</v>
      </c>
      <c r="J72" s="583" t="s">
        <v>59</v>
      </c>
      <c r="K72" s="243"/>
      <c r="L72" s="244"/>
    </row>
    <row r="73" spans="1:12" x14ac:dyDescent="0.5">
      <c r="B73" s="233"/>
      <c r="C73" s="581" t="s">
        <v>61</v>
      </c>
      <c r="D73" s="585">
        <v>0</v>
      </c>
      <c r="E73" s="585">
        <v>0</v>
      </c>
      <c r="F73" s="586">
        <v>0</v>
      </c>
      <c r="G73" s="585">
        <v>0</v>
      </c>
      <c r="H73" s="585">
        <v>0</v>
      </c>
      <c r="I73" s="585">
        <v>0</v>
      </c>
      <c r="J73" s="585">
        <v>0</v>
      </c>
      <c r="K73" s="243"/>
      <c r="L73" s="244"/>
    </row>
    <row r="74" spans="1:12" x14ac:dyDescent="0.5">
      <c r="B74" s="233"/>
      <c r="C74" s="251"/>
      <c r="D74" s="587" t="s">
        <v>62</v>
      </c>
      <c r="E74" s="587" t="s">
        <v>62</v>
      </c>
      <c r="F74" s="588" t="s">
        <v>62</v>
      </c>
      <c r="G74" s="588" t="s">
        <v>62</v>
      </c>
      <c r="H74" s="588" t="s">
        <v>62</v>
      </c>
      <c r="I74" s="588" t="s">
        <v>62</v>
      </c>
      <c r="J74" s="588" t="s">
        <v>62</v>
      </c>
      <c r="K74" s="243"/>
      <c r="L74" s="244"/>
    </row>
    <row r="75" spans="1:12" x14ac:dyDescent="0.5">
      <c r="A75" s="189"/>
      <c r="B75" s="629" t="s">
        <v>118</v>
      </c>
      <c r="C75" s="630"/>
      <c r="D75" s="630"/>
      <c r="E75" s="630"/>
      <c r="F75" s="630"/>
      <c r="G75" s="630"/>
      <c r="H75" s="630"/>
      <c r="I75" s="630"/>
      <c r="J75" s="630"/>
      <c r="K75" s="630"/>
      <c r="L75" s="631"/>
    </row>
    <row r="76" spans="1:12" x14ac:dyDescent="0.5">
      <c r="B76" s="254" t="s">
        <v>119</v>
      </c>
      <c r="C76" s="255"/>
      <c r="D76" s="183"/>
      <c r="E76" s="183"/>
      <c r="F76" s="183"/>
      <c r="G76" s="183"/>
      <c r="H76" s="183"/>
      <c r="I76" s="183"/>
      <c r="J76" s="183"/>
      <c r="K76" s="183"/>
      <c r="L76" s="256"/>
    </row>
    <row r="77" spans="1:12" x14ac:dyDescent="0.5">
      <c r="B77" s="257"/>
      <c r="C77" s="255"/>
      <c r="D77" s="735"/>
      <c r="E77" s="736"/>
      <c r="F77" s="736"/>
      <c r="G77" s="736"/>
      <c r="H77" s="736"/>
      <c r="I77" s="736"/>
      <c r="J77" s="736"/>
      <c r="K77" s="736"/>
      <c r="L77" s="737"/>
    </row>
    <row r="78" spans="1:12" x14ac:dyDescent="0.5">
      <c r="B78" s="257"/>
      <c r="C78" s="255"/>
      <c r="D78" s="735"/>
      <c r="E78" s="736"/>
      <c r="F78" s="736"/>
      <c r="G78" s="736"/>
      <c r="H78" s="736"/>
      <c r="I78" s="736"/>
      <c r="J78" s="736"/>
      <c r="K78" s="736"/>
      <c r="L78" s="737"/>
    </row>
    <row r="79" spans="1:12" ht="21.5" thickBot="1" x14ac:dyDescent="0.55000000000000004">
      <c r="B79" s="257"/>
      <c r="C79" s="255"/>
      <c r="D79" s="738"/>
      <c r="E79" s="739"/>
      <c r="F79" s="739"/>
      <c r="G79" s="739"/>
      <c r="H79" s="739"/>
      <c r="I79" s="739"/>
      <c r="J79" s="739"/>
      <c r="K79" s="739"/>
      <c r="L79" s="740"/>
    </row>
    <row r="80" spans="1:12" x14ac:dyDescent="0.5">
      <c r="B80" s="257"/>
      <c r="C80" s="255"/>
      <c r="L80" s="258"/>
    </row>
    <row r="81" spans="1:12" ht="33" customHeight="1" thickBot="1" x14ac:dyDescent="0.55000000000000004">
      <c r="B81" s="259"/>
      <c r="C81" s="255"/>
      <c r="D81" s="260"/>
      <c r="E81" s="260"/>
      <c r="F81" s="261"/>
      <c r="G81" s="261"/>
      <c r="H81" s="261"/>
      <c r="I81" s="261"/>
      <c r="J81" s="261"/>
      <c r="K81" s="261"/>
      <c r="L81" s="262"/>
    </row>
    <row r="82" spans="1:12" x14ac:dyDescent="0.5">
      <c r="B82" s="686" t="s">
        <v>120</v>
      </c>
      <c r="C82" s="688"/>
      <c r="D82" s="195" t="s">
        <v>19</v>
      </c>
      <c r="E82" s="197" t="s">
        <v>20</v>
      </c>
      <c r="F82" s="234"/>
      <c r="G82" s="234"/>
      <c r="H82" s="234"/>
      <c r="I82" s="234"/>
      <c r="J82" s="234"/>
      <c r="K82" s="234"/>
      <c r="L82" s="263"/>
    </row>
    <row r="83" spans="1:12" x14ac:dyDescent="0.5">
      <c r="B83" s="264"/>
      <c r="C83" s="265" t="s">
        <v>121</v>
      </c>
      <c r="D83" s="210">
        <v>0</v>
      </c>
      <c r="E83" s="228">
        <v>0</v>
      </c>
      <c r="F83" s="234"/>
      <c r="G83" s="234"/>
      <c r="H83" s="234"/>
      <c r="I83" s="234"/>
      <c r="J83" s="234"/>
      <c r="K83" s="234"/>
      <c r="L83" s="263"/>
    </row>
    <row r="84" spans="1:12" x14ac:dyDescent="0.5">
      <c r="B84" s="264"/>
      <c r="C84" s="265" t="s">
        <v>122</v>
      </c>
      <c r="D84" s="210">
        <v>0</v>
      </c>
      <c r="E84" s="228">
        <v>0</v>
      </c>
      <c r="F84" s="234"/>
      <c r="G84" s="234"/>
      <c r="H84" s="234"/>
      <c r="I84" s="234"/>
      <c r="J84" s="234"/>
      <c r="K84" s="234"/>
      <c r="L84" s="263"/>
    </row>
    <row r="85" spans="1:12" s="189" customFormat="1" collapsed="1" x14ac:dyDescent="0.5">
      <c r="A85" s="178"/>
      <c r="B85" s="264"/>
      <c r="C85" s="265" t="s">
        <v>123</v>
      </c>
      <c r="D85" s="210" t="e">
        <f>#REF!</f>
        <v>#REF!</v>
      </c>
      <c r="E85" s="228">
        <v>0</v>
      </c>
      <c r="F85" s="234"/>
      <c r="G85" s="234"/>
      <c r="H85" s="234"/>
      <c r="I85" s="234"/>
      <c r="J85" s="234"/>
      <c r="K85" s="234"/>
      <c r="L85" s="263"/>
    </row>
    <row r="86" spans="1:12" ht="21.5" thickBot="1" x14ac:dyDescent="0.55000000000000004">
      <c r="B86" s="264"/>
      <c r="C86" s="265" t="s">
        <v>124</v>
      </c>
      <c r="D86" s="215">
        <v>0</v>
      </c>
      <c r="E86" s="266">
        <v>0</v>
      </c>
      <c r="F86" s="234"/>
      <c r="G86" s="234"/>
      <c r="H86" s="234"/>
      <c r="I86" s="234"/>
      <c r="J86" s="234"/>
      <c r="K86" s="234"/>
      <c r="L86" s="263"/>
    </row>
    <row r="87" spans="1:12" ht="21" customHeight="1" thickBot="1" x14ac:dyDescent="0.55000000000000004">
      <c r="B87" s="257"/>
      <c r="C87" s="234"/>
      <c r="D87" s="234"/>
      <c r="E87" s="234"/>
      <c r="F87" s="234"/>
      <c r="G87" s="234"/>
      <c r="H87" s="234"/>
      <c r="I87" s="234"/>
      <c r="J87" s="234"/>
      <c r="K87" s="234"/>
      <c r="L87" s="263"/>
    </row>
    <row r="88" spans="1:12" x14ac:dyDescent="0.5">
      <c r="B88" s="267"/>
      <c r="C88" s="195" t="s">
        <v>126</v>
      </c>
      <c r="D88" s="196" t="s">
        <v>21</v>
      </c>
      <c r="E88" s="196" t="s">
        <v>68</v>
      </c>
      <c r="F88" s="196" t="s">
        <v>127</v>
      </c>
      <c r="G88" s="206" t="s">
        <v>128</v>
      </c>
      <c r="H88" s="206" t="s">
        <v>129</v>
      </c>
      <c r="I88" s="196" t="s">
        <v>130</v>
      </c>
      <c r="J88" s="207" t="s">
        <v>131</v>
      </c>
      <c r="K88" s="197" t="s">
        <v>132</v>
      </c>
      <c r="L88" s="197" t="s">
        <v>133</v>
      </c>
    </row>
    <row r="89" spans="1:12" ht="21" customHeight="1" x14ac:dyDescent="0.5">
      <c r="B89" s="267"/>
      <c r="C89" s="268"/>
      <c r="D89" s="269"/>
      <c r="E89" s="269"/>
      <c r="F89" s="270"/>
      <c r="G89" s="271"/>
      <c r="H89" s="272"/>
      <c r="I89" s="273"/>
      <c r="J89" s="272"/>
      <c r="K89" s="274"/>
      <c r="L89" s="274"/>
    </row>
    <row r="90" spans="1:12" x14ac:dyDescent="0.5">
      <c r="B90" s="267"/>
      <c r="C90" s="268"/>
      <c r="D90" s="269"/>
      <c r="E90" s="269"/>
      <c r="F90" s="270"/>
      <c r="G90" s="271"/>
      <c r="H90" s="272"/>
      <c r="I90" s="273"/>
      <c r="J90" s="272"/>
      <c r="K90" s="274"/>
      <c r="L90" s="274"/>
    </row>
    <row r="91" spans="1:12" ht="21" customHeight="1" x14ac:dyDescent="0.5">
      <c r="B91" s="267"/>
      <c r="C91" s="275"/>
      <c r="D91" s="276"/>
      <c r="E91" s="276"/>
      <c r="F91" s="277"/>
      <c r="G91" s="278"/>
      <c r="H91" s="279"/>
      <c r="I91" s="279"/>
      <c r="J91" s="280"/>
      <c r="K91" s="281"/>
      <c r="L91" s="281"/>
    </row>
    <row r="92" spans="1:12" ht="21" customHeight="1" thickBot="1" x14ac:dyDescent="0.55000000000000004">
      <c r="B92" s="267"/>
      <c r="C92" s="275"/>
      <c r="D92" s="276"/>
      <c r="E92" s="276"/>
      <c r="F92" s="277"/>
      <c r="G92" s="278"/>
      <c r="H92" s="279"/>
      <c r="I92" s="279"/>
      <c r="J92" s="280"/>
      <c r="K92" s="281"/>
      <c r="L92" s="281"/>
    </row>
    <row r="93" spans="1:12" ht="21" customHeight="1" thickBot="1" x14ac:dyDescent="0.55000000000000004">
      <c r="B93" s="267"/>
      <c r="C93" s="282" t="s">
        <v>32</v>
      </c>
      <c r="D93" s="283"/>
      <c r="E93" s="284"/>
      <c r="F93" s="285"/>
      <c r="G93" s="286">
        <f t="shared" ref="G93:L93" si="3">SUM(G89:G92)</f>
        <v>0</v>
      </c>
      <c r="H93" s="287">
        <f t="shared" si="3"/>
        <v>0</v>
      </c>
      <c r="I93" s="287">
        <f t="shared" si="3"/>
        <v>0</v>
      </c>
      <c r="J93" s="287">
        <f t="shared" si="3"/>
        <v>0</v>
      </c>
      <c r="K93" s="288">
        <f t="shared" si="3"/>
        <v>0</v>
      </c>
      <c r="L93" s="288">
        <f t="shared" si="3"/>
        <v>0</v>
      </c>
    </row>
    <row r="94" spans="1:12" ht="21" customHeight="1" x14ac:dyDescent="0.5">
      <c r="B94" s="264"/>
      <c r="C94" s="265"/>
      <c r="D94" s="289"/>
      <c r="E94" s="289"/>
      <c r="F94" s="234"/>
      <c r="G94" s="234"/>
      <c r="H94" s="234"/>
      <c r="I94" s="234"/>
      <c r="J94" s="234"/>
      <c r="K94" s="234"/>
      <c r="L94" s="263"/>
    </row>
    <row r="95" spans="1:12" s="189" customFormat="1" ht="22.65" customHeight="1" x14ac:dyDescent="0.4">
      <c r="B95" s="629" t="s">
        <v>255</v>
      </c>
      <c r="C95" s="630"/>
      <c r="D95" s="630"/>
      <c r="E95" s="630"/>
      <c r="F95" s="630"/>
      <c r="G95" s="630"/>
      <c r="H95" s="630"/>
      <c r="I95" s="630"/>
      <c r="J95" s="630"/>
      <c r="K95" s="630"/>
      <c r="L95" s="631"/>
    </row>
    <row r="96" spans="1:12" ht="22.65" customHeight="1" x14ac:dyDescent="0.5">
      <c r="B96" s="254" t="s">
        <v>114</v>
      </c>
      <c r="C96" s="564"/>
      <c r="D96" s="564"/>
      <c r="E96" s="564"/>
      <c r="F96" s="564"/>
      <c r="G96" s="564"/>
      <c r="H96" s="564"/>
      <c r="I96" s="564"/>
      <c r="J96" s="564"/>
      <c r="K96" s="564"/>
      <c r="L96" s="565"/>
    </row>
    <row r="97" spans="1:12" x14ac:dyDescent="0.5">
      <c r="B97" s="566"/>
      <c r="C97" s="665"/>
      <c r="D97" s="666"/>
      <c r="E97" s="666"/>
      <c r="F97" s="666"/>
      <c r="G97" s="666"/>
      <c r="H97" s="666"/>
      <c r="I97" s="666"/>
      <c r="J97" s="666"/>
      <c r="K97" s="666"/>
      <c r="L97" s="667"/>
    </row>
    <row r="98" spans="1:12" ht="22.65" customHeight="1" x14ac:dyDescent="0.5">
      <c r="B98" s="257"/>
      <c r="C98" s="665"/>
      <c r="D98" s="666"/>
      <c r="E98" s="666"/>
      <c r="F98" s="666"/>
      <c r="G98" s="666"/>
      <c r="H98" s="666"/>
      <c r="I98" s="666"/>
      <c r="J98" s="666"/>
      <c r="K98" s="666"/>
      <c r="L98" s="667"/>
    </row>
    <row r="99" spans="1:12" ht="22.65" customHeight="1" x14ac:dyDescent="0.5">
      <c r="B99" s="290"/>
      <c r="C99" s="775"/>
      <c r="D99" s="669"/>
      <c r="E99" s="669"/>
      <c r="F99" s="669"/>
      <c r="G99" s="669"/>
      <c r="H99" s="669"/>
      <c r="I99" s="669"/>
      <c r="J99" s="669"/>
      <c r="K99" s="669"/>
      <c r="L99" s="670"/>
    </row>
    <row r="100" spans="1:12" ht="22.65" customHeight="1" x14ac:dyDescent="0.5">
      <c r="B100" s="259" t="s">
        <v>256</v>
      </c>
      <c r="C100" s="567"/>
      <c r="D100" s="567"/>
      <c r="E100" s="567"/>
      <c r="F100" s="567"/>
      <c r="G100" s="567"/>
      <c r="H100" s="567"/>
      <c r="I100" s="567"/>
      <c r="J100" s="567"/>
      <c r="K100" s="567"/>
      <c r="L100" s="291"/>
    </row>
    <row r="101" spans="1:12" ht="22.65" customHeight="1" x14ac:dyDescent="0.5">
      <c r="B101" s="259"/>
      <c r="C101" s="673"/>
      <c r="D101" s="674"/>
      <c r="E101" s="674"/>
      <c r="F101" s="674"/>
      <c r="G101" s="674"/>
      <c r="H101" s="674"/>
      <c r="I101" s="674"/>
      <c r="J101" s="674"/>
      <c r="K101" s="675"/>
      <c r="L101" s="291"/>
    </row>
    <row r="102" spans="1:12" ht="22.65" customHeight="1" x14ac:dyDescent="0.5">
      <c r="B102" s="259"/>
      <c r="C102" s="676"/>
      <c r="D102" s="677"/>
      <c r="E102" s="677"/>
      <c r="F102" s="677"/>
      <c r="G102" s="677"/>
      <c r="H102" s="677"/>
      <c r="I102" s="677"/>
      <c r="J102" s="677"/>
      <c r="K102" s="678"/>
      <c r="L102" s="291"/>
    </row>
    <row r="103" spans="1:12" ht="22.65" customHeight="1" x14ac:dyDescent="0.5">
      <c r="B103" s="259"/>
      <c r="C103" s="679"/>
      <c r="D103" s="680"/>
      <c r="E103" s="680"/>
      <c r="F103" s="680"/>
      <c r="G103" s="680"/>
      <c r="H103" s="680"/>
      <c r="I103" s="680"/>
      <c r="J103" s="680"/>
      <c r="K103" s="681"/>
      <c r="L103" s="291"/>
    </row>
    <row r="104" spans="1:12" ht="22.65" customHeight="1" x14ac:dyDescent="0.5">
      <c r="B104" s="259"/>
      <c r="C104" s="292"/>
      <c r="D104" s="292"/>
      <c r="E104" s="292"/>
      <c r="F104" s="292"/>
      <c r="G104" s="292"/>
      <c r="H104" s="292"/>
      <c r="I104" s="292"/>
      <c r="J104" s="292"/>
      <c r="K104" s="292"/>
      <c r="L104" s="291"/>
    </row>
    <row r="105" spans="1:12" ht="22.65" customHeight="1" x14ac:dyDescent="0.5">
      <c r="A105" s="189"/>
      <c r="B105" s="629" t="s">
        <v>63</v>
      </c>
      <c r="C105" s="630"/>
      <c r="D105" s="630"/>
      <c r="E105" s="630"/>
      <c r="F105" s="630"/>
      <c r="G105" s="630"/>
      <c r="H105" s="630"/>
      <c r="I105" s="630"/>
      <c r="J105" s="630"/>
      <c r="K105" s="630"/>
      <c r="L105" s="631"/>
    </row>
    <row r="106" spans="1:12" ht="22.65" customHeight="1" thickBot="1" x14ac:dyDescent="0.55000000000000004">
      <c r="B106" s="686"/>
      <c r="C106" s="688"/>
      <c r="D106" s="293"/>
      <c r="E106" s="293"/>
      <c r="F106" s="293"/>
      <c r="G106" s="293"/>
      <c r="H106" s="293"/>
      <c r="I106" s="237"/>
      <c r="J106" s="234"/>
      <c r="K106" s="234"/>
      <c r="L106" s="263"/>
    </row>
    <row r="107" spans="1:12" ht="22.65" customHeight="1" x14ac:dyDescent="0.5">
      <c r="B107" s="294"/>
      <c r="C107" s="295"/>
      <c r="D107" s="195" t="s">
        <v>272</v>
      </c>
      <c r="E107" s="196" t="s">
        <v>273</v>
      </c>
      <c r="F107" s="197" t="s">
        <v>67</v>
      </c>
      <c r="G107" s="197" t="s">
        <v>68</v>
      </c>
      <c r="H107" s="795"/>
      <c r="I107" s="745"/>
      <c r="J107" s="234"/>
      <c r="K107" s="234"/>
      <c r="L107" s="263"/>
    </row>
    <row r="108" spans="1:12" ht="22.65" customHeight="1" thickBot="1" x14ac:dyDescent="0.55000000000000004">
      <c r="B108" s="294"/>
      <c r="C108" s="209" t="s">
        <v>69</v>
      </c>
      <c r="D108" s="296">
        <v>45854</v>
      </c>
      <c r="E108" s="297">
        <v>45859</v>
      </c>
      <c r="F108" s="298">
        <f>+D108-E108</f>
        <v>-5</v>
      </c>
      <c r="G108" s="298"/>
      <c r="H108" s="795"/>
      <c r="I108" s="745"/>
      <c r="J108" s="234"/>
      <c r="K108" s="234"/>
      <c r="L108" s="263"/>
    </row>
    <row r="109" spans="1:12" ht="22.65" customHeight="1" thickBot="1" x14ac:dyDescent="0.55000000000000004">
      <c r="B109" s="294"/>
      <c r="C109" s="209" t="s">
        <v>70</v>
      </c>
      <c r="D109" s="296">
        <v>45931</v>
      </c>
      <c r="E109" s="297">
        <v>45931</v>
      </c>
      <c r="F109" s="298">
        <f t="shared" ref="F109:F122" si="4">+D109-E109</f>
        <v>0</v>
      </c>
      <c r="G109" s="298"/>
      <c r="H109" s="795"/>
      <c r="I109" s="745"/>
      <c r="J109" s="234"/>
      <c r="K109" s="234"/>
      <c r="L109" s="263"/>
    </row>
    <row r="110" spans="1:12" ht="22.65" customHeight="1" thickBot="1" x14ac:dyDescent="0.55000000000000004">
      <c r="B110" s="294"/>
      <c r="C110" s="209" t="s">
        <v>266</v>
      </c>
      <c r="D110" s="296">
        <v>45982</v>
      </c>
      <c r="E110" s="297">
        <v>45973</v>
      </c>
      <c r="F110" s="298">
        <f t="shared" si="4"/>
        <v>9</v>
      </c>
      <c r="G110" s="298"/>
      <c r="H110" s="795"/>
      <c r="I110" s="745"/>
      <c r="J110" s="234"/>
      <c r="K110" s="234"/>
      <c r="L110" s="263"/>
    </row>
    <row r="111" spans="1:12" ht="22.65" customHeight="1" thickBot="1" x14ac:dyDescent="0.55000000000000004">
      <c r="B111" s="294"/>
      <c r="C111" s="209" t="s">
        <v>267</v>
      </c>
      <c r="D111" s="296">
        <v>46003</v>
      </c>
      <c r="E111" s="297">
        <v>45997</v>
      </c>
      <c r="F111" s="298">
        <v>2</v>
      </c>
      <c r="G111" s="298"/>
      <c r="H111" s="795"/>
      <c r="I111" s="745"/>
      <c r="J111" s="234"/>
      <c r="K111" s="234"/>
      <c r="L111" s="263"/>
    </row>
    <row r="112" spans="1:12" ht="22.65" customHeight="1" thickBot="1" x14ac:dyDescent="0.55000000000000004">
      <c r="B112" s="294"/>
      <c r="C112" s="209" t="s">
        <v>268</v>
      </c>
      <c r="D112" s="296">
        <v>45936</v>
      </c>
      <c r="E112" s="297">
        <v>45933</v>
      </c>
      <c r="F112" s="298">
        <f t="shared" si="4"/>
        <v>3</v>
      </c>
      <c r="G112" s="298"/>
      <c r="H112" s="795"/>
      <c r="I112" s="745"/>
      <c r="J112" s="234"/>
      <c r="K112" s="234"/>
      <c r="L112" s="263"/>
    </row>
    <row r="113" spans="1:12" ht="22.65" customHeight="1" thickBot="1" x14ac:dyDescent="0.55000000000000004">
      <c r="B113" s="294"/>
      <c r="C113" s="209" t="s">
        <v>269</v>
      </c>
      <c r="D113" s="296">
        <v>45990</v>
      </c>
      <c r="E113" s="297">
        <v>45979</v>
      </c>
      <c r="F113" s="298">
        <f t="shared" si="4"/>
        <v>11</v>
      </c>
      <c r="G113" s="298"/>
      <c r="H113" s="795"/>
      <c r="I113" s="745"/>
      <c r="J113" s="234"/>
      <c r="K113" s="234"/>
      <c r="L113" s="263"/>
    </row>
    <row r="114" spans="1:12" ht="54" customHeight="1" thickBot="1" x14ac:dyDescent="0.55000000000000004">
      <c r="B114" s="294"/>
      <c r="C114" s="209" t="s">
        <v>263</v>
      </c>
      <c r="D114" s="296">
        <v>45968</v>
      </c>
      <c r="E114" s="299">
        <v>45968</v>
      </c>
      <c r="F114" s="298">
        <f t="shared" si="4"/>
        <v>0</v>
      </c>
      <c r="G114" s="298"/>
      <c r="H114" s="795"/>
      <c r="I114" s="745"/>
      <c r="J114" s="234"/>
      <c r="K114" s="234"/>
      <c r="L114" s="263"/>
    </row>
    <row r="115" spans="1:12" ht="22.5" hidden="1" customHeight="1" thickBot="1" x14ac:dyDescent="0.55000000000000004">
      <c r="B115" s="294"/>
      <c r="C115" s="209" t="s">
        <v>264</v>
      </c>
      <c r="D115" s="296">
        <v>45987</v>
      </c>
      <c r="E115" s="299">
        <v>45982</v>
      </c>
      <c r="F115" s="298">
        <f t="shared" si="4"/>
        <v>5</v>
      </c>
      <c r="G115" s="298"/>
      <c r="H115" s="795"/>
      <c r="I115" s="745"/>
      <c r="J115" s="234"/>
      <c r="K115" s="234"/>
      <c r="L115" s="263"/>
    </row>
    <row r="116" spans="1:12" ht="22.65" customHeight="1" thickBot="1" x14ac:dyDescent="0.55000000000000004">
      <c r="B116" s="294"/>
      <c r="C116" s="209" t="s">
        <v>270</v>
      </c>
      <c r="D116" s="296">
        <v>45975</v>
      </c>
      <c r="E116" s="299">
        <v>45971</v>
      </c>
      <c r="F116" s="298">
        <f t="shared" si="4"/>
        <v>4</v>
      </c>
      <c r="G116" s="298"/>
      <c r="H116" s="795"/>
      <c r="I116" s="745"/>
      <c r="J116" s="234"/>
      <c r="K116" s="234"/>
      <c r="L116" s="263"/>
    </row>
    <row r="117" spans="1:12" ht="29.25" customHeight="1" thickBot="1" x14ac:dyDescent="0.55000000000000004">
      <c r="B117" s="294"/>
      <c r="C117" s="209" t="s">
        <v>271</v>
      </c>
      <c r="D117" s="296">
        <v>45993</v>
      </c>
      <c r="E117" s="299">
        <v>45983</v>
      </c>
      <c r="F117" s="298">
        <f t="shared" si="4"/>
        <v>10</v>
      </c>
      <c r="G117" s="298"/>
      <c r="H117" s="795"/>
      <c r="I117" s="745"/>
      <c r="J117" s="234"/>
      <c r="K117" s="234"/>
      <c r="L117" s="263"/>
    </row>
    <row r="118" spans="1:12" ht="22.65" customHeight="1" thickBot="1" x14ac:dyDescent="0.55000000000000004">
      <c r="B118" s="294"/>
      <c r="C118" s="209" t="s">
        <v>274</v>
      </c>
      <c r="D118" s="296">
        <v>45996</v>
      </c>
      <c r="E118" s="299">
        <v>45987</v>
      </c>
      <c r="F118" s="298">
        <f t="shared" si="4"/>
        <v>9</v>
      </c>
      <c r="G118" s="298"/>
      <c r="H118" s="795"/>
      <c r="I118" s="745"/>
      <c r="J118" s="234"/>
      <c r="K118" s="234"/>
      <c r="L118" s="263"/>
    </row>
    <row r="119" spans="1:12" ht="22.65" customHeight="1" thickBot="1" x14ac:dyDescent="0.55000000000000004">
      <c r="B119" s="294"/>
      <c r="C119" s="209" t="s">
        <v>275</v>
      </c>
      <c r="D119" s="296">
        <v>46029</v>
      </c>
      <c r="E119" s="299">
        <v>46022</v>
      </c>
      <c r="F119" s="298">
        <f t="shared" si="4"/>
        <v>7</v>
      </c>
      <c r="G119" s="298"/>
      <c r="H119" s="795"/>
      <c r="I119" s="745"/>
      <c r="J119" s="234"/>
      <c r="K119" s="234"/>
      <c r="L119" s="263"/>
    </row>
    <row r="120" spans="1:12" ht="22.65" customHeight="1" thickBot="1" x14ac:dyDescent="0.55000000000000004">
      <c r="B120" s="294"/>
      <c r="C120" s="209" t="s">
        <v>75</v>
      </c>
      <c r="D120" s="299"/>
      <c r="E120" s="299"/>
      <c r="F120" s="298">
        <f t="shared" si="4"/>
        <v>0</v>
      </c>
      <c r="G120" s="298"/>
      <c r="H120" s="183"/>
      <c r="I120" s="234"/>
      <c r="J120" s="234"/>
      <c r="K120" s="234"/>
      <c r="L120" s="263"/>
    </row>
    <row r="121" spans="1:12" ht="22.65" customHeight="1" thickBot="1" x14ac:dyDescent="0.55000000000000004">
      <c r="B121" s="294"/>
      <c r="C121" s="209" t="s">
        <v>76</v>
      </c>
      <c r="D121" s="299"/>
      <c r="E121" s="299"/>
      <c r="F121" s="298">
        <f t="shared" si="4"/>
        <v>0</v>
      </c>
      <c r="G121" s="298"/>
      <c r="H121" s="183"/>
      <c r="I121" s="234"/>
      <c r="J121" s="234"/>
      <c r="K121" s="234"/>
      <c r="L121" s="263"/>
    </row>
    <row r="122" spans="1:12" s="470" customFormat="1" ht="46.5" hidden="1" customHeight="1" thickBot="1" x14ac:dyDescent="0.55000000000000004">
      <c r="A122" s="178"/>
      <c r="B122" s="294"/>
      <c r="C122" s="209"/>
      <c r="D122" s="297"/>
      <c r="E122" s="297"/>
      <c r="F122" s="298">
        <f t="shared" si="4"/>
        <v>0</v>
      </c>
      <c r="G122" s="298"/>
      <c r="H122" s="183"/>
      <c r="I122" s="234"/>
      <c r="J122" s="234"/>
      <c r="K122" s="234"/>
      <c r="L122" s="263"/>
    </row>
    <row r="123" spans="1:12" s="470" customFormat="1" ht="22.65" hidden="1" customHeight="1" x14ac:dyDescent="0.55000000000000004">
      <c r="A123" s="178"/>
      <c r="B123" s="294"/>
      <c r="C123" s="209"/>
      <c r="D123" s="300"/>
      <c r="E123" s="183"/>
      <c r="F123" s="234"/>
      <c r="G123" s="234"/>
      <c r="H123" s="183"/>
      <c r="I123" s="234"/>
      <c r="J123" s="234"/>
      <c r="K123" s="234"/>
      <c r="L123" s="263"/>
    </row>
    <row r="124" spans="1:12" ht="22.65" customHeight="1" x14ac:dyDescent="0.5">
      <c r="B124" s="257"/>
      <c r="C124" s="301"/>
      <c r="D124" s="195" t="s">
        <v>77</v>
      </c>
      <c r="E124" s="196" t="s">
        <v>78</v>
      </c>
      <c r="F124" s="196" t="s">
        <v>79</v>
      </c>
      <c r="G124" s="196" t="s">
        <v>80</v>
      </c>
      <c r="H124" s="197" t="s">
        <v>81</v>
      </c>
      <c r="I124" s="234"/>
      <c r="J124" s="234"/>
      <c r="K124" s="234"/>
      <c r="L124" s="263"/>
    </row>
    <row r="125" spans="1:12" ht="54" customHeight="1" x14ac:dyDescent="0.5">
      <c r="B125" s="257"/>
      <c r="C125" s="209"/>
      <c r="D125" s="302"/>
      <c r="E125" s="303"/>
      <c r="F125" s="304"/>
      <c r="G125" s="303"/>
      <c r="H125" s="305"/>
      <c r="I125" s="234"/>
      <c r="J125" s="234"/>
      <c r="K125" s="234"/>
      <c r="L125" s="263"/>
    </row>
    <row r="126" spans="1:12" ht="22.65" customHeight="1" thickBot="1" x14ac:dyDescent="0.55000000000000004">
      <c r="B126" s="233"/>
      <c r="C126" s="209" t="s">
        <v>82</v>
      </c>
      <c r="D126" s="306"/>
      <c r="E126" s="307"/>
      <c r="F126" s="308">
        <f t="shared" ref="F126:F131" si="5">D126-E126</f>
        <v>0</v>
      </c>
      <c r="G126" s="307">
        <v>0</v>
      </c>
      <c r="H126" s="309">
        <v>0</v>
      </c>
      <c r="I126" s="234"/>
      <c r="J126" s="310"/>
      <c r="K126" s="234"/>
      <c r="L126" s="263"/>
    </row>
    <row r="127" spans="1:12" ht="22.65" customHeight="1" thickBot="1" x14ac:dyDescent="0.55000000000000004">
      <c r="B127" s="684" t="s">
        <v>83</v>
      </c>
      <c r="C127" s="685"/>
      <c r="D127" s="306"/>
      <c r="E127" s="307"/>
      <c r="F127" s="308">
        <f t="shared" si="5"/>
        <v>0</v>
      </c>
      <c r="G127" s="307">
        <v>0</v>
      </c>
      <c r="H127" s="309">
        <v>0</v>
      </c>
      <c r="I127" s="234"/>
      <c r="J127" s="310"/>
      <c r="K127" s="234"/>
      <c r="L127" s="263"/>
    </row>
    <row r="128" spans="1:12" ht="22.65" customHeight="1" thickBot="1" x14ac:dyDescent="0.55000000000000004">
      <c r="B128" s="233"/>
      <c r="C128" s="209" t="s">
        <v>84</v>
      </c>
      <c r="D128" s="306"/>
      <c r="E128" s="307"/>
      <c r="F128" s="308">
        <f t="shared" si="5"/>
        <v>0</v>
      </c>
      <c r="G128" s="307">
        <v>0</v>
      </c>
      <c r="H128" s="309">
        <v>0</v>
      </c>
      <c r="I128" s="234"/>
      <c r="J128" s="310"/>
      <c r="K128" s="234"/>
      <c r="L128" s="263"/>
    </row>
    <row r="129" spans="1:12" ht="22.65" customHeight="1" thickBot="1" x14ac:dyDescent="0.55000000000000004">
      <c r="B129" s="233"/>
      <c r="C129" s="209" t="s">
        <v>85</v>
      </c>
      <c r="D129" s="306"/>
      <c r="E129" s="307"/>
      <c r="F129" s="308">
        <f t="shared" si="5"/>
        <v>0</v>
      </c>
      <c r="G129" s="307">
        <v>0</v>
      </c>
      <c r="H129" s="309">
        <v>0</v>
      </c>
      <c r="I129" s="234"/>
      <c r="J129" s="310"/>
      <c r="K129" s="234"/>
      <c r="L129" s="263"/>
    </row>
    <row r="130" spans="1:12" ht="22.65" customHeight="1" thickBot="1" x14ac:dyDescent="0.55000000000000004">
      <c r="B130" s="233"/>
      <c r="C130" s="209" t="s">
        <v>86</v>
      </c>
      <c r="D130" s="306"/>
      <c r="E130" s="307"/>
      <c r="F130" s="308">
        <f t="shared" si="5"/>
        <v>0</v>
      </c>
      <c r="G130" s="307">
        <v>0</v>
      </c>
      <c r="H130" s="309">
        <v>0</v>
      </c>
      <c r="I130" s="311"/>
      <c r="J130" s="310"/>
      <c r="K130" s="234"/>
      <c r="L130" s="263"/>
    </row>
    <row r="131" spans="1:12" ht="22.65" customHeight="1" thickBot="1" x14ac:dyDescent="0.55000000000000004">
      <c r="B131" s="264"/>
      <c r="C131" s="209" t="s">
        <v>87</v>
      </c>
      <c r="D131" s="306"/>
      <c r="E131" s="307"/>
      <c r="F131" s="308">
        <f t="shared" si="5"/>
        <v>0</v>
      </c>
      <c r="G131" s="307">
        <v>0</v>
      </c>
      <c r="H131" s="309">
        <v>0</v>
      </c>
      <c r="I131" s="234"/>
      <c r="J131" s="310"/>
      <c r="K131" s="234"/>
      <c r="L131" s="263"/>
    </row>
    <row r="132" spans="1:12" ht="22.65" customHeight="1" thickBot="1" x14ac:dyDescent="0.55000000000000004">
      <c r="A132" s="470"/>
      <c r="B132" s="264"/>
      <c r="C132" s="312"/>
      <c r="D132" s="313" t="e">
        <f>#REF!</f>
        <v>#REF!</v>
      </c>
      <c r="E132" s="313" t="e">
        <f>#REF!</f>
        <v>#REF!</v>
      </c>
      <c r="F132" s="314" t="e">
        <f>+E132-D132</f>
        <v>#REF!</v>
      </c>
      <c r="G132" s="315" t="e">
        <f>#REF!</f>
        <v>#REF!</v>
      </c>
      <c r="H132" s="316" t="e">
        <f>#REF!</f>
        <v>#REF!</v>
      </c>
      <c r="I132" s="234"/>
      <c r="J132" s="234"/>
      <c r="K132" s="234"/>
      <c r="L132" s="263"/>
    </row>
    <row r="133" spans="1:12" ht="22.65" customHeight="1" x14ac:dyDescent="0.5">
      <c r="A133" s="470"/>
      <c r="B133" s="294"/>
      <c r="C133" s="312" t="s">
        <v>88</v>
      </c>
      <c r="D133" s="318" t="e">
        <f>#REF!</f>
        <v>#REF!</v>
      </c>
      <c r="E133" s="318" t="e">
        <f>#REF!</f>
        <v>#REF!</v>
      </c>
      <c r="F133" s="319" t="e">
        <f>+E133-D133</f>
        <v>#REF!</v>
      </c>
      <c r="G133" s="320" t="e">
        <f>#REF!</f>
        <v>#REF!</v>
      </c>
      <c r="H133" s="321" t="e">
        <f>#REF!</f>
        <v>#REF!</v>
      </c>
      <c r="I133" s="234"/>
      <c r="J133" s="234"/>
      <c r="K133" s="234"/>
      <c r="L133" s="263"/>
    </row>
    <row r="134" spans="1:12" ht="22.65" customHeight="1" thickBot="1" x14ac:dyDescent="0.55000000000000004">
      <c r="B134" s="322"/>
      <c r="C134" s="323"/>
      <c r="D134" s="324"/>
      <c r="E134" s="324"/>
      <c r="F134" s="325"/>
      <c r="G134" s="325"/>
      <c r="H134" s="325"/>
      <c r="I134" s="234"/>
      <c r="J134" s="234"/>
      <c r="K134" s="234"/>
      <c r="L134" s="263"/>
    </row>
    <row r="135" spans="1:12" ht="22.65" customHeight="1" x14ac:dyDescent="0.5">
      <c r="B135" s="686" t="s">
        <v>89</v>
      </c>
      <c r="C135" s="688"/>
      <c r="D135" s="195" t="s">
        <v>90</v>
      </c>
      <c r="E135" s="196" t="s">
        <v>91</v>
      </c>
      <c r="F135" s="196" t="s">
        <v>92</v>
      </c>
      <c r="G135" s="197" t="s">
        <v>93</v>
      </c>
      <c r="H135" s="183"/>
      <c r="I135" s="234"/>
      <c r="J135" s="234"/>
      <c r="K135" s="234"/>
      <c r="L135" s="263"/>
    </row>
    <row r="136" spans="1:12" ht="22.65" customHeight="1" x14ac:dyDescent="0.5">
      <c r="B136" s="326"/>
      <c r="C136" s="209" t="s">
        <v>94</v>
      </c>
      <c r="D136" s="327">
        <v>7</v>
      </c>
      <c r="E136" s="328">
        <v>7</v>
      </c>
      <c r="F136" s="329">
        <v>0</v>
      </c>
      <c r="G136" s="330">
        <v>0</v>
      </c>
      <c r="H136" s="183"/>
      <c r="I136" s="234"/>
      <c r="J136" s="234"/>
      <c r="K136" s="234"/>
      <c r="L136" s="263"/>
    </row>
    <row r="137" spans="1:12" ht="22.65" customHeight="1" thickBot="1" x14ac:dyDescent="0.55000000000000004">
      <c r="B137" s="326"/>
      <c r="C137" s="209" t="s">
        <v>95</v>
      </c>
      <c r="D137" s="229">
        <v>84</v>
      </c>
      <c r="E137" s="230">
        <v>84</v>
      </c>
      <c r="F137" s="331">
        <v>0</v>
      </c>
      <c r="G137" s="332">
        <v>0</v>
      </c>
      <c r="H137" s="183"/>
      <c r="I137" s="234"/>
      <c r="J137" s="234"/>
      <c r="K137" s="234"/>
      <c r="L137" s="263"/>
    </row>
    <row r="138" spans="1:12" ht="22.65" customHeight="1" x14ac:dyDescent="0.5">
      <c r="B138" s="326"/>
      <c r="C138" s="333"/>
      <c r="D138" s="236"/>
      <c r="E138" s="236"/>
      <c r="F138" s="236"/>
      <c r="G138" s="334"/>
      <c r="H138" s="183"/>
      <c r="I138" s="234"/>
      <c r="J138" s="234"/>
      <c r="K138" s="234"/>
      <c r="L138" s="263"/>
    </row>
    <row r="139" spans="1:12" ht="22.5" customHeight="1" thickBot="1" x14ac:dyDescent="0.55000000000000004">
      <c r="B139" s="686" t="s">
        <v>96</v>
      </c>
      <c r="C139" s="688"/>
      <c r="D139" s="237"/>
      <c r="E139" s="335"/>
      <c r="F139" s="335"/>
      <c r="G139" s="334"/>
      <c r="H139" s="237"/>
      <c r="I139" s="234"/>
      <c r="J139" s="234"/>
      <c r="K139" s="234"/>
      <c r="L139" s="263"/>
    </row>
    <row r="140" spans="1:12" s="189" customFormat="1" ht="22.65" customHeight="1" x14ac:dyDescent="0.5">
      <c r="A140" s="178"/>
      <c r="B140" s="336"/>
      <c r="C140" s="237"/>
      <c r="D140" s="796" t="s">
        <v>97</v>
      </c>
      <c r="E140" s="797"/>
      <c r="F140" s="337"/>
      <c r="G140" s="690"/>
      <c r="H140" s="690"/>
      <c r="I140" s="234"/>
      <c r="J140" s="183"/>
      <c r="K140" s="183"/>
      <c r="L140" s="263"/>
    </row>
    <row r="141" spans="1:12" ht="22.65" customHeight="1" x14ac:dyDescent="0.5">
      <c r="B141" s="336"/>
      <c r="C141" s="237"/>
      <c r="D141" s="339" t="s">
        <v>98</v>
      </c>
      <c r="E141" s="340" t="s">
        <v>99</v>
      </c>
      <c r="F141" s="183"/>
      <c r="G141" s="338"/>
      <c r="H141" s="338"/>
      <c r="I141" s="234"/>
      <c r="J141" s="183"/>
      <c r="K141" s="183"/>
      <c r="L141" s="263"/>
    </row>
    <row r="142" spans="1:12" x14ac:dyDescent="0.5">
      <c r="B142" s="326"/>
      <c r="C142" s="209" t="s">
        <v>100</v>
      </c>
      <c r="D142" s="210">
        <v>0</v>
      </c>
      <c r="E142" s="228">
        <v>0</v>
      </c>
      <c r="F142" s="183"/>
      <c r="G142" s="341"/>
      <c r="H142" s="341"/>
      <c r="I142" s="295"/>
      <c r="J142" s="183"/>
      <c r="K142" s="183"/>
      <c r="L142" s="263"/>
    </row>
    <row r="143" spans="1:12" ht="22.65" customHeight="1" x14ac:dyDescent="0.5">
      <c r="B143" s="326"/>
      <c r="C143" s="209" t="s">
        <v>101</v>
      </c>
      <c r="D143" s="210">
        <v>0</v>
      </c>
      <c r="E143" s="228">
        <v>0</v>
      </c>
      <c r="F143" s="183"/>
      <c r="G143" s="341"/>
      <c r="H143" s="341"/>
      <c r="I143" s="295"/>
      <c r="J143" s="183"/>
      <c r="K143" s="183"/>
      <c r="L143" s="263"/>
    </row>
    <row r="144" spans="1:12" ht="22.65" customHeight="1" x14ac:dyDescent="0.5">
      <c r="B144" s="326"/>
      <c r="C144" s="209" t="s">
        <v>102</v>
      </c>
      <c r="D144" s="210">
        <v>0</v>
      </c>
      <c r="E144" s="228">
        <v>0</v>
      </c>
      <c r="F144" s="183"/>
      <c r="G144" s="341"/>
      <c r="H144" s="341"/>
      <c r="I144" s="295"/>
      <c r="J144" s="183"/>
      <c r="K144" s="183"/>
      <c r="L144" s="263"/>
    </row>
    <row r="145" spans="1:12" ht="22.65" customHeight="1" x14ac:dyDescent="0.5">
      <c r="B145" s="326"/>
      <c r="C145" s="209" t="s">
        <v>103</v>
      </c>
      <c r="D145" s="210">
        <v>0</v>
      </c>
      <c r="E145" s="228">
        <v>0</v>
      </c>
      <c r="F145" s="183"/>
      <c r="G145" s="341"/>
      <c r="H145" s="341"/>
      <c r="I145" s="295"/>
      <c r="J145" s="183"/>
      <c r="K145" s="183"/>
      <c r="L145" s="263"/>
    </row>
    <row r="146" spans="1:12" ht="22.65" customHeight="1" x14ac:dyDescent="0.5">
      <c r="B146" s="326"/>
      <c r="C146" s="209" t="s">
        <v>104</v>
      </c>
      <c r="D146" s="210">
        <v>0</v>
      </c>
      <c r="E146" s="228">
        <v>0</v>
      </c>
      <c r="F146" s="183"/>
      <c r="G146" s="341"/>
      <c r="H146" s="341"/>
      <c r="I146" s="295"/>
      <c r="J146" s="183"/>
      <c r="K146" s="183"/>
      <c r="L146" s="263"/>
    </row>
    <row r="147" spans="1:12" ht="22.65" customHeight="1" x14ac:dyDescent="0.5">
      <c r="B147" s="326"/>
      <c r="C147" s="209" t="s">
        <v>105</v>
      </c>
      <c r="D147" s="210">
        <v>0</v>
      </c>
      <c r="E147" s="228">
        <v>0</v>
      </c>
      <c r="F147" s="183"/>
      <c r="G147" s="341"/>
      <c r="H147" s="341"/>
      <c r="I147" s="295"/>
      <c r="J147" s="183"/>
      <c r="K147" s="183"/>
      <c r="L147" s="263"/>
    </row>
    <row r="148" spans="1:12" ht="22.65" customHeight="1" thickBot="1" x14ac:dyDescent="0.55000000000000004">
      <c r="B148" s="326"/>
      <c r="C148" s="209" t="s">
        <v>106</v>
      </c>
      <c r="D148" s="215">
        <v>0</v>
      </c>
      <c r="E148" s="266">
        <v>0</v>
      </c>
      <c r="F148" s="183"/>
      <c r="G148" s="341"/>
      <c r="H148" s="341"/>
      <c r="I148" s="295"/>
      <c r="J148" s="183"/>
      <c r="K148" s="183"/>
      <c r="L148" s="263"/>
    </row>
    <row r="149" spans="1:12" ht="22.65" customHeight="1" x14ac:dyDescent="0.5">
      <c r="B149" s="326"/>
      <c r="C149" s="333"/>
      <c r="D149" s="237"/>
      <c r="E149" s="237"/>
      <c r="F149" s="265"/>
      <c r="G149" s="342"/>
      <c r="H149" s="342"/>
      <c r="I149" s="295"/>
      <c r="J149" s="183"/>
      <c r="K149" s="183"/>
      <c r="L149" s="263"/>
    </row>
    <row r="150" spans="1:12" ht="22.65" customHeight="1" x14ac:dyDescent="0.5">
      <c r="A150" s="189"/>
      <c r="B150" s="629" t="s">
        <v>139</v>
      </c>
      <c r="C150" s="630"/>
      <c r="D150" s="630"/>
      <c r="E150" s="630"/>
      <c r="F150" s="630"/>
      <c r="G150" s="630"/>
      <c r="H150" s="630"/>
      <c r="I150" s="630"/>
      <c r="J150" s="630"/>
      <c r="K150" s="630"/>
      <c r="L150" s="631"/>
    </row>
    <row r="151" spans="1:12" ht="22.65" customHeight="1" thickBot="1" x14ac:dyDescent="0.55000000000000004">
      <c r="B151" s="686"/>
      <c r="C151" s="688"/>
      <c r="D151" s="293"/>
      <c r="E151" s="293"/>
      <c r="F151" s="293"/>
      <c r="G151" s="293"/>
      <c r="H151" s="293"/>
      <c r="I151" s="237"/>
      <c r="J151" s="234"/>
      <c r="K151" s="234"/>
      <c r="L151" s="263"/>
    </row>
    <row r="152" spans="1:12" ht="22.65" customHeight="1" thickBot="1" x14ac:dyDescent="0.55000000000000004">
      <c r="B152" s="294"/>
      <c r="C152" s="343" t="s">
        <v>140</v>
      </c>
      <c r="D152" s="343"/>
      <c r="E152" s="196" t="s">
        <v>141</v>
      </c>
      <c r="F152" s="197" t="s">
        <v>142</v>
      </c>
      <c r="G152" s="197" t="s">
        <v>143</v>
      </c>
      <c r="H152" s="197" t="s">
        <v>144</v>
      </c>
      <c r="I152" s="234"/>
      <c r="J152" s="234"/>
      <c r="K152" s="234"/>
      <c r="L152" s="263"/>
    </row>
    <row r="153" spans="1:12" ht="22.65" customHeight="1" thickBot="1" x14ac:dyDescent="0.55000000000000004">
      <c r="B153" s="294"/>
      <c r="C153" s="344" t="s">
        <v>145</v>
      </c>
      <c r="D153" s="345"/>
      <c r="E153" s="297"/>
      <c r="F153" s="346"/>
      <c r="G153" s="347"/>
      <c r="H153" s="346"/>
      <c r="I153" s="234"/>
      <c r="J153" s="234"/>
      <c r="K153" s="234"/>
      <c r="L153" s="263"/>
    </row>
    <row r="154" spans="1:12" ht="22.65" customHeight="1" thickBot="1" x14ac:dyDescent="0.55000000000000004">
      <c r="B154" s="294"/>
      <c r="C154" s="348" t="s">
        <v>146</v>
      </c>
      <c r="D154" s="349"/>
      <c r="E154" s="297"/>
      <c r="F154" s="346">
        <v>1</v>
      </c>
      <c r="G154" s="347">
        <v>45950</v>
      </c>
      <c r="H154" s="346"/>
      <c r="I154" s="234"/>
      <c r="J154" s="234"/>
      <c r="K154" s="234"/>
      <c r="L154" s="263"/>
    </row>
    <row r="155" spans="1:12" ht="22.65" customHeight="1" thickBot="1" x14ac:dyDescent="0.55000000000000004">
      <c r="B155" s="294"/>
      <c r="C155" s="348" t="s">
        <v>147</v>
      </c>
      <c r="D155" s="349"/>
      <c r="E155" s="297"/>
      <c r="F155" s="346"/>
      <c r="G155" s="347"/>
      <c r="H155" s="346"/>
      <c r="I155" s="234"/>
      <c r="J155" s="234"/>
      <c r="K155" s="234"/>
      <c r="L155" s="263"/>
    </row>
    <row r="156" spans="1:12" ht="22.65" customHeight="1" thickBot="1" x14ac:dyDescent="0.55000000000000004">
      <c r="B156" s="294"/>
      <c r="C156" s="348" t="s">
        <v>148</v>
      </c>
      <c r="D156" s="349"/>
      <c r="E156" s="297"/>
      <c r="F156" s="346"/>
      <c r="G156" s="347"/>
      <c r="H156" s="346"/>
      <c r="I156" s="234"/>
      <c r="J156" s="234"/>
      <c r="K156" s="234"/>
      <c r="L156" s="263"/>
    </row>
    <row r="157" spans="1:12" ht="22.65" customHeight="1" thickBot="1" x14ac:dyDescent="0.55000000000000004">
      <c r="B157" s="294"/>
      <c r="C157" s="348" t="s">
        <v>149</v>
      </c>
      <c r="D157" s="349"/>
      <c r="E157" s="297"/>
      <c r="F157" s="346">
        <v>1</v>
      </c>
      <c r="G157" s="347">
        <v>45950</v>
      </c>
      <c r="H157" s="346"/>
      <c r="I157" s="234"/>
      <c r="J157" s="234"/>
      <c r="K157" s="234"/>
      <c r="L157" s="263"/>
    </row>
    <row r="158" spans="1:12" ht="22.65" customHeight="1" thickBot="1" x14ac:dyDescent="0.55000000000000004">
      <c r="B158" s="294"/>
      <c r="C158" s="348" t="s">
        <v>150</v>
      </c>
      <c r="D158" s="349"/>
      <c r="E158" s="297"/>
      <c r="F158" s="346"/>
      <c r="G158" s="347"/>
      <c r="H158" s="346"/>
      <c r="I158" s="234"/>
      <c r="J158" s="234"/>
      <c r="K158" s="234"/>
      <c r="L158" s="263"/>
    </row>
    <row r="159" spans="1:12" ht="22.65" customHeight="1" thickBot="1" x14ac:dyDescent="0.55000000000000004">
      <c r="B159" s="294"/>
      <c r="C159" s="348" t="s">
        <v>151</v>
      </c>
      <c r="D159" s="349"/>
      <c r="E159" s="297"/>
      <c r="F159" s="346"/>
      <c r="G159" s="347"/>
      <c r="H159" s="346"/>
      <c r="I159" s="234"/>
      <c r="J159" s="234"/>
      <c r="K159" s="234"/>
      <c r="L159" s="263"/>
    </row>
    <row r="160" spans="1:12" ht="22.65" customHeight="1" thickBot="1" x14ac:dyDescent="0.55000000000000004">
      <c r="B160" s="294"/>
      <c r="C160" s="348" t="s">
        <v>152</v>
      </c>
      <c r="D160" s="349"/>
      <c r="E160" s="297"/>
      <c r="F160" s="346"/>
      <c r="G160" s="347"/>
      <c r="H160" s="346"/>
      <c r="I160" s="234"/>
      <c r="J160" s="234"/>
      <c r="K160" s="234"/>
      <c r="L160" s="263"/>
    </row>
    <row r="161" spans="2:12" ht="22.65" customHeight="1" thickBot="1" x14ac:dyDescent="0.55000000000000004">
      <c r="B161" s="294"/>
      <c r="C161" s="348" t="s">
        <v>153</v>
      </c>
      <c r="D161" s="349"/>
      <c r="E161" s="297"/>
      <c r="F161" s="346"/>
      <c r="G161" s="347"/>
      <c r="H161" s="346"/>
      <c r="I161" s="234"/>
      <c r="J161" s="234"/>
      <c r="K161" s="234"/>
      <c r="L161" s="263"/>
    </row>
    <row r="162" spans="2:12" ht="22.65" customHeight="1" thickBot="1" x14ac:dyDescent="0.55000000000000004">
      <c r="B162" s="294"/>
      <c r="C162" s="348" t="s">
        <v>154</v>
      </c>
      <c r="D162" s="349"/>
      <c r="E162" s="297"/>
      <c r="F162" s="346"/>
      <c r="G162" s="347"/>
      <c r="H162" s="346"/>
      <c r="I162" s="234"/>
      <c r="J162" s="234"/>
      <c r="K162" s="234"/>
      <c r="L162" s="263"/>
    </row>
    <row r="163" spans="2:12" ht="22.65" customHeight="1" thickBot="1" x14ac:dyDescent="0.55000000000000004">
      <c r="B163" s="294"/>
      <c r="C163" s="348" t="s">
        <v>155</v>
      </c>
      <c r="D163" s="349"/>
      <c r="E163" s="297"/>
      <c r="F163" s="346"/>
      <c r="G163" s="347"/>
      <c r="H163" s="346"/>
      <c r="I163" s="234"/>
      <c r="J163" s="234"/>
      <c r="K163" s="234"/>
      <c r="L163" s="263"/>
    </row>
    <row r="164" spans="2:12" ht="22.65" customHeight="1" thickBot="1" x14ac:dyDescent="0.55000000000000004">
      <c r="B164" s="294"/>
      <c r="C164" s="348" t="s">
        <v>156</v>
      </c>
      <c r="D164" s="349"/>
      <c r="E164" s="297"/>
      <c r="F164" s="346"/>
      <c r="G164" s="347"/>
      <c r="H164" s="346"/>
      <c r="I164" s="234"/>
      <c r="J164" s="234"/>
      <c r="K164" s="234"/>
      <c r="L164" s="263"/>
    </row>
    <row r="165" spans="2:12" ht="22.65" customHeight="1" thickBot="1" x14ac:dyDescent="0.55000000000000004">
      <c r="B165" s="294"/>
      <c r="C165" s="348" t="s">
        <v>157</v>
      </c>
      <c r="D165" s="349"/>
      <c r="E165" s="297"/>
      <c r="F165" s="346"/>
      <c r="G165" s="347"/>
      <c r="H165" s="346"/>
      <c r="I165" s="234"/>
      <c r="J165" s="234"/>
      <c r="K165" s="234"/>
      <c r="L165" s="263"/>
    </row>
    <row r="166" spans="2:12" ht="22.65" customHeight="1" thickBot="1" x14ac:dyDescent="0.55000000000000004">
      <c r="B166" s="294"/>
      <c r="C166" s="348" t="s">
        <v>158</v>
      </c>
      <c r="D166" s="349"/>
      <c r="E166" s="297"/>
      <c r="F166" s="346"/>
      <c r="G166" s="347"/>
      <c r="H166" s="346"/>
      <c r="I166" s="234"/>
      <c r="J166" s="234"/>
      <c r="K166" s="234"/>
      <c r="L166" s="263"/>
    </row>
    <row r="167" spans="2:12" ht="22.65" customHeight="1" thickBot="1" x14ac:dyDescent="0.55000000000000004">
      <c r="B167" s="294"/>
      <c r="C167" s="348" t="s">
        <v>159</v>
      </c>
      <c r="D167" s="349"/>
      <c r="E167" s="297"/>
      <c r="F167" s="346"/>
      <c r="G167" s="347"/>
      <c r="H167" s="346"/>
      <c r="I167" s="234"/>
      <c r="J167" s="234"/>
      <c r="K167" s="234"/>
      <c r="L167" s="263"/>
    </row>
    <row r="168" spans="2:12" ht="22.65" customHeight="1" thickBot="1" x14ac:dyDescent="0.55000000000000004">
      <c r="B168" s="294"/>
      <c r="C168" s="348" t="s">
        <v>158</v>
      </c>
      <c r="D168" s="349"/>
      <c r="E168" s="297"/>
      <c r="F168" s="346"/>
      <c r="G168" s="347"/>
      <c r="H168" s="346"/>
      <c r="I168" s="234"/>
      <c r="J168" s="234"/>
      <c r="K168" s="234"/>
      <c r="L168" s="263"/>
    </row>
    <row r="169" spans="2:12" ht="22.65" customHeight="1" thickBot="1" x14ac:dyDescent="0.55000000000000004">
      <c r="B169" s="294"/>
      <c r="C169" s="348" t="s">
        <v>160</v>
      </c>
      <c r="D169" s="349"/>
      <c r="E169" s="297"/>
      <c r="F169" s="346">
        <v>1</v>
      </c>
      <c r="G169" s="347">
        <v>45951</v>
      </c>
      <c r="H169" s="346"/>
      <c r="I169" s="234"/>
      <c r="J169" s="234"/>
      <c r="K169" s="234"/>
      <c r="L169" s="263"/>
    </row>
    <row r="170" spans="2:12" ht="22.65" customHeight="1" thickBot="1" x14ac:dyDescent="0.55000000000000004">
      <c r="B170" s="294"/>
      <c r="C170" s="348" t="s">
        <v>161</v>
      </c>
      <c r="D170" s="349"/>
      <c r="E170" s="297"/>
      <c r="F170" s="346"/>
      <c r="G170" s="347"/>
      <c r="H170" s="346"/>
      <c r="I170" s="234"/>
      <c r="J170" s="234"/>
      <c r="K170" s="234"/>
      <c r="L170" s="263"/>
    </row>
    <row r="171" spans="2:12" ht="22.65" customHeight="1" thickBot="1" x14ac:dyDescent="0.55000000000000004">
      <c r="B171" s="294"/>
      <c r="C171" s="348" t="s">
        <v>162</v>
      </c>
      <c r="D171" s="349"/>
      <c r="E171" s="297"/>
      <c r="F171" s="346"/>
      <c r="G171" s="347"/>
      <c r="H171" s="346"/>
      <c r="I171" s="234"/>
      <c r="J171" s="234"/>
      <c r="K171" s="234"/>
      <c r="L171" s="263"/>
    </row>
    <row r="172" spans="2:12" ht="22.65" customHeight="1" thickBot="1" x14ac:dyDescent="0.55000000000000004">
      <c r="B172" s="294"/>
      <c r="C172" s="348" t="s">
        <v>163</v>
      </c>
      <c r="D172" s="349"/>
      <c r="E172" s="297"/>
      <c r="F172" s="346"/>
      <c r="G172" s="347"/>
      <c r="H172" s="346"/>
      <c r="I172" s="234"/>
      <c r="J172" s="234"/>
      <c r="K172" s="234"/>
      <c r="L172" s="263"/>
    </row>
    <row r="173" spans="2:12" ht="22.65" customHeight="1" thickBot="1" x14ac:dyDescent="0.55000000000000004">
      <c r="B173" s="294"/>
      <c r="C173" s="348" t="s">
        <v>164</v>
      </c>
      <c r="D173" s="349"/>
      <c r="E173" s="297"/>
      <c r="F173" s="346"/>
      <c r="G173" s="347"/>
      <c r="H173" s="346"/>
      <c r="I173" s="234"/>
      <c r="J173" s="234"/>
      <c r="K173" s="234"/>
      <c r="L173" s="263"/>
    </row>
    <row r="174" spans="2:12" ht="22.65" customHeight="1" thickBot="1" x14ac:dyDescent="0.55000000000000004">
      <c r="B174" s="294"/>
      <c r="C174" s="348" t="s">
        <v>165</v>
      </c>
      <c r="D174" s="349"/>
      <c r="E174" s="297"/>
      <c r="F174" s="346"/>
      <c r="G174" s="347"/>
      <c r="H174" s="346"/>
      <c r="I174" s="234"/>
      <c r="J174" s="234"/>
      <c r="K174" s="234"/>
      <c r="L174" s="263"/>
    </row>
    <row r="175" spans="2:12" ht="22.65" customHeight="1" thickBot="1" x14ac:dyDescent="0.55000000000000004">
      <c r="B175" s="294"/>
      <c r="C175" s="348" t="s">
        <v>166</v>
      </c>
      <c r="D175" s="349"/>
      <c r="E175" s="297"/>
      <c r="F175" s="346">
        <v>1</v>
      </c>
      <c r="G175" s="347">
        <v>45950</v>
      </c>
      <c r="H175" s="346"/>
      <c r="I175" s="234"/>
      <c r="J175" s="234"/>
      <c r="K175" s="234"/>
      <c r="L175" s="263"/>
    </row>
    <row r="176" spans="2:12" ht="22.65" customHeight="1" thickBot="1" x14ac:dyDescent="0.55000000000000004">
      <c r="B176" s="294"/>
      <c r="C176" s="348" t="s">
        <v>167</v>
      </c>
      <c r="D176" s="349"/>
      <c r="E176" s="297"/>
      <c r="F176" s="346"/>
      <c r="G176" s="347"/>
      <c r="H176" s="346"/>
      <c r="I176" s="234"/>
      <c r="J176" s="234"/>
      <c r="K176" s="234"/>
      <c r="L176" s="263"/>
    </row>
    <row r="177" spans="1:12" ht="22.65" customHeight="1" thickBot="1" x14ac:dyDescent="0.55000000000000004">
      <c r="B177" s="294"/>
      <c r="C177" s="348" t="s">
        <v>168</v>
      </c>
      <c r="D177" s="349"/>
      <c r="E177" s="297"/>
      <c r="F177" s="346"/>
      <c r="G177" s="347"/>
      <c r="H177" s="346"/>
      <c r="I177" s="234"/>
      <c r="J177" s="234"/>
      <c r="K177" s="234"/>
      <c r="L177" s="263"/>
    </row>
    <row r="178" spans="1:12" ht="22.65" customHeight="1" thickBot="1" x14ac:dyDescent="0.55000000000000004">
      <c r="B178" s="294"/>
      <c r="C178" s="348" t="s">
        <v>169</v>
      </c>
      <c r="D178" s="349"/>
      <c r="E178" s="297"/>
      <c r="F178" s="346"/>
      <c r="G178" s="347"/>
      <c r="H178" s="346"/>
      <c r="I178" s="234"/>
      <c r="J178" s="234"/>
      <c r="K178" s="234"/>
      <c r="L178" s="263"/>
    </row>
    <row r="179" spans="1:12" ht="22.65" customHeight="1" thickBot="1" x14ac:dyDescent="0.55000000000000004">
      <c r="B179" s="294"/>
      <c r="C179" s="350" t="s">
        <v>170</v>
      </c>
      <c r="D179" s="349"/>
      <c r="E179" s="299"/>
      <c r="F179" s="346">
        <v>1</v>
      </c>
      <c r="G179" s="347">
        <v>45931</v>
      </c>
      <c r="H179" s="347"/>
      <c r="I179" s="234"/>
      <c r="J179" s="234"/>
      <c r="K179" s="234"/>
      <c r="L179" s="263"/>
    </row>
    <row r="180" spans="1:12" s="189" customFormat="1" ht="22.5" customHeight="1" thickBot="1" x14ac:dyDescent="0.55000000000000004">
      <c r="A180" s="178"/>
      <c r="B180" s="294"/>
      <c r="C180" s="350" t="s">
        <v>171</v>
      </c>
      <c r="D180" s="349"/>
      <c r="E180" s="299"/>
      <c r="F180" s="346">
        <v>1</v>
      </c>
      <c r="G180" s="347">
        <v>45931</v>
      </c>
      <c r="H180" s="347"/>
      <c r="I180" s="234"/>
      <c r="J180" s="234"/>
      <c r="K180" s="234"/>
      <c r="L180" s="263"/>
    </row>
    <row r="181" spans="1:12" ht="22.65" customHeight="1" thickBot="1" x14ac:dyDescent="0.55000000000000004">
      <c r="B181" s="294"/>
      <c r="C181" s="350" t="s">
        <v>172</v>
      </c>
      <c r="D181" s="349"/>
      <c r="E181" s="299"/>
      <c r="F181" s="346">
        <v>1</v>
      </c>
      <c r="G181" s="347">
        <v>45932</v>
      </c>
      <c r="H181" s="347">
        <v>46027</v>
      </c>
      <c r="I181" s="234"/>
      <c r="J181" s="234"/>
      <c r="K181" s="234"/>
      <c r="L181" s="263"/>
    </row>
    <row r="182" spans="1:12" ht="22.65" customHeight="1" thickBot="1" x14ac:dyDescent="0.55000000000000004">
      <c r="B182" s="294"/>
      <c r="C182" s="350" t="s">
        <v>173</v>
      </c>
      <c r="D182" s="349"/>
      <c r="E182" s="299"/>
      <c r="F182" s="346">
        <v>1</v>
      </c>
      <c r="G182" s="347">
        <v>45933</v>
      </c>
      <c r="H182" s="347">
        <v>46027</v>
      </c>
      <c r="I182" s="234"/>
      <c r="J182" s="234"/>
      <c r="K182" s="234"/>
      <c r="L182" s="263"/>
    </row>
    <row r="183" spans="1:12" ht="41.4" customHeight="1" thickBot="1" x14ac:dyDescent="0.55000000000000004">
      <c r="B183" s="294"/>
      <c r="C183" s="350" t="s">
        <v>174</v>
      </c>
      <c r="D183" s="349"/>
      <c r="E183" s="299"/>
      <c r="F183" s="346">
        <v>1</v>
      </c>
      <c r="G183" s="347">
        <v>45943</v>
      </c>
      <c r="H183" s="347"/>
      <c r="I183" s="234"/>
      <c r="J183" s="234"/>
      <c r="K183" s="234"/>
      <c r="L183" s="263"/>
    </row>
    <row r="184" spans="1:12" ht="30.65" customHeight="1" thickBot="1" x14ac:dyDescent="0.55000000000000004">
      <c r="B184" s="294"/>
      <c r="C184" s="350" t="s">
        <v>175</v>
      </c>
      <c r="D184" s="349"/>
      <c r="E184" s="299"/>
      <c r="F184" s="346">
        <v>1</v>
      </c>
      <c r="G184" s="347">
        <v>45943</v>
      </c>
      <c r="H184" s="347">
        <v>45964</v>
      </c>
      <c r="I184" s="234"/>
      <c r="J184" s="234"/>
      <c r="K184" s="234"/>
      <c r="L184" s="263"/>
    </row>
    <row r="185" spans="1:12" ht="32.15" customHeight="1" thickBot="1" x14ac:dyDescent="0.55000000000000004">
      <c r="B185" s="294"/>
      <c r="C185" s="351" t="s">
        <v>176</v>
      </c>
      <c r="D185" s="352"/>
      <c r="E185" s="299"/>
      <c r="F185" s="346">
        <v>1</v>
      </c>
      <c r="G185" s="347">
        <v>45943</v>
      </c>
      <c r="H185" s="347">
        <v>46027</v>
      </c>
      <c r="I185" s="234"/>
      <c r="J185" s="234"/>
      <c r="K185" s="234"/>
      <c r="L185" s="263"/>
    </row>
    <row r="186" spans="1:12" ht="39" customHeight="1" thickBot="1" x14ac:dyDescent="0.55000000000000004">
      <c r="B186" s="294"/>
      <c r="C186" s="351" t="s">
        <v>170</v>
      </c>
      <c r="D186" s="352"/>
      <c r="E186" s="299"/>
      <c r="F186" s="346">
        <v>1</v>
      </c>
      <c r="G186" s="347">
        <v>45957</v>
      </c>
      <c r="H186" s="347"/>
      <c r="I186" s="234"/>
      <c r="J186" s="234"/>
      <c r="K186" s="234"/>
      <c r="L186" s="263"/>
    </row>
    <row r="187" spans="1:12" ht="22.4" customHeight="1" thickBot="1" x14ac:dyDescent="0.55000000000000004">
      <c r="B187" s="294"/>
      <c r="C187" s="351" t="s">
        <v>170</v>
      </c>
      <c r="D187" s="352"/>
      <c r="E187" s="299"/>
      <c r="F187" s="346">
        <v>1</v>
      </c>
      <c r="G187" s="347">
        <v>45957</v>
      </c>
      <c r="H187" s="347">
        <v>46027</v>
      </c>
      <c r="I187" s="234"/>
      <c r="J187" s="234"/>
      <c r="K187" s="234"/>
      <c r="L187" s="263"/>
    </row>
    <row r="188" spans="1:12" ht="22.65" hidden="1" customHeight="1" x14ac:dyDescent="0.55000000000000004">
      <c r="B188" s="294"/>
      <c r="C188" s="351" t="s">
        <v>304</v>
      </c>
      <c r="D188" s="352"/>
      <c r="E188" s="299"/>
      <c r="F188" s="346">
        <v>1</v>
      </c>
      <c r="G188" s="347">
        <v>46008</v>
      </c>
      <c r="H188" s="347"/>
      <c r="I188" s="234"/>
      <c r="J188" s="234"/>
      <c r="K188" s="234"/>
      <c r="L188" s="263"/>
    </row>
    <row r="189" spans="1:12" ht="60" hidden="1" customHeight="1" thickBot="1" x14ac:dyDescent="0.55000000000000004">
      <c r="B189" s="294"/>
      <c r="C189" s="353" t="s">
        <v>177</v>
      </c>
      <c r="D189" s="354"/>
      <c r="E189" s="297"/>
      <c r="F189" s="346">
        <v>1</v>
      </c>
      <c r="G189" s="347">
        <v>45943</v>
      </c>
      <c r="H189" s="347">
        <v>46027</v>
      </c>
      <c r="I189" s="234"/>
      <c r="J189" s="234"/>
      <c r="K189" s="234"/>
      <c r="L189" s="263"/>
    </row>
    <row r="190" spans="1:12" ht="22.65" hidden="1" customHeight="1" x14ac:dyDescent="0.55000000000000004">
      <c r="B190" s="294"/>
      <c r="C190" s="574" t="s">
        <v>276</v>
      </c>
      <c r="E190" s="297"/>
      <c r="F190" s="346">
        <v>1</v>
      </c>
      <c r="G190" s="347">
        <v>45981</v>
      </c>
      <c r="H190" s="347"/>
      <c r="I190" s="234"/>
      <c r="J190" s="234"/>
      <c r="K190" s="234"/>
      <c r="L190" s="263"/>
    </row>
    <row r="191" spans="1:12" ht="22.65" hidden="1" customHeight="1" thickBot="1" x14ac:dyDescent="0.5">
      <c r="A191" s="189"/>
      <c r="B191" s="629" t="s">
        <v>178</v>
      </c>
      <c r="C191" s="776"/>
      <c r="D191" s="776"/>
      <c r="E191" s="630"/>
      <c r="F191" s="630"/>
      <c r="G191" s="630"/>
      <c r="H191" s="630"/>
      <c r="I191" s="630"/>
      <c r="J191" s="630"/>
      <c r="K191" s="630"/>
      <c r="L191" s="631"/>
    </row>
    <row r="192" spans="1:12" ht="42.75" hidden="1" customHeight="1" x14ac:dyDescent="0.5">
      <c r="B192" s="682" t="s">
        <v>179</v>
      </c>
      <c r="C192" s="683"/>
      <c r="D192" s="355"/>
      <c r="E192" s="355"/>
      <c r="F192" s="355"/>
      <c r="G192" s="355"/>
      <c r="H192" s="355"/>
      <c r="I192" s="355"/>
      <c r="J192" s="355"/>
      <c r="K192" s="355"/>
      <c r="L192" s="356"/>
    </row>
    <row r="193" spans="1:12" ht="22.5" hidden="1" customHeight="1" x14ac:dyDescent="0.5">
      <c r="B193" s="357"/>
      <c r="C193" s="358" t="s">
        <v>84</v>
      </c>
      <c r="D193" s="359"/>
      <c r="E193" s="359"/>
      <c r="F193" s="359"/>
      <c r="G193" s="359"/>
      <c r="H193" s="359"/>
      <c r="I193" s="359"/>
      <c r="J193" s="359"/>
      <c r="K193" s="359"/>
      <c r="L193" s="360"/>
    </row>
    <row r="194" spans="1:12" ht="22.5" hidden="1" customHeight="1" thickBot="1" x14ac:dyDescent="0.5">
      <c r="B194" s="748" t="s">
        <v>180</v>
      </c>
      <c r="C194" s="751"/>
      <c r="D194" s="752"/>
      <c r="E194" s="752"/>
      <c r="F194" s="752"/>
      <c r="G194" s="752"/>
      <c r="H194" s="752"/>
      <c r="I194" s="752"/>
      <c r="J194" s="752"/>
      <c r="K194" s="753"/>
      <c r="L194" s="360"/>
    </row>
    <row r="195" spans="1:12" ht="22.65" customHeight="1" x14ac:dyDescent="0.5">
      <c r="B195" s="749"/>
      <c r="C195" s="751"/>
      <c r="D195" s="752"/>
      <c r="E195" s="752"/>
      <c r="F195" s="752"/>
      <c r="G195" s="752"/>
      <c r="H195" s="752"/>
      <c r="I195" s="752"/>
      <c r="J195" s="752"/>
      <c r="K195" s="753"/>
      <c r="L195" s="360"/>
    </row>
    <row r="196" spans="1:12" ht="22.65" customHeight="1" x14ac:dyDescent="0.5">
      <c r="B196" s="749"/>
      <c r="C196" s="751"/>
      <c r="D196" s="752"/>
      <c r="E196" s="752"/>
      <c r="F196" s="752"/>
      <c r="G196" s="752"/>
      <c r="H196" s="752"/>
      <c r="I196" s="752"/>
      <c r="J196" s="752"/>
      <c r="K196" s="753"/>
      <c r="L196" s="360"/>
    </row>
    <row r="197" spans="1:12" ht="32.25" customHeight="1" x14ac:dyDescent="0.5">
      <c r="B197" s="750"/>
      <c r="C197" s="751"/>
      <c r="D197" s="752"/>
      <c r="E197" s="752"/>
      <c r="F197" s="752"/>
      <c r="G197" s="752"/>
      <c r="H197" s="752"/>
      <c r="I197" s="752"/>
      <c r="J197" s="752"/>
      <c r="K197" s="753"/>
      <c r="L197" s="360"/>
    </row>
    <row r="198" spans="1:12" ht="22.65" customHeight="1" x14ac:dyDescent="0.5">
      <c r="B198" s="357"/>
      <c r="C198" s="361"/>
      <c r="D198" s="361"/>
      <c r="E198" s="361"/>
      <c r="F198" s="361"/>
      <c r="G198" s="361"/>
      <c r="H198" s="361"/>
      <c r="I198" s="361"/>
      <c r="J198" s="361"/>
      <c r="K198" s="361"/>
      <c r="L198" s="360"/>
    </row>
    <row r="199" spans="1:12" ht="22.65" customHeight="1" thickBot="1" x14ac:dyDescent="0.55000000000000004">
      <c r="B199" s="686" t="s">
        <v>181</v>
      </c>
      <c r="C199" s="688"/>
      <c r="D199" s="362"/>
      <c r="E199" s="362"/>
      <c r="F199" s="362"/>
      <c r="G199" s="362"/>
      <c r="H199" s="362"/>
      <c r="I199" s="362"/>
      <c r="J199" s="362"/>
      <c r="K199" s="362"/>
      <c r="L199" s="360"/>
    </row>
    <row r="200" spans="1:12" s="189" customFormat="1" ht="22.65" customHeight="1" thickBot="1" x14ac:dyDescent="0.55000000000000004">
      <c r="A200" s="178"/>
      <c r="B200" s="363"/>
      <c r="C200" s="741" t="s">
        <v>182</v>
      </c>
      <c r="D200" s="742"/>
      <c r="E200" s="364" t="s">
        <v>183</v>
      </c>
      <c r="F200" s="364" t="s">
        <v>184</v>
      </c>
      <c r="G200" s="365" t="s">
        <v>185</v>
      </c>
      <c r="H200" s="183"/>
      <c r="I200" s="183"/>
      <c r="J200" s="183"/>
      <c r="K200" s="183"/>
      <c r="L200" s="256"/>
    </row>
    <row r="201" spans="1:12" ht="22.65" customHeight="1" thickBot="1" x14ac:dyDescent="0.55000000000000004">
      <c r="B201" s="366" t="s">
        <v>186</v>
      </c>
      <c r="C201" s="743"/>
      <c r="D201" s="744"/>
      <c r="E201" s="367"/>
      <c r="F201" s="367">
        <f>+C201-E201</f>
        <v>0</v>
      </c>
      <c r="G201" s="368">
        <v>0</v>
      </c>
      <c r="H201" s="183"/>
      <c r="I201" s="183"/>
      <c r="J201" s="183"/>
      <c r="K201" s="183"/>
      <c r="L201" s="256"/>
    </row>
    <row r="202" spans="1:12" ht="22.65" customHeight="1" thickBot="1" x14ac:dyDescent="0.55000000000000004">
      <c r="B202" s="366"/>
      <c r="C202" s="369"/>
      <c r="D202" s="369"/>
      <c r="E202" s="359"/>
      <c r="F202" s="370"/>
      <c r="G202" s="183"/>
      <c r="H202" s="183"/>
      <c r="I202" s="183"/>
      <c r="J202" s="183"/>
      <c r="K202" s="183"/>
      <c r="L202" s="256"/>
    </row>
    <row r="203" spans="1:12" ht="22.65" customHeight="1" thickBot="1" x14ac:dyDescent="0.55000000000000004">
      <c r="B203" s="371"/>
      <c r="C203" s="372" t="s">
        <v>187</v>
      </c>
      <c r="D203" s="364" t="s">
        <v>188</v>
      </c>
      <c r="E203" s="364" t="s">
        <v>189</v>
      </c>
      <c r="F203" s="365" t="s">
        <v>190</v>
      </c>
      <c r="G203" s="365" t="s">
        <v>191</v>
      </c>
      <c r="H203" s="183"/>
      <c r="I203" s="745"/>
      <c r="J203" s="745"/>
      <c r="K203" s="745"/>
      <c r="L203" s="746"/>
    </row>
    <row r="204" spans="1:12" ht="22.65" customHeight="1" thickBot="1" x14ac:dyDescent="0.55000000000000004">
      <c r="B204" s="366" t="s">
        <v>192</v>
      </c>
      <c r="C204" s="373"/>
      <c r="D204" s="374"/>
      <c r="E204" s="375">
        <v>0</v>
      </c>
      <c r="F204" s="376">
        <v>0</v>
      </c>
      <c r="G204" s="376">
        <v>0</v>
      </c>
      <c r="H204" s="377"/>
      <c r="I204" s="745"/>
      <c r="J204" s="745"/>
      <c r="K204" s="745"/>
      <c r="L204" s="746"/>
    </row>
    <row r="205" spans="1:12" ht="76.400000000000006" customHeight="1" x14ac:dyDescent="0.5">
      <c r="B205" s="366"/>
      <c r="C205" s="378"/>
      <c r="D205" s="379"/>
      <c r="E205" s="378"/>
      <c r="F205" s="380"/>
      <c r="G205" s="377"/>
      <c r="H205" s="377"/>
      <c r="I205" s="377"/>
      <c r="J205" s="377"/>
      <c r="K205" s="377"/>
      <c r="L205" s="381"/>
    </row>
    <row r="206" spans="1:12" ht="22.65" customHeight="1" x14ac:dyDescent="0.5">
      <c r="B206" s="371"/>
      <c r="C206" s="382" t="s">
        <v>46</v>
      </c>
      <c r="D206" s="359"/>
      <c r="E206" s="359"/>
      <c r="F206" s="370"/>
      <c r="G206" s="377"/>
      <c r="H206" s="377"/>
      <c r="I206" s="377"/>
      <c r="J206" s="377"/>
      <c r="K206" s="377"/>
      <c r="L206" s="381"/>
    </row>
    <row r="207" spans="1:12" ht="22.65" customHeight="1" thickBot="1" x14ac:dyDescent="0.55000000000000004">
      <c r="B207" s="686" t="s">
        <v>193</v>
      </c>
      <c r="C207" s="688"/>
      <c r="D207" s="380"/>
      <c r="E207" s="359"/>
      <c r="F207" s="370"/>
      <c r="G207" s="370"/>
      <c r="H207" s="370"/>
      <c r="I207" s="370"/>
      <c r="J207" s="370"/>
      <c r="K207" s="370"/>
      <c r="L207" s="383"/>
    </row>
    <row r="208" spans="1:12" ht="22.65" customHeight="1" x14ac:dyDescent="0.5">
      <c r="B208" s="384"/>
      <c r="C208" s="385" t="s">
        <v>194</v>
      </c>
      <c r="D208" s="386" t="s">
        <v>195</v>
      </c>
      <c r="E208" s="386" t="s">
        <v>196</v>
      </c>
      <c r="F208" s="387" t="s">
        <v>197</v>
      </c>
      <c r="G208" s="388"/>
      <c r="H208" s="388"/>
      <c r="I208" s="388"/>
      <c r="J208" s="388"/>
      <c r="K208" s="388"/>
      <c r="L208" s="383"/>
    </row>
    <row r="209" spans="1:12" ht="22.65" customHeight="1" thickBot="1" x14ac:dyDescent="0.55000000000000004">
      <c r="B209" s="384"/>
      <c r="C209" s="389">
        <v>0</v>
      </c>
      <c r="D209" s="390">
        <v>0</v>
      </c>
      <c r="E209" s="390">
        <v>0</v>
      </c>
      <c r="F209" s="391">
        <v>0</v>
      </c>
      <c r="G209" s="388"/>
      <c r="H209" s="388"/>
      <c r="I209" s="388"/>
      <c r="J209" s="388"/>
      <c r="K209" s="388"/>
      <c r="L209" s="383"/>
    </row>
    <row r="210" spans="1:12" ht="22.65" customHeight="1" x14ac:dyDescent="0.5">
      <c r="B210" s="384"/>
      <c r="C210" s="388"/>
      <c r="D210" s="388"/>
      <c r="E210" s="388"/>
      <c r="F210" s="388"/>
      <c r="G210" s="388"/>
      <c r="H210" s="388"/>
      <c r="I210" s="388"/>
      <c r="J210" s="388"/>
      <c r="K210" s="388"/>
      <c r="L210" s="383"/>
    </row>
    <row r="211" spans="1:12" ht="22.65" customHeight="1" x14ac:dyDescent="0.5">
      <c r="A211" s="189"/>
      <c r="B211" s="629" t="s">
        <v>107</v>
      </c>
      <c r="C211" s="630"/>
      <c r="D211" s="630"/>
      <c r="E211" s="630"/>
      <c r="F211" s="630"/>
      <c r="G211" s="630"/>
      <c r="H211" s="630"/>
      <c r="I211" s="630"/>
      <c r="J211" s="630"/>
      <c r="K211" s="630"/>
      <c r="L211" s="631"/>
    </row>
    <row r="212" spans="1:12" ht="22.65" customHeight="1" x14ac:dyDescent="0.5">
      <c r="B212" s="671" t="s">
        <v>108</v>
      </c>
      <c r="C212" s="672"/>
      <c r="D212" s="392"/>
      <c r="E212" s="392"/>
      <c r="F212" s="392"/>
      <c r="G212" s="392"/>
      <c r="H212" s="392"/>
      <c r="J212" s="392"/>
      <c r="K212" s="392"/>
      <c r="L212" s="393"/>
    </row>
    <row r="213" spans="1:12" ht="22.65" customHeight="1" x14ac:dyDescent="0.5">
      <c r="B213" s="267"/>
      <c r="C213" s="696" t="s">
        <v>310</v>
      </c>
      <c r="D213" s="697"/>
      <c r="E213" s="697"/>
      <c r="F213" s="697"/>
      <c r="G213" s="697"/>
      <c r="H213" s="697"/>
      <c r="I213" s="697"/>
      <c r="J213" s="697"/>
      <c r="K213" s="698"/>
      <c r="L213" s="394"/>
    </row>
    <row r="214" spans="1:12" ht="22.4" customHeight="1" x14ac:dyDescent="0.5">
      <c r="B214" s="267"/>
      <c r="C214" s="699"/>
      <c r="D214" s="700"/>
      <c r="E214" s="700"/>
      <c r="F214" s="700"/>
      <c r="G214" s="700"/>
      <c r="H214" s="700"/>
      <c r="I214" s="700"/>
      <c r="J214" s="700"/>
      <c r="K214" s="701"/>
      <c r="L214" s="394"/>
    </row>
    <row r="215" spans="1:12" ht="22.4" customHeight="1" x14ac:dyDescent="0.5">
      <c r="B215" s="267"/>
      <c r="C215" s="699"/>
      <c r="D215" s="700"/>
      <c r="E215" s="700"/>
      <c r="F215" s="700"/>
      <c r="G215" s="700"/>
      <c r="H215" s="700"/>
      <c r="I215" s="700"/>
      <c r="J215" s="700"/>
      <c r="K215" s="701"/>
      <c r="L215" s="394"/>
    </row>
    <row r="216" spans="1:12" ht="22.65" customHeight="1" x14ac:dyDescent="0.5">
      <c r="B216" s="267"/>
      <c r="C216" s="702"/>
      <c r="D216" s="703"/>
      <c r="E216" s="703"/>
      <c r="F216" s="703"/>
      <c r="G216" s="703"/>
      <c r="H216" s="703"/>
      <c r="I216" s="703"/>
      <c r="J216" s="703"/>
      <c r="K216" s="704"/>
      <c r="L216" s="394"/>
    </row>
    <row r="217" spans="1:12" ht="22.65" customHeight="1" x14ac:dyDescent="0.5">
      <c r="B217" s="693" t="s">
        <v>305</v>
      </c>
      <c r="C217" s="694"/>
      <c r="D217" s="694"/>
      <c r="E217" s="694"/>
      <c r="F217" s="694"/>
      <c r="G217" s="694"/>
      <c r="H217" s="694"/>
      <c r="I217" s="694"/>
      <c r="J217" s="694"/>
      <c r="K217" s="694"/>
      <c r="L217" s="695"/>
    </row>
    <row r="218" spans="1:12" ht="22.65" customHeight="1" x14ac:dyDescent="0.5">
      <c r="B218" s="671" t="s">
        <v>109</v>
      </c>
      <c r="C218" s="672"/>
      <c r="D218" s="392"/>
      <c r="E218" s="392"/>
      <c r="F218" s="392"/>
      <c r="G218" s="392"/>
      <c r="H218" s="392"/>
      <c r="I218" s="392"/>
      <c r="J218" s="392"/>
      <c r="K218" s="392"/>
      <c r="L218" s="393"/>
    </row>
    <row r="219" spans="1:12" ht="22.65" customHeight="1" x14ac:dyDescent="0.5">
      <c r="B219" s="267"/>
      <c r="C219" s="696" t="s">
        <v>302</v>
      </c>
      <c r="D219" s="697"/>
      <c r="E219" s="697"/>
      <c r="F219" s="697"/>
      <c r="G219" s="697"/>
      <c r="H219" s="697"/>
      <c r="I219" s="697"/>
      <c r="J219" s="697"/>
      <c r="K219" s="698"/>
      <c r="L219" s="394"/>
    </row>
    <row r="220" spans="1:12" ht="22.65" customHeight="1" x14ac:dyDescent="0.5">
      <c r="B220" s="267"/>
      <c r="C220" s="699"/>
      <c r="D220" s="700"/>
      <c r="E220" s="700"/>
      <c r="F220" s="700"/>
      <c r="G220" s="700"/>
      <c r="H220" s="700"/>
      <c r="I220" s="700"/>
      <c r="J220" s="700"/>
      <c r="K220" s="701"/>
      <c r="L220" s="394"/>
    </row>
    <row r="221" spans="1:12" ht="22.65" customHeight="1" x14ac:dyDescent="0.5">
      <c r="B221" s="267"/>
      <c r="C221" s="699"/>
      <c r="D221" s="700"/>
      <c r="E221" s="700"/>
      <c r="F221" s="700"/>
      <c r="G221" s="700"/>
      <c r="H221" s="700"/>
      <c r="I221" s="700"/>
      <c r="J221" s="700"/>
      <c r="K221" s="701"/>
      <c r="L221" s="394"/>
    </row>
    <row r="222" spans="1:12" ht="22.65" customHeight="1" x14ac:dyDescent="0.5">
      <c r="B222" s="267"/>
      <c r="C222" s="699"/>
      <c r="D222" s="700"/>
      <c r="E222" s="700"/>
      <c r="F222" s="700"/>
      <c r="G222" s="700"/>
      <c r="H222" s="700"/>
      <c r="I222" s="700"/>
      <c r="J222" s="700"/>
      <c r="K222" s="701"/>
      <c r="L222" s="394"/>
    </row>
    <row r="223" spans="1:12" ht="22.4" customHeight="1" x14ac:dyDescent="0.5">
      <c r="B223" s="267"/>
      <c r="C223" s="699"/>
      <c r="D223" s="700"/>
      <c r="E223" s="700"/>
      <c r="F223" s="700"/>
      <c r="G223" s="700"/>
      <c r="H223" s="700"/>
      <c r="I223" s="700"/>
      <c r="J223" s="700"/>
      <c r="K223" s="701"/>
      <c r="L223" s="394"/>
    </row>
    <row r="224" spans="1:12" x14ac:dyDescent="0.5">
      <c r="B224" s="267"/>
      <c r="C224" s="699"/>
      <c r="D224" s="700"/>
      <c r="E224" s="700"/>
      <c r="F224" s="700"/>
      <c r="G224" s="700"/>
      <c r="H224" s="700"/>
      <c r="I224" s="700"/>
      <c r="J224" s="700"/>
      <c r="K224" s="701"/>
      <c r="L224" s="394"/>
    </row>
    <row r="225" spans="2:12" ht="22.65" customHeight="1" x14ac:dyDescent="0.5">
      <c r="B225" s="267"/>
      <c r="C225" s="702"/>
      <c r="D225" s="703"/>
      <c r="E225" s="703"/>
      <c r="F225" s="703"/>
      <c r="G225" s="703"/>
      <c r="H225" s="703"/>
      <c r="I225" s="703"/>
      <c r="J225" s="703"/>
      <c r="K225" s="704"/>
      <c r="L225" s="394"/>
    </row>
    <row r="226" spans="2:12" ht="22.65" customHeight="1" x14ac:dyDescent="0.5">
      <c r="B226" s="267"/>
      <c r="C226" s="395"/>
      <c r="D226" s="395"/>
      <c r="E226" s="395"/>
      <c r="F226" s="395"/>
      <c r="G226" s="395"/>
      <c r="H226" s="395"/>
      <c r="I226" s="395"/>
      <c r="J226" s="395"/>
      <c r="K226" s="395"/>
      <c r="L226" s="394"/>
    </row>
    <row r="227" spans="2:12" ht="22.65" customHeight="1" x14ac:dyDescent="0.5">
      <c r="B227" s="671" t="s">
        <v>257</v>
      </c>
      <c r="C227" s="672"/>
      <c r="D227" s="392"/>
      <c r="E227" s="392"/>
      <c r="F227" s="392"/>
      <c r="G227" s="392"/>
      <c r="H227" s="392"/>
      <c r="I227" s="392"/>
      <c r="J227" s="392"/>
      <c r="K227" s="392"/>
      <c r="L227" s="393"/>
    </row>
    <row r="228" spans="2:12" ht="22.65" customHeight="1" x14ac:dyDescent="0.5">
      <c r="B228" s="267"/>
      <c r="C228" s="696" t="s">
        <v>258</v>
      </c>
      <c r="D228" s="697"/>
      <c r="E228" s="697"/>
      <c r="F228" s="697"/>
      <c r="G228" s="697"/>
      <c r="H228" s="697"/>
      <c r="I228" s="697"/>
      <c r="J228" s="697"/>
      <c r="K228" s="698"/>
      <c r="L228" s="394"/>
    </row>
    <row r="229" spans="2:12" ht="22.65" customHeight="1" x14ac:dyDescent="0.5">
      <c r="B229" s="267"/>
      <c r="C229" s="699"/>
      <c r="D229" s="700"/>
      <c r="E229" s="700"/>
      <c r="F229" s="700"/>
      <c r="G229" s="700"/>
      <c r="H229" s="700"/>
      <c r="I229" s="700"/>
      <c r="J229" s="700"/>
      <c r="K229" s="701"/>
      <c r="L229" s="394"/>
    </row>
    <row r="230" spans="2:12" ht="22.65" customHeight="1" x14ac:dyDescent="0.5">
      <c r="B230" s="267"/>
      <c r="C230" s="699"/>
      <c r="D230" s="700"/>
      <c r="E230" s="700"/>
      <c r="F230" s="700"/>
      <c r="G230" s="700"/>
      <c r="H230" s="700"/>
      <c r="I230" s="700"/>
      <c r="J230" s="700"/>
      <c r="K230" s="701"/>
      <c r="L230" s="394"/>
    </row>
    <row r="231" spans="2:12" ht="22.65" customHeight="1" x14ac:dyDescent="0.5">
      <c r="B231" s="267"/>
      <c r="C231" s="699"/>
      <c r="D231" s="700"/>
      <c r="E231" s="700"/>
      <c r="F231" s="700"/>
      <c r="G231" s="700"/>
      <c r="H231" s="700"/>
      <c r="I231" s="700"/>
      <c r="J231" s="700"/>
      <c r="K231" s="701"/>
      <c r="L231" s="394"/>
    </row>
    <row r="232" spans="2:12" ht="22.4" customHeight="1" x14ac:dyDescent="0.5">
      <c r="B232" s="267"/>
      <c r="C232" s="699"/>
      <c r="D232" s="700"/>
      <c r="E232" s="700"/>
      <c r="F232" s="700"/>
      <c r="G232" s="700"/>
      <c r="H232" s="700"/>
      <c r="I232" s="700"/>
      <c r="J232" s="700"/>
      <c r="K232" s="701"/>
      <c r="L232" s="394"/>
    </row>
    <row r="233" spans="2:12" x14ac:dyDescent="0.5">
      <c r="B233" s="267"/>
      <c r="C233" s="699"/>
      <c r="D233" s="700"/>
      <c r="E233" s="700"/>
      <c r="F233" s="700"/>
      <c r="G233" s="700"/>
      <c r="H233" s="700"/>
      <c r="I233" s="700"/>
      <c r="J233" s="700"/>
      <c r="K233" s="701"/>
      <c r="L233" s="394"/>
    </row>
    <row r="234" spans="2:12" ht="22.65" customHeight="1" x14ac:dyDescent="0.5">
      <c r="B234" s="267"/>
      <c r="C234" s="702"/>
      <c r="D234" s="703"/>
      <c r="E234" s="703"/>
      <c r="F234" s="703"/>
      <c r="G234" s="703"/>
      <c r="H234" s="703"/>
      <c r="I234" s="703"/>
      <c r="J234" s="703"/>
      <c r="K234" s="704"/>
      <c r="L234" s="394"/>
    </row>
    <row r="235" spans="2:12" x14ac:dyDescent="0.5">
      <c r="B235" s="396"/>
      <c r="C235" s="397"/>
      <c r="D235" s="397"/>
      <c r="E235" s="397"/>
      <c r="F235" s="397"/>
      <c r="G235" s="397"/>
      <c r="H235" s="397"/>
      <c r="I235" s="397"/>
      <c r="J235" s="397"/>
      <c r="K235" s="397"/>
      <c r="L235" s="398"/>
    </row>
    <row r="236" spans="2:12" ht="21" customHeight="1" x14ac:dyDescent="0.5">
      <c r="B236" s="671" t="s">
        <v>110</v>
      </c>
      <c r="C236" s="672"/>
      <c r="D236" s="392"/>
      <c r="E236" s="392"/>
      <c r="F236" s="392"/>
      <c r="G236" s="392"/>
      <c r="H236" s="392"/>
      <c r="I236" s="392"/>
      <c r="J236" s="392"/>
      <c r="K236" s="392"/>
      <c r="L236" s="393"/>
    </row>
    <row r="237" spans="2:12" ht="21" customHeight="1" x14ac:dyDescent="0.5">
      <c r="B237" s="267"/>
      <c r="C237" s="691" t="s">
        <v>111</v>
      </c>
      <c r="D237" s="692"/>
      <c r="E237" s="399"/>
      <c r="F237" s="399"/>
      <c r="G237" s="399"/>
      <c r="H237" s="399"/>
      <c r="I237" s="399"/>
      <c r="J237" s="399"/>
      <c r="K237" s="400"/>
      <c r="L237" s="394"/>
    </row>
    <row r="238" spans="2:12" x14ac:dyDescent="0.5">
      <c r="B238" s="267"/>
      <c r="C238" s="699" t="s">
        <v>280</v>
      </c>
      <c r="D238" s="799"/>
      <c r="E238" s="569"/>
      <c r="F238" s="569"/>
      <c r="G238" s="569"/>
      <c r="H238" s="569"/>
      <c r="I238" s="569"/>
      <c r="J238" s="569"/>
      <c r="K238" s="570"/>
      <c r="L238" s="394"/>
    </row>
    <row r="239" spans="2:12" x14ac:dyDescent="0.5">
      <c r="B239" s="267"/>
      <c r="C239" s="801"/>
      <c r="D239" s="802"/>
      <c r="E239" s="569"/>
      <c r="F239" s="569"/>
      <c r="G239" s="569"/>
      <c r="H239" s="569"/>
      <c r="I239" s="569"/>
      <c r="J239" s="569"/>
      <c r="K239" s="570"/>
      <c r="L239" s="394"/>
    </row>
    <row r="240" spans="2:12" x14ac:dyDescent="0.5">
      <c r="B240" s="267"/>
      <c r="C240" s="801"/>
      <c r="D240" s="802"/>
      <c r="E240" s="569"/>
      <c r="F240" s="569"/>
      <c r="G240" s="569"/>
      <c r="H240" s="569"/>
      <c r="I240" s="569"/>
      <c r="J240" s="569"/>
      <c r="K240" s="570"/>
      <c r="L240" s="394"/>
    </row>
    <row r="241" spans="2:12" x14ac:dyDescent="0.5">
      <c r="B241" s="267"/>
      <c r="C241" s="798"/>
      <c r="D241" s="799"/>
      <c r="E241" s="569"/>
      <c r="F241" s="569"/>
      <c r="G241" s="569"/>
      <c r="H241" s="569"/>
      <c r="I241" s="569"/>
      <c r="J241" s="569"/>
      <c r="K241" s="570"/>
      <c r="L241" s="394"/>
    </row>
    <row r="242" spans="2:12" x14ac:dyDescent="0.5">
      <c r="B242" s="267"/>
      <c r="C242" s="798"/>
      <c r="D242" s="799"/>
      <c r="E242" s="569"/>
      <c r="F242" s="569"/>
      <c r="G242" s="569"/>
      <c r="H242" s="569"/>
      <c r="I242" s="569"/>
      <c r="J242" s="569"/>
      <c r="K242" s="570"/>
      <c r="L242" s="394"/>
    </row>
    <row r="243" spans="2:12" x14ac:dyDescent="0.5">
      <c r="B243" s="267"/>
      <c r="C243" s="798"/>
      <c r="D243" s="799"/>
      <c r="E243" s="571"/>
      <c r="F243" s="571"/>
      <c r="G243" s="571"/>
      <c r="H243" s="571"/>
      <c r="I243" s="571"/>
      <c r="J243" s="571"/>
      <c r="K243" s="572"/>
      <c r="L243" s="394"/>
    </row>
    <row r="244" spans="2:12" x14ac:dyDescent="0.5">
      <c r="B244" s="401"/>
      <c r="L244" s="402"/>
    </row>
    <row r="245" spans="2:12" x14ac:dyDescent="0.5">
      <c r="B245" s="671" t="s">
        <v>116</v>
      </c>
      <c r="C245" s="672"/>
      <c r="D245" s="800"/>
      <c r="E245" s="800"/>
      <c r="F245" s="800"/>
      <c r="G245" s="800"/>
      <c r="H245" s="800"/>
      <c r="I245" s="800"/>
      <c r="J245" s="392"/>
      <c r="K245" s="392"/>
      <c r="L245" s="393"/>
    </row>
    <row r="246" spans="2:12" x14ac:dyDescent="0.5">
      <c r="B246" s="401"/>
      <c r="D246" s="664"/>
      <c r="E246" s="664"/>
      <c r="F246" s="664"/>
      <c r="G246" s="664"/>
      <c r="H246" s="664"/>
      <c r="I246" s="664"/>
      <c r="J246" s="403"/>
      <c r="K246" s="403"/>
      <c r="L246" s="402"/>
    </row>
    <row r="247" spans="2:12" ht="21.5" thickBot="1" x14ac:dyDescent="0.55000000000000004">
      <c r="B247" s="404" t="s">
        <v>117</v>
      </c>
      <c r="C247" s="405"/>
      <c r="D247" s="664"/>
      <c r="E247" s="664"/>
      <c r="F247" s="664"/>
      <c r="G247" s="664"/>
      <c r="H247" s="664"/>
      <c r="I247" s="664"/>
      <c r="J247" s="403"/>
      <c r="K247" s="403"/>
      <c r="L247" s="406"/>
    </row>
    <row r="248" spans="2:12" x14ac:dyDescent="0.5">
      <c r="D248" s="664"/>
      <c r="E248" s="664"/>
      <c r="F248" s="664"/>
      <c r="G248" s="664"/>
      <c r="H248" s="664"/>
      <c r="I248" s="664"/>
      <c r="J248" s="403"/>
      <c r="K248" s="403"/>
    </row>
    <row r="249" spans="2:12" x14ac:dyDescent="0.5">
      <c r="D249" s="664"/>
      <c r="E249" s="664"/>
      <c r="F249" s="664"/>
      <c r="G249" s="664"/>
      <c r="H249" s="664"/>
      <c r="I249" s="664"/>
      <c r="J249" s="403"/>
      <c r="K249" s="403"/>
    </row>
    <row r="250" spans="2:12" x14ac:dyDescent="0.5">
      <c r="D250" s="664"/>
      <c r="E250" s="664"/>
      <c r="F250" s="664"/>
      <c r="G250" s="664"/>
      <c r="H250" s="664"/>
      <c r="I250" s="664"/>
      <c r="J250" s="403"/>
      <c r="K250" s="403"/>
    </row>
    <row r="251" spans="2:12" x14ac:dyDescent="0.5">
      <c r="D251" s="664"/>
      <c r="E251" s="664"/>
      <c r="F251" s="664"/>
      <c r="G251" s="664"/>
      <c r="H251" s="664"/>
      <c r="I251" s="664"/>
      <c r="J251" s="403"/>
      <c r="K251" s="403"/>
    </row>
    <row r="252" spans="2:12" x14ac:dyDescent="0.5">
      <c r="D252" s="664"/>
      <c r="E252" s="664"/>
      <c r="F252" s="664"/>
      <c r="G252" s="664"/>
      <c r="H252" s="664"/>
      <c r="I252" s="664"/>
      <c r="J252" s="403"/>
      <c r="K252" s="403"/>
    </row>
    <row r="253" spans="2:12" x14ac:dyDescent="0.5">
      <c r="D253" s="664"/>
      <c r="E253" s="664"/>
      <c r="F253" s="664"/>
      <c r="G253" s="664"/>
      <c r="H253" s="664"/>
      <c r="I253" s="664"/>
      <c r="J253" s="403"/>
      <c r="K253" s="403"/>
    </row>
    <row r="254" spans="2:12" x14ac:dyDescent="0.5">
      <c r="D254" s="664"/>
      <c r="E254" s="664"/>
      <c r="F254" s="664"/>
      <c r="G254" s="664"/>
      <c r="H254" s="664"/>
      <c r="I254" s="664"/>
      <c r="J254" s="403"/>
      <c r="K254" s="403"/>
    </row>
    <row r="255" spans="2:12" x14ac:dyDescent="0.5">
      <c r="D255" s="664"/>
      <c r="E255" s="664"/>
      <c r="F255" s="664"/>
      <c r="G255" s="664"/>
      <c r="H255" s="664"/>
      <c r="I255" s="664"/>
      <c r="J255" s="403"/>
      <c r="K255" s="403"/>
    </row>
    <row r="256" spans="2:12" x14ac:dyDescent="0.5">
      <c r="D256" s="664"/>
      <c r="E256" s="664"/>
      <c r="F256" s="664"/>
      <c r="G256" s="664"/>
      <c r="H256" s="664"/>
      <c r="I256" s="664"/>
      <c r="J256" s="403"/>
      <c r="K256" s="403"/>
    </row>
    <row r="257" spans="4:11" x14ac:dyDescent="0.5">
      <c r="D257" s="664"/>
      <c r="E257" s="664"/>
      <c r="F257" s="664"/>
      <c r="G257" s="664"/>
      <c r="H257" s="664"/>
      <c r="I257" s="664"/>
      <c r="J257" s="392"/>
      <c r="K257" s="392"/>
    </row>
    <row r="258" spans="4:11" x14ac:dyDescent="0.5">
      <c r="D258" s="664"/>
      <c r="E258" s="664"/>
      <c r="F258" s="664"/>
      <c r="G258" s="664"/>
      <c r="H258" s="664"/>
      <c r="I258" s="664"/>
      <c r="J258" s="403"/>
      <c r="K258" s="403"/>
    </row>
    <row r="259" spans="4:11" x14ac:dyDescent="0.5">
      <c r="D259" s="664"/>
      <c r="E259" s="664"/>
      <c r="F259" s="664"/>
      <c r="G259" s="664"/>
      <c r="H259" s="664"/>
      <c r="I259" s="664"/>
      <c r="J259" s="403"/>
      <c r="K259" s="403"/>
    </row>
    <row r="260" spans="4:11" x14ac:dyDescent="0.5">
      <c r="D260" s="403"/>
      <c r="E260" s="403"/>
      <c r="F260" s="403"/>
      <c r="G260" s="403"/>
      <c r="H260" s="403"/>
      <c r="I260" s="403"/>
      <c r="J260" s="403"/>
      <c r="K260" s="403"/>
    </row>
    <row r="261" spans="4:11" x14ac:dyDescent="0.5">
      <c r="D261" s="403"/>
      <c r="E261" s="403"/>
      <c r="F261" s="403"/>
      <c r="G261" s="403"/>
      <c r="H261" s="403"/>
      <c r="I261" s="403"/>
      <c r="J261" s="403"/>
      <c r="K261" s="403"/>
    </row>
    <row r="262" spans="4:11" x14ac:dyDescent="0.5">
      <c r="D262" s="403"/>
      <c r="E262" s="403"/>
      <c r="F262" s="403"/>
      <c r="G262" s="403"/>
      <c r="H262" s="403"/>
      <c r="I262" s="403"/>
      <c r="J262" s="403"/>
      <c r="K262" s="403"/>
    </row>
    <row r="263" spans="4:11" x14ac:dyDescent="0.5">
      <c r="D263" s="664"/>
      <c r="E263" s="664"/>
      <c r="F263" s="664"/>
      <c r="G263" s="664"/>
      <c r="H263" s="664"/>
      <c r="I263" s="664"/>
      <c r="J263" s="664"/>
      <c r="K263" s="664"/>
    </row>
    <row r="264" spans="4:11" x14ac:dyDescent="0.5">
      <c r="D264" s="664"/>
      <c r="E264" s="664"/>
      <c r="F264" s="664"/>
      <c r="G264" s="664"/>
      <c r="H264" s="664"/>
      <c r="I264" s="664"/>
      <c r="J264" s="664"/>
      <c r="K264" s="664"/>
    </row>
    <row r="265" spans="4:11" x14ac:dyDescent="0.5">
      <c r="D265" s="664"/>
      <c r="E265" s="664"/>
      <c r="F265" s="664"/>
      <c r="G265" s="664"/>
      <c r="H265" s="664"/>
      <c r="I265" s="664"/>
      <c r="J265" s="664"/>
      <c r="K265" s="664"/>
    </row>
    <row r="266" spans="4:11" x14ac:dyDescent="0.5">
      <c r="D266" s="664"/>
      <c r="E266" s="664"/>
      <c r="F266" s="664"/>
      <c r="G266" s="664"/>
      <c r="H266" s="664"/>
      <c r="I266" s="664"/>
      <c r="J266" s="664"/>
      <c r="K266" s="664"/>
    </row>
    <row r="267" spans="4:11" x14ac:dyDescent="0.5">
      <c r="D267" s="664"/>
      <c r="E267" s="664"/>
      <c r="F267" s="664"/>
      <c r="G267" s="664"/>
      <c r="H267" s="664"/>
      <c r="I267" s="664"/>
      <c r="J267" s="664"/>
      <c r="K267" s="664"/>
    </row>
    <row r="268" spans="4:11" x14ac:dyDescent="0.5">
      <c r="D268" s="664"/>
      <c r="E268" s="664"/>
      <c r="F268" s="664"/>
      <c r="G268" s="664"/>
      <c r="H268" s="664"/>
      <c r="I268" s="664"/>
      <c r="J268" s="664"/>
      <c r="K268" s="664"/>
    </row>
    <row r="269" spans="4:11" x14ac:dyDescent="0.5">
      <c r="D269" s="664"/>
      <c r="E269" s="664"/>
      <c r="F269" s="664"/>
      <c r="G269" s="664"/>
      <c r="H269" s="664"/>
      <c r="I269" s="664"/>
      <c r="J269" s="664"/>
      <c r="K269" s="664"/>
    </row>
    <row r="270" spans="4:11" x14ac:dyDescent="0.5">
      <c r="D270" s="664"/>
      <c r="E270" s="664"/>
      <c r="F270" s="664"/>
      <c r="G270" s="664"/>
      <c r="H270" s="664"/>
      <c r="I270" s="664"/>
      <c r="J270" s="664"/>
      <c r="K270" s="664"/>
    </row>
    <row r="271" spans="4:11" x14ac:dyDescent="0.5">
      <c r="D271" s="664"/>
      <c r="E271" s="664"/>
      <c r="F271" s="664"/>
      <c r="G271" s="664"/>
      <c r="H271" s="664"/>
      <c r="I271" s="664"/>
      <c r="J271" s="664"/>
      <c r="K271" s="664"/>
    </row>
    <row r="272" spans="4:11" x14ac:dyDescent="0.5">
      <c r="D272" s="664"/>
      <c r="E272" s="664"/>
      <c r="F272" s="664"/>
      <c r="G272" s="664"/>
      <c r="H272" s="664"/>
      <c r="I272" s="664"/>
      <c r="J272" s="664"/>
      <c r="K272" s="664"/>
    </row>
    <row r="273" spans="4:11" x14ac:dyDescent="0.5">
      <c r="D273" s="664"/>
      <c r="E273" s="664"/>
      <c r="F273" s="664"/>
      <c r="G273" s="664"/>
      <c r="H273" s="664"/>
      <c r="I273" s="664"/>
      <c r="J273" s="664"/>
      <c r="K273" s="664"/>
    </row>
    <row r="274" spans="4:11" x14ac:dyDescent="0.5">
      <c r="D274" s="664"/>
      <c r="E274" s="664"/>
      <c r="F274" s="664"/>
      <c r="G274" s="664"/>
      <c r="H274" s="664"/>
      <c r="I274" s="664"/>
      <c r="J274" s="664"/>
      <c r="K274" s="664"/>
    </row>
    <row r="275" spans="4:11" x14ac:dyDescent="0.5">
      <c r="D275" s="664"/>
      <c r="E275" s="664"/>
      <c r="F275" s="664"/>
      <c r="G275" s="664"/>
      <c r="H275" s="664"/>
      <c r="I275" s="664"/>
      <c r="J275" s="664"/>
      <c r="K275" s="664"/>
    </row>
    <row r="276" spans="4:11" x14ac:dyDescent="0.5">
      <c r="D276" s="664"/>
      <c r="E276" s="664"/>
      <c r="F276" s="664"/>
      <c r="G276" s="664"/>
      <c r="H276" s="664"/>
      <c r="I276" s="664"/>
      <c r="J276" s="664"/>
      <c r="K276" s="664"/>
    </row>
    <row r="277" spans="4:11" x14ac:dyDescent="0.5">
      <c r="D277" s="664"/>
      <c r="E277" s="664"/>
      <c r="F277" s="664"/>
      <c r="G277" s="664"/>
      <c r="H277" s="664"/>
      <c r="I277" s="664"/>
      <c r="J277" s="664"/>
      <c r="K277" s="664"/>
    </row>
    <row r="278" spans="4:11" x14ac:dyDescent="0.5">
      <c r="D278" s="664"/>
      <c r="E278" s="664"/>
      <c r="F278" s="664"/>
      <c r="G278" s="664"/>
      <c r="H278" s="664"/>
      <c r="I278" s="664"/>
      <c r="J278" s="664"/>
      <c r="K278" s="664"/>
    </row>
    <row r="279" spans="4:11" x14ac:dyDescent="0.5">
      <c r="D279" s="664"/>
      <c r="E279" s="664"/>
      <c r="F279" s="664"/>
      <c r="G279" s="664"/>
      <c r="H279" s="664"/>
      <c r="I279" s="664"/>
      <c r="J279" s="664"/>
      <c r="K279" s="664"/>
    </row>
    <row r="280" spans="4:11" x14ac:dyDescent="0.5">
      <c r="D280" s="664"/>
      <c r="E280" s="664"/>
      <c r="F280" s="664"/>
      <c r="G280" s="664"/>
      <c r="H280" s="664"/>
      <c r="I280" s="664"/>
      <c r="J280" s="664"/>
      <c r="K280" s="664"/>
    </row>
  </sheetData>
  <mergeCells count="102">
    <mergeCell ref="J263:K280"/>
    <mergeCell ref="C240:D240"/>
    <mergeCell ref="C241:D241"/>
    <mergeCell ref="C242:D242"/>
    <mergeCell ref="C243:D243"/>
    <mergeCell ref="B245:C245"/>
    <mergeCell ref="D245:E259"/>
    <mergeCell ref="F245:G259"/>
    <mergeCell ref="H245:I259"/>
    <mergeCell ref="D263:E280"/>
    <mergeCell ref="F263:G280"/>
    <mergeCell ref="H263:I280"/>
    <mergeCell ref="B217:L217"/>
    <mergeCell ref="B218:C218"/>
    <mergeCell ref="C219:K225"/>
    <mergeCell ref="B227:C227"/>
    <mergeCell ref="C228:K234"/>
    <mergeCell ref="B236:C236"/>
    <mergeCell ref="C237:D237"/>
    <mergeCell ref="C238:D238"/>
    <mergeCell ref="C239:D239"/>
    <mergeCell ref="B194:B197"/>
    <mergeCell ref="C194:K194"/>
    <mergeCell ref="C195:K195"/>
    <mergeCell ref="C196:K196"/>
    <mergeCell ref="C197:K197"/>
    <mergeCell ref="C200:D200"/>
    <mergeCell ref="C201:D201"/>
    <mergeCell ref="I203:L204"/>
    <mergeCell ref="B207:C207"/>
    <mergeCell ref="H119:I119"/>
    <mergeCell ref="B135:C135"/>
    <mergeCell ref="B139:C139"/>
    <mergeCell ref="D140:E140"/>
    <mergeCell ref="G140:H140"/>
    <mergeCell ref="B150:L150"/>
    <mergeCell ref="B151:C151"/>
    <mergeCell ref="B191:L191"/>
    <mergeCell ref="B192:C192"/>
    <mergeCell ref="D77:L77"/>
    <mergeCell ref="D78:L78"/>
    <mergeCell ref="D79:L79"/>
    <mergeCell ref="B82:C82"/>
    <mergeCell ref="B95:L95"/>
    <mergeCell ref="C97:L97"/>
    <mergeCell ref="C98:L98"/>
    <mergeCell ref="C99:L99"/>
    <mergeCell ref="C101:K103"/>
    <mergeCell ref="B60:C60"/>
    <mergeCell ref="B61:C61"/>
    <mergeCell ref="B62:C62"/>
    <mergeCell ref="B63:C63"/>
    <mergeCell ref="K63:L67"/>
    <mergeCell ref="B64:C64"/>
    <mergeCell ref="B65:C65"/>
    <mergeCell ref="B66:C66"/>
    <mergeCell ref="B75:L75"/>
    <mergeCell ref="B211:L211"/>
    <mergeCell ref="B212:C212"/>
    <mergeCell ref="C213:K216"/>
    <mergeCell ref="B199:C199"/>
    <mergeCell ref="B127:C127"/>
    <mergeCell ref="B105:L105"/>
    <mergeCell ref="B106:C106"/>
    <mergeCell ref="H112:I112"/>
    <mergeCell ref="H113:I113"/>
    <mergeCell ref="H114:I114"/>
    <mergeCell ref="H115:I115"/>
    <mergeCell ref="H116:I116"/>
    <mergeCell ref="H117:I117"/>
    <mergeCell ref="H118:I118"/>
    <mergeCell ref="B2:C4"/>
    <mergeCell ref="D2:I4"/>
    <mergeCell ref="J2:K2"/>
    <mergeCell ref="J3:K3"/>
    <mergeCell ref="J4:K4"/>
    <mergeCell ref="H111:I111"/>
    <mergeCell ref="H107:I107"/>
    <mergeCell ref="H108:I108"/>
    <mergeCell ref="B8:L8"/>
    <mergeCell ref="K5:L5"/>
    <mergeCell ref="B13:C13"/>
    <mergeCell ref="H109:I109"/>
    <mergeCell ref="H110:I110"/>
    <mergeCell ref="B14:C14"/>
    <mergeCell ref="B15:C15"/>
    <mergeCell ref="C9:L11"/>
    <mergeCell ref="B20:C20"/>
    <mergeCell ref="F20:L20"/>
    <mergeCell ref="B26:C26"/>
    <mergeCell ref="B27:C27"/>
    <mergeCell ref="B16:C16"/>
    <mergeCell ref="B18:C18"/>
    <mergeCell ref="F18:L18"/>
    <mergeCell ref="B19:C19"/>
    <mergeCell ref="F19:L19"/>
    <mergeCell ref="F21:L21"/>
    <mergeCell ref="F23:L23"/>
    <mergeCell ref="B24:C24"/>
    <mergeCell ref="F24:L24"/>
    <mergeCell ref="B21:C21"/>
    <mergeCell ref="B57:C57"/>
  </mergeCells>
  <printOptions horizontalCentered="1"/>
  <pageMargins left="0.2" right="0.2" top="0.75" bottom="0.75" header="0.3" footer="0.3"/>
  <pageSetup scale="42" fitToHeight="0" orientation="portrait" r:id="rId1"/>
  <headerFooter>
    <oddFooter>&amp;L&amp;"-,Regular"&amp;11&amp;F&amp;R&amp;"-,Regular"&amp;11ACS-SFM-CX-1016, Rev 0, 10-Oct-2022</oddFooter>
  </headerFooter>
  <rowBreaks count="3" manualBreakCount="3">
    <brk id="82" max="11" man="1"/>
    <brk id="133" max="11" man="1"/>
    <brk id="172"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8B83B-A624-4F34-806C-1E898ADC33A9}">
  <sheetPr>
    <pageSetUpPr fitToPage="1"/>
  </sheetPr>
  <dimension ref="A1:N239"/>
  <sheetViews>
    <sheetView showGridLines="0" view="pageBreakPreview" zoomScale="70" zoomScaleNormal="85" zoomScaleSheetLayoutView="70" zoomScalePageLayoutView="70" workbookViewId="0">
      <selection activeCell="I22" sqref="I22"/>
    </sheetView>
  </sheetViews>
  <sheetFormatPr defaultColWidth="14.90625" defaultRowHeight="21" outlineLevelRow="1" x14ac:dyDescent="0.5"/>
  <cols>
    <col min="1" max="1" width="2.54296875" style="178" customWidth="1"/>
    <col min="2" max="2" width="20.1796875" style="178" customWidth="1"/>
    <col min="3" max="3" width="31.54296875" style="178" customWidth="1"/>
    <col min="4" max="4" width="23.81640625" style="178" customWidth="1"/>
    <col min="5" max="5" width="25.1796875" style="178" customWidth="1"/>
    <col min="6" max="6" width="20.54296875" style="178" customWidth="1"/>
    <col min="7" max="7" width="24.81640625" style="178" customWidth="1"/>
    <col min="8" max="8" width="21.1796875" style="178" customWidth="1"/>
    <col min="9" max="9" width="21" style="178" customWidth="1"/>
    <col min="10" max="10" width="16.54296875" style="178" customWidth="1"/>
    <col min="11" max="11" width="16.81640625" style="178" customWidth="1"/>
    <col min="12" max="12" width="20" style="178" customWidth="1"/>
    <col min="13" max="13" width="14.90625" style="178" customWidth="1"/>
    <col min="14" max="16384" width="14.90625" style="178"/>
  </cols>
  <sheetData>
    <row r="1" spans="2:14" ht="12" customHeight="1" thickBot="1" x14ac:dyDescent="0.55000000000000004"/>
    <row r="2" spans="2:14" ht="21" customHeight="1" x14ac:dyDescent="0.5">
      <c r="B2" s="609"/>
      <c r="C2" s="610"/>
      <c r="D2" s="615" t="s">
        <v>0</v>
      </c>
      <c r="E2" s="615"/>
      <c r="F2" s="615"/>
      <c r="G2" s="615"/>
      <c r="H2" s="615"/>
      <c r="I2" s="616"/>
      <c r="J2" s="621" t="s">
        <v>1</v>
      </c>
      <c r="K2" s="622"/>
      <c r="L2" s="179"/>
    </row>
    <row r="3" spans="2:14" ht="26.15" customHeight="1" x14ac:dyDescent="0.5">
      <c r="B3" s="611"/>
      <c r="C3" s="612"/>
      <c r="D3" s="617"/>
      <c r="E3" s="617"/>
      <c r="F3" s="617"/>
      <c r="G3" s="617"/>
      <c r="H3" s="617"/>
      <c r="I3" s="618"/>
      <c r="J3" s="623" t="s">
        <v>2</v>
      </c>
      <c r="K3" s="624"/>
      <c r="L3" s="180">
        <v>0</v>
      </c>
    </row>
    <row r="4" spans="2:14" ht="24.65" customHeight="1" thickBot="1" x14ac:dyDescent="0.55000000000000004">
      <c r="B4" s="613"/>
      <c r="C4" s="614"/>
      <c r="D4" s="619"/>
      <c r="E4" s="619"/>
      <c r="F4" s="619"/>
      <c r="G4" s="619"/>
      <c r="H4" s="619"/>
      <c r="I4" s="620"/>
      <c r="J4" s="625" t="s">
        <v>3</v>
      </c>
      <c r="K4" s="626"/>
      <c r="L4" s="181"/>
    </row>
    <row r="5" spans="2:14" ht="19.399999999999999" customHeight="1" thickBot="1" x14ac:dyDescent="0.55000000000000004">
      <c r="B5" s="182"/>
      <c r="C5" s="183"/>
      <c r="D5" s="183"/>
      <c r="J5" s="184"/>
      <c r="K5" s="627"/>
      <c r="L5" s="628"/>
    </row>
    <row r="6" spans="2:14" ht="24.65" customHeight="1" thickBot="1" x14ac:dyDescent="0.55000000000000004">
      <c r="B6" s="182"/>
      <c r="C6" s="183"/>
      <c r="D6" s="183"/>
      <c r="J6" s="184"/>
      <c r="K6" s="187" t="s">
        <v>4</v>
      </c>
      <c r="L6" s="188">
        <v>46008</v>
      </c>
    </row>
    <row r="7" spans="2:14" ht="15" customHeight="1" x14ac:dyDescent="0.5">
      <c r="B7" s="182"/>
      <c r="C7" s="183"/>
      <c r="D7" s="183"/>
      <c r="J7" s="184"/>
      <c r="K7" s="185"/>
      <c r="L7" s="186"/>
    </row>
    <row r="8" spans="2:14" s="189" customFormat="1" ht="20" collapsed="1" x14ac:dyDescent="0.4">
      <c r="B8" s="629" t="s">
        <v>5</v>
      </c>
      <c r="C8" s="630"/>
      <c r="D8" s="630"/>
      <c r="E8" s="630"/>
      <c r="F8" s="630"/>
      <c r="G8" s="630"/>
      <c r="H8" s="630"/>
      <c r="I8" s="630"/>
      <c r="J8" s="630"/>
      <c r="K8" s="630"/>
      <c r="L8" s="631"/>
    </row>
    <row r="9" spans="2:14" ht="21" customHeight="1" x14ac:dyDescent="0.5">
      <c r="B9" s="190" t="s">
        <v>6</v>
      </c>
      <c r="C9" s="632" t="s">
        <v>7</v>
      </c>
      <c r="D9" s="633"/>
      <c r="E9" s="633"/>
      <c r="F9" s="633"/>
      <c r="G9" s="633"/>
      <c r="H9" s="633"/>
      <c r="I9" s="633"/>
      <c r="J9" s="633"/>
      <c r="K9" s="633"/>
      <c r="L9" s="634"/>
    </row>
    <row r="10" spans="2:14" ht="27.75" customHeight="1" x14ac:dyDescent="0.5">
      <c r="B10" s="191"/>
      <c r="C10" s="635"/>
      <c r="D10" s="636"/>
      <c r="E10" s="636"/>
      <c r="F10" s="636"/>
      <c r="G10" s="636"/>
      <c r="H10" s="636"/>
      <c r="I10" s="636"/>
      <c r="J10" s="636"/>
      <c r="K10" s="636"/>
      <c r="L10" s="637"/>
      <c r="N10" s="183"/>
    </row>
    <row r="11" spans="2:14" ht="33.65" customHeight="1" x14ac:dyDescent="0.5">
      <c r="B11" s="191"/>
      <c r="C11" s="638"/>
      <c r="D11" s="639"/>
      <c r="E11" s="639"/>
      <c r="F11" s="639"/>
      <c r="G11" s="639"/>
      <c r="H11" s="639"/>
      <c r="I11" s="639"/>
      <c r="J11" s="639"/>
      <c r="K11" s="639"/>
      <c r="L11" s="640"/>
    </row>
    <row r="12" spans="2:14" ht="21.5" thickBot="1" x14ac:dyDescent="0.55000000000000004">
      <c r="B12" s="192"/>
      <c r="C12" s="193"/>
      <c r="D12" s="193"/>
      <c r="E12" s="193"/>
      <c r="F12" s="193"/>
      <c r="G12" s="193"/>
      <c r="H12" s="193"/>
      <c r="I12" s="193"/>
      <c r="J12" s="193"/>
      <c r="K12" s="193"/>
      <c r="L12" s="194"/>
    </row>
    <row r="13" spans="2:14" ht="36" customHeight="1" x14ac:dyDescent="0.5">
      <c r="B13" s="641" t="s">
        <v>8</v>
      </c>
      <c r="C13" s="642"/>
      <c r="D13" s="195" t="s">
        <v>9</v>
      </c>
      <c r="E13" s="196" t="s">
        <v>10</v>
      </c>
      <c r="F13" s="196" t="s">
        <v>11</v>
      </c>
      <c r="G13" s="196"/>
      <c r="H13" s="196"/>
      <c r="I13" s="196"/>
      <c r="J13" s="196" t="s">
        <v>12</v>
      </c>
      <c r="K13" s="196" t="s">
        <v>13</v>
      </c>
      <c r="L13" s="197" t="s">
        <v>14</v>
      </c>
    </row>
    <row r="14" spans="2:14" x14ac:dyDescent="0.5">
      <c r="B14" s="643" t="s">
        <v>15</v>
      </c>
      <c r="C14" s="644"/>
      <c r="D14" s="545">
        <v>2059</v>
      </c>
      <c r="E14" s="198">
        <v>775</v>
      </c>
      <c r="F14" s="198">
        <v>253</v>
      </c>
      <c r="G14" s="198"/>
      <c r="H14" s="198"/>
      <c r="I14" s="199"/>
      <c r="J14" s="200">
        <f>D14</f>
        <v>2059</v>
      </c>
      <c r="K14" s="200">
        <f>SUM(E14:I14)</f>
        <v>1028</v>
      </c>
      <c r="L14" s="201">
        <f>SUM(J14:K14)</f>
        <v>3087</v>
      </c>
    </row>
    <row r="15" spans="2:14" ht="21.5" thickBot="1" x14ac:dyDescent="0.55000000000000004">
      <c r="B15" s="643" t="s">
        <v>16</v>
      </c>
      <c r="C15" s="644"/>
      <c r="D15" s="560">
        <v>55</v>
      </c>
      <c r="E15" s="202">
        <v>11</v>
      </c>
      <c r="F15" s="202">
        <v>11</v>
      </c>
      <c r="G15" s="202"/>
      <c r="H15" s="202"/>
      <c r="I15" s="203"/>
      <c r="J15" s="200">
        <f>D15</f>
        <v>55</v>
      </c>
      <c r="K15" s="200">
        <f>SUM(E15:I15)</f>
        <v>22</v>
      </c>
      <c r="L15" s="201">
        <f>SUM(J15:K15)</f>
        <v>77</v>
      </c>
    </row>
    <row r="16" spans="2:14" ht="22" thickTop="1" thickBot="1" x14ac:dyDescent="0.55000000000000004">
      <c r="B16" s="607" t="s">
        <v>17</v>
      </c>
      <c r="C16" s="608"/>
      <c r="D16" s="546">
        <f>SUM(D15+D14)</f>
        <v>2114</v>
      </c>
      <c r="E16" s="204">
        <f>SUM(E15+E14)</f>
        <v>786</v>
      </c>
      <c r="F16" s="204">
        <f>SUM(F15,F14)</f>
        <v>264</v>
      </c>
      <c r="G16" s="204">
        <f t="shared" ref="G16:I16" si="0">SUM(G15,G14)</f>
        <v>0</v>
      </c>
      <c r="H16" s="204">
        <f t="shared" si="0"/>
        <v>0</v>
      </c>
      <c r="I16" s="204">
        <f t="shared" si="0"/>
        <v>0</v>
      </c>
      <c r="J16" s="204">
        <f>SUM(J15,J14)</f>
        <v>2114</v>
      </c>
      <c r="K16" s="204">
        <f>SUM(K15,K14)</f>
        <v>1050</v>
      </c>
      <c r="L16" s="205">
        <f>SUM(L14:L15)</f>
        <v>3164</v>
      </c>
    </row>
    <row r="17" spans="2:12" ht="21.5" thickBot="1" x14ac:dyDescent="0.55000000000000004">
      <c r="B17" s="192"/>
      <c r="C17" s="193"/>
      <c r="D17" s="193"/>
      <c r="E17" s="193"/>
      <c r="F17" s="193"/>
      <c r="G17" s="193"/>
      <c r="H17" s="193"/>
      <c r="I17" s="193"/>
      <c r="J17" s="193"/>
      <c r="K17" s="193"/>
      <c r="L17" s="194"/>
    </row>
    <row r="18" spans="2:12" x14ac:dyDescent="0.5">
      <c r="B18" s="641" t="s">
        <v>18</v>
      </c>
      <c r="C18" s="645"/>
      <c r="D18" s="195" t="s">
        <v>19</v>
      </c>
      <c r="E18" s="196" t="s">
        <v>20</v>
      </c>
      <c r="F18" s="646" t="s">
        <v>21</v>
      </c>
      <c r="G18" s="647"/>
      <c r="H18" s="647"/>
      <c r="I18" s="647"/>
      <c r="J18" s="647"/>
      <c r="K18" s="647"/>
      <c r="L18" s="648"/>
    </row>
    <row r="19" spans="2:12" x14ac:dyDescent="0.5">
      <c r="B19" s="649" t="s">
        <v>22</v>
      </c>
      <c r="C19" s="650"/>
      <c r="D19" s="210">
        <v>0</v>
      </c>
      <c r="E19" s="210">
        <v>0</v>
      </c>
      <c r="F19" s="651"/>
      <c r="G19" s="652"/>
      <c r="H19" s="652"/>
      <c r="I19" s="652"/>
      <c r="J19" s="652"/>
      <c r="K19" s="652"/>
      <c r="L19" s="653"/>
    </row>
    <row r="20" spans="2:12" x14ac:dyDescent="0.5">
      <c r="B20" s="649" t="s">
        <v>23</v>
      </c>
      <c r="C20" s="650"/>
      <c r="D20" s="210">
        <v>0</v>
      </c>
      <c r="E20" s="210">
        <v>0</v>
      </c>
      <c r="F20" s="651"/>
      <c r="G20" s="652"/>
      <c r="H20" s="652"/>
      <c r="I20" s="652"/>
      <c r="J20" s="652"/>
      <c r="K20" s="652"/>
      <c r="L20" s="653"/>
    </row>
    <row r="21" spans="2:12" x14ac:dyDescent="0.5">
      <c r="B21" s="649" t="s">
        <v>24</v>
      </c>
      <c r="C21" s="650"/>
      <c r="D21" s="210">
        <v>0</v>
      </c>
      <c r="E21" s="210">
        <v>0</v>
      </c>
      <c r="F21" s="651"/>
      <c r="G21" s="652"/>
      <c r="H21" s="652"/>
      <c r="I21" s="652"/>
      <c r="J21" s="652"/>
      <c r="K21" s="652"/>
      <c r="L21" s="653"/>
    </row>
    <row r="22" spans="2:12" x14ac:dyDescent="0.5">
      <c r="B22" s="208"/>
      <c r="C22" s="209" t="s">
        <v>25</v>
      </c>
      <c r="D22" s="210">
        <v>0</v>
      </c>
      <c r="E22" s="210">
        <v>0</v>
      </c>
      <c r="F22" s="211"/>
      <c r="G22" s="212"/>
      <c r="H22" s="212"/>
      <c r="I22" s="212"/>
      <c r="J22" s="212"/>
      <c r="K22" s="212"/>
      <c r="L22" s="213"/>
    </row>
    <row r="23" spans="2:12" ht="24" customHeight="1" x14ac:dyDescent="0.5">
      <c r="B23" s="208"/>
      <c r="C23" s="209" t="s">
        <v>26</v>
      </c>
      <c r="D23" s="214">
        <v>0</v>
      </c>
      <c r="E23" s="214">
        <v>0</v>
      </c>
      <c r="F23" s="651"/>
      <c r="G23" s="652"/>
      <c r="H23" s="652"/>
      <c r="I23" s="652"/>
      <c r="J23" s="652"/>
      <c r="K23" s="652"/>
      <c r="L23" s="653"/>
    </row>
    <row r="24" spans="2:12" ht="21.5" thickBot="1" x14ac:dyDescent="0.55000000000000004">
      <c r="B24" s="649" t="s">
        <v>27</v>
      </c>
      <c r="C24" s="650"/>
      <c r="D24" s="215">
        <v>0</v>
      </c>
      <c r="E24" s="215">
        <v>0</v>
      </c>
      <c r="F24" s="654"/>
      <c r="G24" s="655"/>
      <c r="H24" s="655"/>
      <c r="I24" s="655"/>
      <c r="J24" s="655"/>
      <c r="K24" s="655"/>
      <c r="L24" s="656"/>
    </row>
    <row r="25" spans="2:12" ht="21.5" thickBot="1" x14ac:dyDescent="0.55000000000000004">
      <c r="B25" s="192"/>
      <c r="C25" s="193"/>
      <c r="D25" s="193"/>
      <c r="E25" s="193"/>
      <c r="F25" s="193"/>
      <c r="G25" s="193"/>
      <c r="H25" s="193"/>
      <c r="I25" s="193"/>
      <c r="J25" s="193"/>
      <c r="K25" s="193"/>
      <c r="L25" s="194"/>
    </row>
    <row r="26" spans="2:12" ht="33" customHeight="1" x14ac:dyDescent="0.5">
      <c r="B26" s="641" t="s">
        <v>28</v>
      </c>
      <c r="C26" s="645"/>
      <c r="D26" s="195" t="s">
        <v>29</v>
      </c>
      <c r="E26" s="196" t="s">
        <v>30</v>
      </c>
      <c r="F26" s="196" t="s">
        <v>31</v>
      </c>
      <c r="G26" s="196" t="s">
        <v>233</v>
      </c>
      <c r="H26" s="196"/>
      <c r="I26" s="197" t="s">
        <v>234</v>
      </c>
      <c r="J26" s="193"/>
      <c r="K26" s="193"/>
      <c r="L26" s="194"/>
    </row>
    <row r="27" spans="2:12" ht="19.5" customHeight="1" x14ac:dyDescent="0.5">
      <c r="B27" s="649" t="s">
        <v>32</v>
      </c>
      <c r="C27" s="657"/>
      <c r="D27" s="210" t="s">
        <v>33</v>
      </c>
      <c r="E27" s="216">
        <v>2</v>
      </c>
      <c r="F27" s="216"/>
      <c r="G27" s="217">
        <v>11</v>
      </c>
      <c r="H27" s="216"/>
      <c r="I27" s="218"/>
      <c r="J27" s="193"/>
      <c r="K27" s="193"/>
      <c r="L27" s="194"/>
    </row>
    <row r="28" spans="2:12" ht="19.5" customHeight="1" thickBot="1" x14ac:dyDescent="0.55000000000000004">
      <c r="B28" s="649" t="s">
        <v>32</v>
      </c>
      <c r="C28" s="657"/>
      <c r="D28" s="215" t="s">
        <v>34</v>
      </c>
      <c r="E28" s="219">
        <v>5</v>
      </c>
      <c r="F28" s="219">
        <v>1</v>
      </c>
      <c r="G28" s="220">
        <v>11</v>
      </c>
      <c r="H28" s="219"/>
      <c r="I28" s="221"/>
      <c r="J28" s="193"/>
      <c r="K28" s="193"/>
      <c r="L28" s="194"/>
    </row>
    <row r="29" spans="2:12" x14ac:dyDescent="0.5">
      <c r="B29" s="222" t="s">
        <v>35</v>
      </c>
      <c r="D29" s="223"/>
      <c r="E29" s="193"/>
      <c r="F29" s="193"/>
      <c r="G29" s="193"/>
      <c r="H29" s="193"/>
      <c r="I29" s="193"/>
      <c r="J29" s="193"/>
      <c r="K29" s="193"/>
      <c r="L29" s="194"/>
    </row>
    <row r="30" spans="2:12" x14ac:dyDescent="0.5">
      <c r="B30" s="224" t="s">
        <v>36</v>
      </c>
      <c r="C30" s="225"/>
      <c r="D30" s="193"/>
      <c r="E30" s="193"/>
      <c r="F30" s="193"/>
      <c r="G30" s="193"/>
      <c r="H30" s="193"/>
      <c r="I30" s="193"/>
      <c r="J30" s="193"/>
      <c r="K30" s="193"/>
      <c r="L30" s="194"/>
    </row>
    <row r="31" spans="2:12" x14ac:dyDescent="0.5">
      <c r="B31" s="658" t="s">
        <v>37</v>
      </c>
      <c r="C31" s="659"/>
      <c r="D31" s="193"/>
      <c r="E31" s="193"/>
      <c r="F31" s="193"/>
      <c r="G31" s="193"/>
      <c r="H31" s="193"/>
      <c r="I31" s="193"/>
      <c r="J31" s="193"/>
      <c r="K31" s="193"/>
      <c r="L31" s="194"/>
    </row>
    <row r="32" spans="2:12" ht="21.5" thickBot="1" x14ac:dyDescent="0.55000000000000004">
      <c r="B32" s="192"/>
      <c r="C32" s="193"/>
      <c r="D32" s="193"/>
      <c r="E32" s="193"/>
      <c r="F32" s="193"/>
      <c r="G32" s="193"/>
      <c r="H32" s="193"/>
      <c r="I32" s="193"/>
      <c r="J32" s="193"/>
      <c r="K32" s="193"/>
      <c r="L32" s="194"/>
    </row>
    <row r="33" spans="2:14" ht="41.15" customHeight="1" x14ac:dyDescent="0.5">
      <c r="B33" s="803" t="s">
        <v>38</v>
      </c>
      <c r="C33" s="804"/>
      <c r="D33" s="461" t="s">
        <v>39</v>
      </c>
      <c r="E33" s="460" t="s">
        <v>40</v>
      </c>
      <c r="F33" s="460" t="s">
        <v>41</v>
      </c>
      <c r="G33" s="460" t="s">
        <v>42</v>
      </c>
      <c r="H33" s="460" t="s">
        <v>43</v>
      </c>
      <c r="I33" s="460" t="s">
        <v>44</v>
      </c>
      <c r="J33" s="459" t="s">
        <v>45</v>
      </c>
      <c r="K33" s="774"/>
      <c r="L33" s="663"/>
      <c r="N33" s="178" t="s">
        <v>46</v>
      </c>
    </row>
    <row r="34" spans="2:14" x14ac:dyDescent="0.5">
      <c r="B34" s="805" t="s">
        <v>47</v>
      </c>
      <c r="C34" s="806"/>
      <c r="D34" s="458">
        <v>45971</v>
      </c>
      <c r="E34" s="457">
        <f>D34+1</f>
        <v>45972</v>
      </c>
      <c r="F34" s="457">
        <f t="shared" ref="F34:J34" si="1">E34+1</f>
        <v>45973</v>
      </c>
      <c r="G34" s="457">
        <f>F34+1</f>
        <v>45974</v>
      </c>
      <c r="H34" s="457">
        <f t="shared" si="1"/>
        <v>45975</v>
      </c>
      <c r="I34" s="457">
        <f t="shared" si="1"/>
        <v>45976</v>
      </c>
      <c r="J34" s="456">
        <f t="shared" si="1"/>
        <v>45977</v>
      </c>
      <c r="K34" s="774"/>
      <c r="L34" s="663"/>
    </row>
    <row r="35" spans="2:14" x14ac:dyDescent="0.5">
      <c r="B35" s="805" t="s">
        <v>48</v>
      </c>
      <c r="C35" s="806"/>
      <c r="D35" s="455">
        <v>65</v>
      </c>
      <c r="E35" s="454">
        <v>72</v>
      </c>
      <c r="F35" s="452"/>
      <c r="G35" s="454"/>
      <c r="H35" s="453"/>
      <c r="I35" s="452"/>
      <c r="J35" s="451"/>
      <c r="K35" s="774"/>
      <c r="L35" s="663"/>
    </row>
    <row r="36" spans="2:14" ht="21.5" thickBot="1" x14ac:dyDescent="0.55000000000000004">
      <c r="B36" s="805" t="s">
        <v>49</v>
      </c>
      <c r="C36" s="806"/>
      <c r="D36" s="450">
        <v>45</v>
      </c>
      <c r="E36" s="449">
        <v>46</v>
      </c>
      <c r="F36" s="447"/>
      <c r="G36" s="449"/>
      <c r="H36" s="448"/>
      <c r="I36" s="447"/>
      <c r="J36" s="446"/>
      <c r="K36" s="774"/>
      <c r="L36" s="663"/>
    </row>
    <row r="37" spans="2:14" ht="21.5" thickBot="1" x14ac:dyDescent="0.55000000000000004">
      <c r="B37" s="445"/>
      <c r="C37" s="444" t="s">
        <v>50</v>
      </c>
      <c r="D37" s="443"/>
      <c r="E37" s="442"/>
      <c r="F37" s="442"/>
      <c r="G37" s="442"/>
      <c r="H37" s="442"/>
      <c r="I37" s="441"/>
      <c r="J37" s="440"/>
      <c r="K37" s="774"/>
      <c r="L37" s="663"/>
    </row>
    <row r="38" spans="2:14" x14ac:dyDescent="0.5">
      <c r="B38" s="233"/>
      <c r="C38" s="234"/>
      <c r="D38" s="235"/>
      <c r="E38" s="236"/>
      <c r="F38" s="237"/>
      <c r="G38" s="237"/>
      <c r="H38" s="237"/>
      <c r="I38" s="237"/>
      <c r="J38" s="237"/>
      <c r="K38" s="237"/>
      <c r="L38" s="238"/>
      <c r="N38" s="178" t="s">
        <v>46</v>
      </c>
    </row>
    <row r="39" spans="2:14" ht="21" hidden="1" customHeight="1" outlineLevel="1" x14ac:dyDescent="0.5">
      <c r="B39" s="239" t="s">
        <v>51</v>
      </c>
      <c r="C39" s="240"/>
      <c r="D39" s="241" t="s">
        <v>52</v>
      </c>
      <c r="E39" s="241" t="s">
        <v>53</v>
      </c>
      <c r="F39" s="242" t="s">
        <v>54</v>
      </c>
      <c r="G39" s="241" t="s">
        <v>55</v>
      </c>
      <c r="H39" s="241" t="s">
        <v>56</v>
      </c>
      <c r="I39" s="241" t="s">
        <v>57</v>
      </c>
      <c r="J39" s="241" t="s">
        <v>58</v>
      </c>
      <c r="K39" s="243"/>
      <c r="L39" s="244"/>
    </row>
    <row r="40" spans="2:14" ht="21" hidden="1" customHeight="1" outlineLevel="1" x14ac:dyDescent="0.5">
      <c r="B40" s="233"/>
      <c r="C40" s="245" t="s">
        <v>47</v>
      </c>
      <c r="D40" s="246">
        <v>44816</v>
      </c>
      <c r="E40" s="246">
        <f t="shared" ref="E40:J40" si="2">+D40+1</f>
        <v>44817</v>
      </c>
      <c r="F40" s="246">
        <f t="shared" si="2"/>
        <v>44818</v>
      </c>
      <c r="G40" s="246">
        <f t="shared" si="2"/>
        <v>44819</v>
      </c>
      <c r="H40" s="246">
        <f t="shared" si="2"/>
        <v>44820</v>
      </c>
      <c r="I40" s="246">
        <f t="shared" si="2"/>
        <v>44821</v>
      </c>
      <c r="J40" s="246">
        <f t="shared" si="2"/>
        <v>44822</v>
      </c>
      <c r="K40" s="243"/>
      <c r="L40" s="244"/>
    </row>
    <row r="41" spans="2:14" ht="21" hidden="1" customHeight="1" outlineLevel="1" x14ac:dyDescent="0.5">
      <c r="B41" s="233"/>
      <c r="C41" s="245" t="s">
        <v>48</v>
      </c>
      <c r="D41" s="247"/>
      <c r="E41" s="247"/>
      <c r="F41" s="248"/>
      <c r="G41" s="247"/>
      <c r="H41" s="247"/>
      <c r="I41" s="247" t="s">
        <v>59</v>
      </c>
      <c r="J41" s="247" t="s">
        <v>59</v>
      </c>
      <c r="K41" s="243"/>
      <c r="L41" s="244"/>
    </row>
    <row r="42" spans="2:14" ht="21" hidden="1" customHeight="1" outlineLevel="1" x14ac:dyDescent="0.5">
      <c r="B42" s="233"/>
      <c r="C42" s="245" t="s">
        <v>60</v>
      </c>
      <c r="D42" s="247"/>
      <c r="E42" s="247"/>
      <c r="F42" s="248"/>
      <c r="G42" s="247"/>
      <c r="H42" s="247"/>
      <c r="I42" s="247" t="s">
        <v>59</v>
      </c>
      <c r="J42" s="247" t="s">
        <v>59</v>
      </c>
      <c r="K42" s="243"/>
      <c r="L42" s="244"/>
    </row>
    <row r="43" spans="2:14" ht="21" hidden="1" customHeight="1" outlineLevel="1" x14ac:dyDescent="0.5">
      <c r="B43" s="233"/>
      <c r="C43" s="245" t="s">
        <v>61</v>
      </c>
      <c r="D43" s="249">
        <v>0</v>
      </c>
      <c r="E43" s="249">
        <v>0</v>
      </c>
      <c r="F43" s="250">
        <v>0</v>
      </c>
      <c r="G43" s="249">
        <v>0</v>
      </c>
      <c r="H43" s="249">
        <v>0</v>
      </c>
      <c r="I43" s="249">
        <v>0</v>
      </c>
      <c r="J43" s="249">
        <v>0</v>
      </c>
      <c r="K43" s="243"/>
      <c r="L43" s="244"/>
    </row>
    <row r="44" spans="2:14" ht="21" hidden="1" customHeight="1" outlineLevel="1" x14ac:dyDescent="0.5">
      <c r="B44" s="233"/>
      <c r="C44" s="251"/>
      <c r="D44" s="252" t="s">
        <v>62</v>
      </c>
      <c r="E44" s="252" t="s">
        <v>62</v>
      </c>
      <c r="F44" s="253" t="s">
        <v>62</v>
      </c>
      <c r="G44" s="253" t="s">
        <v>62</v>
      </c>
      <c r="H44" s="253" t="s">
        <v>62</v>
      </c>
      <c r="I44" s="253" t="s">
        <v>62</v>
      </c>
      <c r="J44" s="253" t="s">
        <v>62</v>
      </c>
      <c r="K44" s="243"/>
      <c r="L44" s="244"/>
    </row>
    <row r="45" spans="2:14" s="189" customFormat="1" ht="20" collapsed="1" x14ac:dyDescent="0.4">
      <c r="B45" s="629" t="s">
        <v>118</v>
      </c>
      <c r="C45" s="630"/>
      <c r="D45" s="630"/>
      <c r="E45" s="630"/>
      <c r="F45" s="630"/>
      <c r="G45" s="630"/>
      <c r="H45" s="630"/>
      <c r="I45" s="630"/>
      <c r="J45" s="630"/>
      <c r="K45" s="630"/>
      <c r="L45" s="631"/>
    </row>
    <row r="46" spans="2:14" ht="26.4" customHeight="1" x14ac:dyDescent="0.5">
      <c r="B46" s="254" t="s">
        <v>119</v>
      </c>
      <c r="C46" s="255"/>
      <c r="D46" s="183"/>
      <c r="E46" s="183"/>
      <c r="F46" s="183"/>
      <c r="G46" s="183"/>
      <c r="H46" s="183"/>
      <c r="I46" s="183"/>
      <c r="J46" s="183"/>
      <c r="K46" s="183"/>
      <c r="L46" s="256"/>
    </row>
    <row r="47" spans="2:14" ht="21" customHeight="1" x14ac:dyDescent="0.5">
      <c r="B47" s="257"/>
      <c r="C47" s="255"/>
      <c r="D47" s="735" t="s">
        <v>287</v>
      </c>
      <c r="E47" s="736"/>
      <c r="F47" s="736"/>
      <c r="G47" s="736"/>
      <c r="H47" s="736"/>
      <c r="I47" s="736"/>
      <c r="J47" s="736"/>
      <c r="K47" s="736"/>
      <c r="L47" s="737"/>
    </row>
    <row r="48" spans="2:14" ht="20.149999999999999" customHeight="1" x14ac:dyDescent="0.5">
      <c r="B48" s="257"/>
      <c r="C48" s="255"/>
      <c r="D48" s="735"/>
      <c r="E48" s="736"/>
      <c r="F48" s="736"/>
      <c r="G48" s="736"/>
      <c r="H48" s="736"/>
      <c r="I48" s="736"/>
      <c r="J48" s="736"/>
      <c r="K48" s="736"/>
      <c r="L48" s="737"/>
    </row>
    <row r="49" spans="2:12" ht="21" customHeight="1" thickBot="1" x14ac:dyDescent="0.55000000000000004">
      <c r="B49" s="257"/>
      <c r="C49" s="255"/>
      <c r="D49" s="738"/>
      <c r="E49" s="739"/>
      <c r="F49" s="739"/>
      <c r="G49" s="739"/>
      <c r="H49" s="739"/>
      <c r="I49" s="739"/>
      <c r="J49" s="739"/>
      <c r="K49" s="739"/>
      <c r="L49" s="740"/>
    </row>
    <row r="50" spans="2:12" ht="21" customHeight="1" x14ac:dyDescent="0.5">
      <c r="B50" s="257"/>
      <c r="C50" s="255"/>
      <c r="L50" s="258"/>
    </row>
    <row r="51" spans="2:12" ht="21" customHeight="1" thickBot="1" x14ac:dyDescent="0.55000000000000004">
      <c r="B51" s="259"/>
      <c r="C51" s="255"/>
      <c r="D51" s="260"/>
      <c r="E51" s="260"/>
      <c r="F51" s="261"/>
      <c r="G51" s="261"/>
      <c r="H51" s="261"/>
      <c r="I51" s="261"/>
      <c r="J51" s="261"/>
      <c r="K51" s="261"/>
      <c r="L51" s="262"/>
    </row>
    <row r="52" spans="2:12" x14ac:dyDescent="0.5">
      <c r="B52" s="686" t="s">
        <v>120</v>
      </c>
      <c r="C52" s="688"/>
      <c r="D52" s="195" t="s">
        <v>19</v>
      </c>
      <c r="E52" s="197" t="s">
        <v>20</v>
      </c>
      <c r="F52" s="234"/>
      <c r="G52" s="234"/>
      <c r="H52" s="234"/>
      <c r="I52" s="234"/>
      <c r="J52" s="234"/>
      <c r="K52" s="234"/>
      <c r="L52" s="263"/>
    </row>
    <row r="53" spans="2:12" x14ac:dyDescent="0.5">
      <c r="B53" s="264"/>
      <c r="C53" s="265" t="s">
        <v>121</v>
      </c>
      <c r="D53" s="210">
        <v>0</v>
      </c>
      <c r="E53" s="228">
        <v>0</v>
      </c>
      <c r="F53" s="234"/>
      <c r="G53" s="234"/>
      <c r="H53" s="234"/>
      <c r="I53" s="234"/>
      <c r="J53" s="234"/>
      <c r="K53" s="234"/>
      <c r="L53" s="263"/>
    </row>
    <row r="54" spans="2:12" x14ac:dyDescent="0.5">
      <c r="B54" s="264"/>
      <c r="C54" s="265" t="s">
        <v>122</v>
      </c>
      <c r="D54" s="210">
        <v>0</v>
      </c>
      <c r="E54" s="228">
        <v>0</v>
      </c>
      <c r="F54" s="234"/>
      <c r="G54" s="234"/>
      <c r="H54" s="234"/>
      <c r="I54" s="234"/>
      <c r="J54" s="234"/>
      <c r="K54" s="234"/>
      <c r="L54" s="263"/>
    </row>
    <row r="55" spans="2:12" x14ac:dyDescent="0.5">
      <c r="B55" s="264"/>
      <c r="C55" s="265" t="s">
        <v>123</v>
      </c>
      <c r="D55" s="210">
        <v>0</v>
      </c>
      <c r="E55" s="228">
        <v>0</v>
      </c>
      <c r="F55" s="234"/>
      <c r="G55" s="234"/>
      <c r="H55" s="234"/>
      <c r="I55" s="234"/>
      <c r="J55" s="234"/>
      <c r="K55" s="234"/>
      <c r="L55" s="263"/>
    </row>
    <row r="56" spans="2:12" ht="21.5" thickBot="1" x14ac:dyDescent="0.55000000000000004">
      <c r="B56" s="264"/>
      <c r="C56" s="265" t="s">
        <v>124</v>
      </c>
      <c r="D56" s="215">
        <v>0</v>
      </c>
      <c r="E56" s="266">
        <v>0</v>
      </c>
      <c r="F56" s="234"/>
      <c r="G56" s="234"/>
      <c r="H56" s="234"/>
      <c r="I56" s="234"/>
      <c r="J56" s="234"/>
      <c r="K56" s="234"/>
      <c r="L56" s="263"/>
    </row>
    <row r="57" spans="2:12" ht="21.5" thickBot="1" x14ac:dyDescent="0.55000000000000004">
      <c r="B57" s="257"/>
      <c r="C57" s="234"/>
      <c r="D57" s="234"/>
      <c r="E57" s="234"/>
      <c r="F57" s="234"/>
      <c r="G57" s="234"/>
      <c r="H57" s="234"/>
      <c r="I57" s="234"/>
      <c r="J57" s="234"/>
      <c r="K57" s="234"/>
      <c r="L57" s="263"/>
    </row>
    <row r="58" spans="2:12" x14ac:dyDescent="0.5">
      <c r="B58" s="267"/>
      <c r="C58" s="195" t="s">
        <v>126</v>
      </c>
      <c r="D58" s="196" t="s">
        <v>21</v>
      </c>
      <c r="E58" s="196" t="s">
        <v>68</v>
      </c>
      <c r="F58" s="196" t="s">
        <v>127</v>
      </c>
      <c r="G58" s="206" t="s">
        <v>128</v>
      </c>
      <c r="H58" s="206" t="s">
        <v>129</v>
      </c>
      <c r="I58" s="196" t="s">
        <v>130</v>
      </c>
      <c r="J58" s="207" t="s">
        <v>131</v>
      </c>
      <c r="K58" s="197" t="s">
        <v>132</v>
      </c>
      <c r="L58" s="197" t="s">
        <v>133</v>
      </c>
    </row>
    <row r="59" spans="2:12" x14ac:dyDescent="0.5">
      <c r="B59" s="267"/>
      <c r="C59" s="268">
        <v>1</v>
      </c>
      <c r="D59" s="269" t="s">
        <v>260</v>
      </c>
      <c r="E59" s="269" t="s">
        <v>122</v>
      </c>
      <c r="F59" s="270">
        <v>45960</v>
      </c>
      <c r="G59" s="271"/>
      <c r="H59" s="272"/>
      <c r="I59" s="273">
        <v>61742</v>
      </c>
      <c r="J59" s="272"/>
      <c r="K59" s="274"/>
      <c r="L59" s="274">
        <v>61742</v>
      </c>
    </row>
    <row r="60" spans="2:12" x14ac:dyDescent="0.5">
      <c r="B60" s="267"/>
      <c r="C60" s="268">
        <v>2</v>
      </c>
      <c r="D60" s="269" t="s">
        <v>259</v>
      </c>
      <c r="E60" s="269" t="s">
        <v>122</v>
      </c>
      <c r="F60" s="270">
        <v>45979</v>
      </c>
      <c r="G60" s="269" t="s">
        <v>283</v>
      </c>
      <c r="H60" s="269" t="s">
        <v>283</v>
      </c>
      <c r="I60" s="273">
        <v>42752</v>
      </c>
      <c r="J60" s="269" t="s">
        <v>283</v>
      </c>
      <c r="K60" s="269" t="s">
        <v>283</v>
      </c>
      <c r="L60" s="274">
        <v>42752</v>
      </c>
    </row>
    <row r="61" spans="2:12" ht="33" customHeight="1" x14ac:dyDescent="0.5">
      <c r="B61" s="267"/>
      <c r="C61" s="275">
        <v>3</v>
      </c>
      <c r="D61" s="276" t="s">
        <v>290</v>
      </c>
      <c r="E61" s="269" t="s">
        <v>122</v>
      </c>
      <c r="F61" s="277">
        <v>46000</v>
      </c>
      <c r="G61" s="278"/>
      <c r="H61" s="279"/>
      <c r="I61" s="279">
        <v>2849</v>
      </c>
      <c r="J61" s="280"/>
      <c r="K61" s="281"/>
      <c r="L61" s="281"/>
    </row>
    <row r="62" spans="2:12" x14ac:dyDescent="0.5">
      <c r="B62" s="267"/>
      <c r="C62" s="275">
        <v>4</v>
      </c>
      <c r="D62" s="276" t="s">
        <v>291</v>
      </c>
      <c r="E62" s="269" t="s">
        <v>122</v>
      </c>
      <c r="F62" s="277">
        <v>46000</v>
      </c>
      <c r="G62" s="278"/>
      <c r="H62" s="279"/>
      <c r="I62" s="279">
        <v>11219</v>
      </c>
      <c r="J62" s="280"/>
      <c r="K62" s="281"/>
      <c r="L62" s="281"/>
    </row>
    <row r="63" spans="2:12" ht="28" x14ac:dyDescent="0.5">
      <c r="B63" s="267"/>
      <c r="C63" s="275">
        <v>5</v>
      </c>
      <c r="D63" s="269" t="s">
        <v>296</v>
      </c>
      <c r="E63" s="269" t="s">
        <v>122</v>
      </c>
      <c r="F63" s="270">
        <v>46001</v>
      </c>
      <c r="G63" s="528"/>
      <c r="H63" s="529"/>
      <c r="I63" s="529">
        <v>19683</v>
      </c>
      <c r="J63" s="530"/>
      <c r="K63" s="531"/>
      <c r="L63" s="531"/>
    </row>
    <row r="64" spans="2:12" ht="21.5" thickBot="1" x14ac:dyDescent="0.55000000000000004">
      <c r="B64" s="267"/>
      <c r="C64" s="282" t="s">
        <v>32</v>
      </c>
      <c r="D64" s="532"/>
      <c r="E64" s="533"/>
      <c r="F64" s="534"/>
      <c r="G64" s="286">
        <f t="shared" ref="G64:L64" si="3">SUM(G59:G62)</f>
        <v>0</v>
      </c>
      <c r="H64" s="287">
        <f t="shared" si="3"/>
        <v>0</v>
      </c>
      <c r="I64" s="287">
        <f t="shared" si="3"/>
        <v>118562</v>
      </c>
      <c r="J64" s="287">
        <f t="shared" si="3"/>
        <v>0</v>
      </c>
      <c r="K64" s="288">
        <f t="shared" si="3"/>
        <v>0</v>
      </c>
      <c r="L64" s="288">
        <f t="shared" si="3"/>
        <v>104494</v>
      </c>
    </row>
    <row r="65" spans="1:12" s="189" customFormat="1" collapsed="1" x14ac:dyDescent="0.5">
      <c r="A65" s="178"/>
      <c r="B65" s="264"/>
      <c r="C65" s="265"/>
      <c r="D65" s="289"/>
      <c r="E65" s="289"/>
      <c r="F65" s="234"/>
      <c r="G65" s="234"/>
      <c r="H65" s="234"/>
      <c r="I65" s="234"/>
      <c r="J65" s="234"/>
      <c r="K65" s="234"/>
      <c r="L65" s="263"/>
    </row>
    <row r="66" spans="1:12" ht="21" customHeight="1" x14ac:dyDescent="0.5">
      <c r="A66" s="189"/>
      <c r="B66" s="629" t="s">
        <v>113</v>
      </c>
      <c r="C66" s="630"/>
      <c r="D66" s="630"/>
      <c r="E66" s="630"/>
      <c r="F66" s="630"/>
      <c r="G66" s="630"/>
      <c r="H66" s="630"/>
      <c r="I66" s="630"/>
      <c r="J66" s="630"/>
      <c r="K66" s="630"/>
      <c r="L66" s="631"/>
    </row>
    <row r="67" spans="1:12" ht="21" customHeight="1" x14ac:dyDescent="0.5">
      <c r="B67" s="254" t="s">
        <v>114</v>
      </c>
      <c r="C67" s="665"/>
      <c r="D67" s="666"/>
      <c r="E67" s="666"/>
      <c r="F67" s="666"/>
      <c r="G67" s="666"/>
      <c r="H67" s="666"/>
      <c r="I67" s="666"/>
      <c r="J67" s="666"/>
      <c r="K67" s="666"/>
      <c r="L67" s="667"/>
    </row>
    <row r="68" spans="1:12" x14ac:dyDescent="0.5">
      <c r="B68" s="257"/>
      <c r="C68" s="668"/>
      <c r="D68" s="669"/>
      <c r="E68" s="669"/>
      <c r="F68" s="669"/>
      <c r="G68" s="669"/>
      <c r="H68" s="669"/>
      <c r="I68" s="669"/>
      <c r="J68" s="669"/>
      <c r="K68" s="669"/>
      <c r="L68" s="670"/>
    </row>
    <row r="69" spans="1:12" x14ac:dyDescent="0.5">
      <c r="B69" s="290"/>
      <c r="C69" s="775"/>
      <c r="D69" s="669"/>
      <c r="E69" s="669"/>
      <c r="F69" s="669"/>
      <c r="G69" s="669"/>
      <c r="H69" s="669"/>
      <c r="I69" s="669"/>
      <c r="J69" s="669"/>
      <c r="K69" s="669"/>
      <c r="L69" s="670"/>
    </row>
    <row r="70" spans="1:12" ht="21" customHeight="1" x14ac:dyDescent="0.5">
      <c r="B70" s="629" t="s">
        <v>115</v>
      </c>
      <c r="C70" s="630"/>
      <c r="D70" s="630"/>
      <c r="E70" s="630"/>
      <c r="F70" s="630"/>
      <c r="G70" s="630"/>
      <c r="H70" s="630"/>
      <c r="I70" s="630"/>
      <c r="J70" s="630"/>
      <c r="K70" s="630"/>
      <c r="L70" s="631"/>
    </row>
    <row r="71" spans="1:12" ht="21" customHeight="1" x14ac:dyDescent="0.5">
      <c r="B71" s="254" t="s">
        <v>114</v>
      </c>
      <c r="C71" s="673"/>
      <c r="D71" s="674"/>
      <c r="E71" s="674"/>
      <c r="F71" s="674"/>
      <c r="G71" s="674"/>
      <c r="H71" s="674"/>
      <c r="I71" s="674"/>
      <c r="J71" s="674"/>
      <c r="K71" s="675"/>
      <c r="L71" s="291"/>
    </row>
    <row r="72" spans="1:12" ht="21" customHeight="1" x14ac:dyDescent="0.5">
      <c r="B72" s="259"/>
      <c r="C72" s="676"/>
      <c r="D72" s="677"/>
      <c r="E72" s="677"/>
      <c r="F72" s="677"/>
      <c r="G72" s="677"/>
      <c r="H72" s="677"/>
      <c r="I72" s="677"/>
      <c r="J72" s="677"/>
      <c r="K72" s="678"/>
      <c r="L72" s="291"/>
    </row>
    <row r="73" spans="1:12" ht="21" customHeight="1" x14ac:dyDescent="0.5">
      <c r="B73" s="259"/>
      <c r="C73" s="679"/>
      <c r="D73" s="680"/>
      <c r="E73" s="680"/>
      <c r="F73" s="680"/>
      <c r="G73" s="680"/>
      <c r="H73" s="680"/>
      <c r="I73" s="680"/>
      <c r="J73" s="680"/>
      <c r="K73" s="681"/>
      <c r="L73" s="291"/>
    </row>
    <row r="74" spans="1:12" s="189" customFormat="1" ht="22.65" customHeight="1" x14ac:dyDescent="0.5">
      <c r="A74" s="178"/>
      <c r="B74" s="259"/>
      <c r="C74" s="292"/>
      <c r="D74" s="292"/>
      <c r="E74" s="292"/>
      <c r="F74" s="292"/>
      <c r="G74" s="292"/>
      <c r="H74" s="292"/>
      <c r="I74" s="292"/>
      <c r="J74" s="292"/>
      <c r="K74" s="292"/>
      <c r="L74" s="291"/>
    </row>
    <row r="75" spans="1:12" ht="22.65" customHeight="1" x14ac:dyDescent="0.5">
      <c r="A75" s="189"/>
      <c r="B75" s="629" t="s">
        <v>63</v>
      </c>
      <c r="C75" s="630"/>
      <c r="D75" s="630"/>
      <c r="E75" s="630"/>
      <c r="F75" s="630"/>
      <c r="G75" s="630"/>
      <c r="H75" s="630"/>
      <c r="I75" s="630"/>
      <c r="J75" s="630"/>
      <c r="K75" s="630"/>
      <c r="L75" s="631"/>
    </row>
    <row r="76" spans="1:12" ht="21.5" thickBot="1" x14ac:dyDescent="0.55000000000000004">
      <c r="B76" s="686" t="s">
        <v>64</v>
      </c>
      <c r="C76" s="688"/>
      <c r="D76" s="293"/>
      <c r="E76" s="293"/>
      <c r="F76" s="293"/>
      <c r="G76" s="293"/>
      <c r="H76" s="293"/>
      <c r="I76" s="237"/>
      <c r="J76" s="234"/>
      <c r="K76" s="234"/>
      <c r="L76" s="263"/>
    </row>
    <row r="77" spans="1:12" ht="22.65" customHeight="1" x14ac:dyDescent="0.5">
      <c r="B77" s="294"/>
      <c r="C77" s="295"/>
      <c r="D77" s="195" t="s">
        <v>65</v>
      </c>
      <c r="E77" s="196" t="s">
        <v>66</v>
      </c>
      <c r="F77" s="197" t="s">
        <v>67</v>
      </c>
      <c r="G77" s="197" t="s">
        <v>68</v>
      </c>
      <c r="H77" s="183"/>
      <c r="I77" s="234"/>
      <c r="J77" s="234"/>
      <c r="K77" s="234"/>
      <c r="L77" s="263"/>
    </row>
    <row r="78" spans="1:12" ht="22.65" customHeight="1" thickBot="1" x14ac:dyDescent="0.55000000000000004">
      <c r="B78" s="294"/>
      <c r="C78" s="209" t="s">
        <v>69</v>
      </c>
      <c r="D78" s="296">
        <v>45955</v>
      </c>
      <c r="E78" s="297">
        <v>45955</v>
      </c>
      <c r="F78" s="298">
        <f>+D78-E78</f>
        <v>0</v>
      </c>
      <c r="G78" s="298"/>
      <c r="H78" s="183"/>
      <c r="I78" s="234"/>
      <c r="J78" s="234"/>
      <c r="K78" s="234"/>
      <c r="L78" s="263"/>
    </row>
    <row r="79" spans="1:12" ht="22.65" customHeight="1" thickBot="1" x14ac:dyDescent="0.55000000000000004">
      <c r="B79" s="294"/>
      <c r="C79" s="209" t="s">
        <v>70</v>
      </c>
      <c r="D79" s="296">
        <v>45967</v>
      </c>
      <c r="E79" s="297">
        <v>45931</v>
      </c>
      <c r="F79" s="298">
        <f t="shared" ref="F79:F83" si="4">+D79-E79</f>
        <v>36</v>
      </c>
      <c r="G79" s="298"/>
      <c r="H79" s="183"/>
      <c r="I79" s="234"/>
      <c r="J79" s="234"/>
      <c r="K79" s="234"/>
      <c r="L79" s="263"/>
    </row>
    <row r="80" spans="1:12" ht="22.65" customHeight="1" thickBot="1" x14ac:dyDescent="0.55000000000000004">
      <c r="B80" s="294"/>
      <c r="C80" s="209" t="s">
        <v>71</v>
      </c>
      <c r="D80" s="296">
        <v>45968</v>
      </c>
      <c r="E80" s="299">
        <v>45972</v>
      </c>
      <c r="F80" s="298">
        <f t="shared" si="4"/>
        <v>-4</v>
      </c>
      <c r="G80" s="298"/>
      <c r="H80" s="183"/>
      <c r="I80" s="234"/>
      <c r="J80" s="234"/>
      <c r="K80" s="234"/>
      <c r="L80" s="263"/>
    </row>
    <row r="81" spans="1:12" ht="22.65" customHeight="1" thickBot="1" x14ac:dyDescent="0.55000000000000004">
      <c r="B81" s="294"/>
      <c r="C81" s="209" t="s">
        <v>72</v>
      </c>
      <c r="D81" s="296">
        <v>45968</v>
      </c>
      <c r="E81" s="297">
        <v>45968</v>
      </c>
      <c r="F81" s="298">
        <f t="shared" si="4"/>
        <v>0</v>
      </c>
      <c r="G81" s="298"/>
      <c r="H81" s="183"/>
      <c r="I81" s="234"/>
      <c r="J81" s="234"/>
      <c r="K81" s="234"/>
      <c r="L81" s="263"/>
    </row>
    <row r="82" spans="1:12" ht="22.65" customHeight="1" thickBot="1" x14ac:dyDescent="0.55000000000000004">
      <c r="B82" s="294"/>
      <c r="C82" s="209" t="s">
        <v>73</v>
      </c>
      <c r="D82" s="296">
        <v>45971</v>
      </c>
      <c r="E82" s="299">
        <v>45972</v>
      </c>
      <c r="F82" s="298">
        <f t="shared" si="4"/>
        <v>-1</v>
      </c>
      <c r="G82" s="298"/>
      <c r="H82" s="183"/>
      <c r="I82" s="234"/>
      <c r="J82" s="234"/>
      <c r="K82" s="234"/>
      <c r="L82" s="263"/>
    </row>
    <row r="83" spans="1:12" ht="22.65" customHeight="1" thickBot="1" x14ac:dyDescent="0.55000000000000004">
      <c r="B83" s="294"/>
      <c r="C83" s="209" t="s">
        <v>74</v>
      </c>
      <c r="D83" s="296">
        <v>45994</v>
      </c>
      <c r="E83" s="299">
        <v>46002</v>
      </c>
      <c r="F83" s="298">
        <f t="shared" si="4"/>
        <v>-8</v>
      </c>
      <c r="G83" s="298"/>
      <c r="H83" s="183"/>
      <c r="I83" s="234"/>
      <c r="J83" s="234"/>
      <c r="K83" s="234"/>
      <c r="L83" s="263"/>
    </row>
    <row r="84" spans="1:12" ht="36" customHeight="1" thickBot="1" x14ac:dyDescent="0.55000000000000004">
      <c r="B84" s="294"/>
      <c r="C84" s="209"/>
      <c r="D84" s="300"/>
      <c r="E84" s="183"/>
      <c r="F84" s="234"/>
      <c r="G84" s="234"/>
      <c r="H84" s="183"/>
      <c r="I84" s="234"/>
      <c r="J84" s="234"/>
      <c r="K84" s="234"/>
      <c r="L84" s="263"/>
    </row>
    <row r="85" spans="1:12" ht="36" customHeight="1" x14ac:dyDescent="0.5">
      <c r="B85" s="257"/>
      <c r="C85" s="301"/>
      <c r="D85" s="195" t="s">
        <v>77</v>
      </c>
      <c r="E85" s="196" t="s">
        <v>78</v>
      </c>
      <c r="F85" s="196" t="s">
        <v>79</v>
      </c>
      <c r="G85" s="196" t="s">
        <v>80</v>
      </c>
      <c r="H85" s="197" t="s">
        <v>81</v>
      </c>
      <c r="I85" s="234"/>
      <c r="J85" s="234"/>
      <c r="K85" s="234"/>
      <c r="L85" s="263"/>
    </row>
    <row r="86" spans="1:12" ht="36" customHeight="1" x14ac:dyDescent="0.5">
      <c r="B86" s="257"/>
      <c r="C86" s="209"/>
      <c r="D86" s="302"/>
      <c r="E86" s="303"/>
      <c r="F86" s="304"/>
      <c r="G86" s="303"/>
      <c r="H86" s="305"/>
      <c r="I86" s="234"/>
      <c r="J86" s="234"/>
      <c r="K86" s="234"/>
      <c r="L86" s="263"/>
    </row>
    <row r="87" spans="1:12" ht="29.25" customHeight="1" thickBot="1" x14ac:dyDescent="0.55000000000000004">
      <c r="B87" s="233"/>
      <c r="C87" s="209" t="s">
        <v>82</v>
      </c>
      <c r="D87" s="306"/>
      <c r="E87" s="307"/>
      <c r="F87" s="308">
        <f t="shared" ref="F87:F92" si="5">D87-E87</f>
        <v>0</v>
      </c>
      <c r="G87" s="307">
        <v>0</v>
      </c>
      <c r="H87" s="309">
        <v>0</v>
      </c>
      <c r="I87" s="234"/>
      <c r="J87" s="310"/>
      <c r="K87" s="234"/>
      <c r="L87" s="263"/>
    </row>
    <row r="88" spans="1:12" ht="22.65" customHeight="1" thickBot="1" x14ac:dyDescent="0.55000000000000004">
      <c r="B88" s="684" t="s">
        <v>83</v>
      </c>
      <c r="C88" s="685"/>
      <c r="D88" s="306"/>
      <c r="E88" s="307"/>
      <c r="F88" s="308">
        <f t="shared" si="5"/>
        <v>0</v>
      </c>
      <c r="G88" s="307">
        <v>0</v>
      </c>
      <c r="H88" s="309">
        <v>0</v>
      </c>
      <c r="I88" s="234"/>
      <c r="J88" s="310"/>
      <c r="K88" s="234"/>
      <c r="L88" s="263"/>
    </row>
    <row r="89" spans="1:12" ht="22.65" customHeight="1" thickBot="1" x14ac:dyDescent="0.55000000000000004">
      <c r="B89" s="233"/>
      <c r="C89" s="209" t="s">
        <v>84</v>
      </c>
      <c r="D89" s="306"/>
      <c r="E89" s="307"/>
      <c r="F89" s="308">
        <f t="shared" si="5"/>
        <v>0</v>
      </c>
      <c r="G89" s="307">
        <v>0</v>
      </c>
      <c r="H89" s="309">
        <v>0</v>
      </c>
      <c r="I89" s="234"/>
      <c r="J89" s="310"/>
      <c r="K89" s="234"/>
      <c r="L89" s="263"/>
    </row>
    <row r="90" spans="1:12" ht="22.65" customHeight="1" thickBot="1" x14ac:dyDescent="0.55000000000000004">
      <c r="B90" s="233"/>
      <c r="C90" s="209" t="s">
        <v>85</v>
      </c>
      <c r="D90" s="306"/>
      <c r="E90" s="307"/>
      <c r="F90" s="308">
        <f t="shared" si="5"/>
        <v>0</v>
      </c>
      <c r="G90" s="307">
        <v>0</v>
      </c>
      <c r="H90" s="309">
        <v>0</v>
      </c>
      <c r="I90" s="234"/>
      <c r="J90" s="310"/>
      <c r="K90" s="234"/>
      <c r="L90" s="263"/>
    </row>
    <row r="91" spans="1:12" ht="22.65" customHeight="1" thickBot="1" x14ac:dyDescent="0.55000000000000004">
      <c r="B91" s="233"/>
      <c r="C91" s="209" t="s">
        <v>86</v>
      </c>
      <c r="D91" s="306"/>
      <c r="E91" s="307"/>
      <c r="F91" s="308">
        <f t="shared" si="5"/>
        <v>0</v>
      </c>
      <c r="G91" s="307">
        <v>0</v>
      </c>
      <c r="H91" s="309">
        <v>0</v>
      </c>
      <c r="I91" s="311"/>
      <c r="J91" s="310"/>
      <c r="K91" s="234"/>
      <c r="L91" s="263"/>
    </row>
    <row r="92" spans="1:12" s="317" customFormat="1" ht="46.5" hidden="1" customHeight="1" thickBot="1" x14ac:dyDescent="0.55000000000000004">
      <c r="A92" s="178"/>
      <c r="B92" s="264"/>
      <c r="C92" s="209" t="s">
        <v>87</v>
      </c>
      <c r="D92" s="306"/>
      <c r="E92" s="307"/>
      <c r="F92" s="308">
        <f t="shared" si="5"/>
        <v>0</v>
      </c>
      <c r="G92" s="307">
        <v>0</v>
      </c>
      <c r="H92" s="309">
        <v>0</v>
      </c>
      <c r="I92" s="234"/>
      <c r="J92" s="310"/>
      <c r="K92" s="234"/>
      <c r="L92" s="263"/>
    </row>
    <row r="93" spans="1:12" s="317" customFormat="1" ht="22.65" hidden="1" customHeight="1" x14ac:dyDescent="0.5">
      <c r="B93" s="264"/>
      <c r="C93" s="312"/>
      <c r="D93" s="313" t="e">
        <f>#REF!</f>
        <v>#REF!</v>
      </c>
      <c r="E93" s="313" t="e">
        <f>#REF!</f>
        <v>#REF!</v>
      </c>
      <c r="F93" s="314" t="e">
        <f t="shared" ref="F93:F94" si="6">+E93-D93</f>
        <v>#REF!</v>
      </c>
      <c r="G93" s="315" t="e">
        <f>#REF!</f>
        <v>#REF!</v>
      </c>
      <c r="H93" s="316" t="e">
        <f>#REF!</f>
        <v>#REF!</v>
      </c>
      <c r="I93" s="234"/>
      <c r="J93" s="234"/>
      <c r="K93" s="234"/>
      <c r="L93" s="263"/>
    </row>
    <row r="94" spans="1:12" ht="30.75" customHeight="1" x14ac:dyDescent="0.5">
      <c r="A94" s="317"/>
      <c r="B94" s="294"/>
      <c r="C94" s="312" t="s">
        <v>88</v>
      </c>
      <c r="D94" s="318" t="e">
        <f>#REF!</f>
        <v>#REF!</v>
      </c>
      <c r="E94" s="318" t="e">
        <f>#REF!</f>
        <v>#REF!</v>
      </c>
      <c r="F94" s="319" t="e">
        <f t="shared" si="6"/>
        <v>#REF!</v>
      </c>
      <c r="G94" s="320" t="e">
        <f>#REF!</f>
        <v>#REF!</v>
      </c>
      <c r="H94" s="321" t="e">
        <f>#REF!</f>
        <v>#REF!</v>
      </c>
      <c r="I94" s="234"/>
      <c r="J94" s="234"/>
      <c r="K94" s="234"/>
      <c r="L94" s="263"/>
    </row>
    <row r="95" spans="1:12" ht="54" customHeight="1" thickBot="1" x14ac:dyDescent="0.55000000000000004">
      <c r="B95" s="322"/>
      <c r="C95" s="323"/>
      <c r="D95" s="324"/>
      <c r="E95" s="324"/>
      <c r="F95" s="325"/>
      <c r="G95" s="325"/>
      <c r="H95" s="325"/>
      <c r="I95" s="234"/>
      <c r="J95" s="234"/>
      <c r="K95" s="234"/>
      <c r="L95" s="263"/>
    </row>
    <row r="96" spans="1:12" ht="22.65" customHeight="1" x14ac:dyDescent="0.5">
      <c r="B96" s="686" t="s">
        <v>89</v>
      </c>
      <c r="C96" s="688"/>
      <c r="D96" s="195" t="s">
        <v>90</v>
      </c>
      <c r="E96" s="196" t="s">
        <v>91</v>
      </c>
      <c r="F96" s="196" t="s">
        <v>92</v>
      </c>
      <c r="G96" s="197" t="s">
        <v>93</v>
      </c>
      <c r="H96" s="183"/>
      <c r="I96" s="234"/>
      <c r="J96" s="234"/>
      <c r="K96" s="234"/>
      <c r="L96" s="263"/>
    </row>
    <row r="97" spans="1:12" ht="22.65" customHeight="1" x14ac:dyDescent="0.5">
      <c r="B97" s="326"/>
      <c r="C97" s="209" t="s">
        <v>94</v>
      </c>
      <c r="D97" s="327">
        <v>7</v>
      </c>
      <c r="E97" s="328">
        <v>6</v>
      </c>
      <c r="F97" s="329">
        <v>0</v>
      </c>
      <c r="G97" s="330">
        <v>0</v>
      </c>
      <c r="H97" s="183"/>
      <c r="I97" s="234"/>
      <c r="J97" s="234"/>
      <c r="K97" s="234"/>
      <c r="L97" s="263"/>
    </row>
    <row r="98" spans="1:12" ht="22.65" customHeight="1" thickBot="1" x14ac:dyDescent="0.55000000000000004">
      <c r="B98" s="326"/>
      <c r="C98" s="209" t="s">
        <v>95</v>
      </c>
      <c r="D98" s="229">
        <v>68</v>
      </c>
      <c r="E98" s="230">
        <v>68</v>
      </c>
      <c r="F98" s="331">
        <v>0</v>
      </c>
      <c r="G98" s="332">
        <v>0</v>
      </c>
      <c r="H98" s="183"/>
      <c r="I98" s="234"/>
      <c r="J98" s="234"/>
      <c r="K98" s="234"/>
      <c r="L98" s="263"/>
    </row>
    <row r="99" spans="1:12" ht="22.65" customHeight="1" x14ac:dyDescent="0.5">
      <c r="B99" s="326"/>
      <c r="C99" s="333"/>
      <c r="D99" s="236"/>
      <c r="E99" s="236"/>
      <c r="F99" s="236"/>
      <c r="G99" s="334"/>
      <c r="H99" s="183"/>
      <c r="I99" s="234"/>
      <c r="J99" s="234"/>
      <c r="K99" s="234"/>
      <c r="L99" s="263"/>
    </row>
    <row r="100" spans="1:12" ht="22.65" customHeight="1" thickBot="1" x14ac:dyDescent="0.55000000000000004">
      <c r="B100" s="686" t="s">
        <v>96</v>
      </c>
      <c r="C100" s="688"/>
      <c r="D100" s="237"/>
      <c r="E100" s="335"/>
      <c r="F100" s="335"/>
      <c r="G100" s="334"/>
      <c r="H100" s="237"/>
      <c r="I100" s="234"/>
      <c r="J100" s="234"/>
      <c r="K100" s="234"/>
      <c r="L100" s="263"/>
    </row>
    <row r="101" spans="1:12" ht="22.65" customHeight="1" x14ac:dyDescent="0.5">
      <c r="B101" s="336"/>
      <c r="C101" s="237"/>
      <c r="D101" s="796" t="s">
        <v>97</v>
      </c>
      <c r="E101" s="797"/>
      <c r="F101" s="337"/>
      <c r="G101" s="690"/>
      <c r="H101" s="690"/>
      <c r="I101" s="234"/>
      <c r="J101" s="183"/>
      <c r="K101" s="183"/>
      <c r="L101" s="263"/>
    </row>
    <row r="102" spans="1:12" ht="22.65" customHeight="1" x14ac:dyDescent="0.5">
      <c r="B102" s="336"/>
      <c r="C102" s="237"/>
      <c r="D102" s="339" t="s">
        <v>98</v>
      </c>
      <c r="E102" s="340" t="s">
        <v>99</v>
      </c>
      <c r="F102" s="183"/>
      <c r="G102" s="338"/>
      <c r="H102" s="338"/>
      <c r="I102" s="234"/>
      <c r="J102" s="183"/>
      <c r="K102" s="183"/>
      <c r="L102" s="263"/>
    </row>
    <row r="103" spans="1:12" ht="22.65" customHeight="1" x14ac:dyDescent="0.5">
      <c r="B103" s="326"/>
      <c r="C103" s="209" t="s">
        <v>100</v>
      </c>
      <c r="D103" s="210">
        <v>0</v>
      </c>
      <c r="E103" s="228">
        <v>0</v>
      </c>
      <c r="F103" s="183"/>
      <c r="G103" s="341"/>
      <c r="H103" s="341"/>
      <c r="I103" s="295"/>
      <c r="J103" s="183"/>
      <c r="K103" s="183"/>
      <c r="L103" s="263"/>
    </row>
    <row r="104" spans="1:12" ht="22.65" customHeight="1" x14ac:dyDescent="0.5">
      <c r="B104" s="326"/>
      <c r="C104" s="209" t="s">
        <v>101</v>
      </c>
      <c r="D104" s="210">
        <v>0</v>
      </c>
      <c r="E104" s="228">
        <v>0</v>
      </c>
      <c r="F104" s="183"/>
      <c r="G104" s="341"/>
      <c r="H104" s="341"/>
      <c r="I104" s="295"/>
      <c r="J104" s="183"/>
      <c r="K104" s="183"/>
      <c r="L104" s="263"/>
    </row>
    <row r="105" spans="1:12" ht="22.65" customHeight="1" x14ac:dyDescent="0.5">
      <c r="B105" s="326"/>
      <c r="C105" s="209" t="s">
        <v>102</v>
      </c>
      <c r="D105" s="210">
        <v>0</v>
      </c>
      <c r="E105" s="228">
        <v>0</v>
      </c>
      <c r="F105" s="183"/>
      <c r="G105" s="341"/>
      <c r="H105" s="341"/>
      <c r="I105" s="295"/>
      <c r="J105" s="183"/>
      <c r="K105" s="183"/>
      <c r="L105" s="263"/>
    </row>
    <row r="106" spans="1:12" ht="22.65" customHeight="1" x14ac:dyDescent="0.5">
      <c r="B106" s="326"/>
      <c r="C106" s="209" t="s">
        <v>103</v>
      </c>
      <c r="D106" s="210">
        <v>0</v>
      </c>
      <c r="E106" s="228">
        <v>0</v>
      </c>
      <c r="F106" s="183"/>
      <c r="G106" s="341"/>
      <c r="H106" s="341"/>
      <c r="I106" s="295"/>
      <c r="J106" s="183"/>
      <c r="K106" s="183"/>
      <c r="L106" s="263"/>
    </row>
    <row r="107" spans="1:12" ht="22.65" customHeight="1" x14ac:dyDescent="0.5">
      <c r="B107" s="326"/>
      <c r="C107" s="209" t="s">
        <v>104</v>
      </c>
      <c r="D107" s="210">
        <v>0</v>
      </c>
      <c r="E107" s="228">
        <v>0</v>
      </c>
      <c r="F107" s="183"/>
      <c r="G107" s="341"/>
      <c r="H107" s="341"/>
      <c r="I107" s="295"/>
      <c r="J107" s="183"/>
      <c r="K107" s="183"/>
      <c r="L107" s="263"/>
    </row>
    <row r="108" spans="1:12" ht="22.65" customHeight="1" x14ac:dyDescent="0.5">
      <c r="B108" s="326"/>
      <c r="C108" s="209" t="s">
        <v>105</v>
      </c>
      <c r="D108" s="210">
        <v>0</v>
      </c>
      <c r="E108" s="228">
        <v>0</v>
      </c>
      <c r="F108" s="183"/>
      <c r="G108" s="341"/>
      <c r="H108" s="341"/>
      <c r="I108" s="295"/>
      <c r="J108" s="183"/>
      <c r="K108" s="183"/>
      <c r="L108" s="263"/>
    </row>
    <row r="109" spans="1:12" ht="22.5" customHeight="1" thickBot="1" x14ac:dyDescent="0.55000000000000004">
      <c r="B109" s="326"/>
      <c r="C109" s="209" t="s">
        <v>106</v>
      </c>
      <c r="D109" s="215">
        <v>1</v>
      </c>
      <c r="E109" s="266">
        <v>0</v>
      </c>
      <c r="F109" s="183"/>
      <c r="G109" s="341"/>
      <c r="H109" s="341"/>
      <c r="I109" s="295"/>
      <c r="J109" s="183"/>
      <c r="K109" s="183"/>
      <c r="L109" s="263"/>
    </row>
    <row r="110" spans="1:12" s="189" customFormat="1" ht="22.65" customHeight="1" x14ac:dyDescent="0.5">
      <c r="A110" s="178"/>
      <c r="B110" s="326"/>
      <c r="C110" s="333"/>
      <c r="D110" s="237"/>
      <c r="E110" s="237"/>
      <c r="F110" s="265"/>
      <c r="G110" s="342"/>
      <c r="H110" s="342"/>
      <c r="I110" s="295"/>
      <c r="J110" s="183"/>
      <c r="K110" s="183"/>
      <c r="L110" s="263"/>
    </row>
    <row r="111" spans="1:12" ht="22.65" customHeight="1" x14ac:dyDescent="0.5">
      <c r="A111" s="189"/>
      <c r="B111" s="629" t="s">
        <v>139</v>
      </c>
      <c r="C111" s="630"/>
      <c r="D111" s="630"/>
      <c r="E111" s="630"/>
      <c r="F111" s="630"/>
      <c r="G111" s="630"/>
      <c r="H111" s="630"/>
      <c r="I111" s="630"/>
      <c r="J111" s="630"/>
      <c r="K111" s="630"/>
      <c r="L111" s="631"/>
    </row>
    <row r="112" spans="1:12" ht="21.5" thickBot="1" x14ac:dyDescent="0.55000000000000004">
      <c r="B112" s="686"/>
      <c r="C112" s="688"/>
      <c r="D112" s="293"/>
      <c r="E112" s="293"/>
      <c r="F112" s="293"/>
      <c r="G112" s="293"/>
      <c r="H112" s="293"/>
      <c r="I112" s="237"/>
      <c r="J112" s="234"/>
      <c r="K112" s="234"/>
      <c r="L112" s="263"/>
    </row>
    <row r="113" spans="2:12" ht="22.65" customHeight="1" thickBot="1" x14ac:dyDescent="0.55000000000000004">
      <c r="B113" s="294"/>
      <c r="C113" s="343" t="s">
        <v>140</v>
      </c>
      <c r="D113" s="343"/>
      <c r="E113" s="196" t="s">
        <v>141</v>
      </c>
      <c r="F113" s="197" t="s">
        <v>142</v>
      </c>
      <c r="G113" s="197" t="s">
        <v>143</v>
      </c>
      <c r="H113" s="197" t="s">
        <v>144</v>
      </c>
      <c r="I113" s="234"/>
      <c r="J113" s="234"/>
      <c r="K113" s="234"/>
      <c r="L113" s="263"/>
    </row>
    <row r="114" spans="2:12" ht="22.65" customHeight="1" thickBot="1" x14ac:dyDescent="0.55000000000000004">
      <c r="B114" s="294"/>
      <c r="C114" s="344" t="s">
        <v>145</v>
      </c>
      <c r="D114" s="345"/>
      <c r="E114" s="297"/>
      <c r="F114" s="346"/>
      <c r="G114" s="347"/>
      <c r="H114" s="346"/>
      <c r="I114" s="234"/>
      <c r="J114" s="234"/>
      <c r="K114" s="234"/>
      <c r="L114" s="263"/>
    </row>
    <row r="115" spans="2:12" ht="22.65" customHeight="1" thickBot="1" x14ac:dyDescent="0.55000000000000004">
      <c r="B115" s="294"/>
      <c r="C115" s="348" t="s">
        <v>146</v>
      </c>
      <c r="D115" s="349"/>
      <c r="E115" s="297"/>
      <c r="F115" s="346"/>
      <c r="G115" s="347"/>
      <c r="H115" s="346"/>
      <c r="I115" s="234"/>
      <c r="J115" s="234"/>
      <c r="K115" s="234"/>
      <c r="L115" s="263"/>
    </row>
    <row r="116" spans="2:12" ht="22.65" customHeight="1" thickBot="1" x14ac:dyDescent="0.55000000000000004">
      <c r="B116" s="294"/>
      <c r="C116" s="348" t="s">
        <v>147</v>
      </c>
      <c r="D116" s="349"/>
      <c r="E116" s="297"/>
      <c r="F116" s="346"/>
      <c r="G116" s="347"/>
      <c r="H116" s="346"/>
      <c r="I116" s="234"/>
      <c r="J116" s="234"/>
      <c r="K116" s="234"/>
      <c r="L116" s="263"/>
    </row>
    <row r="117" spans="2:12" ht="22.65" customHeight="1" thickBot="1" x14ac:dyDescent="0.55000000000000004">
      <c r="B117" s="294"/>
      <c r="C117" s="348" t="s">
        <v>148</v>
      </c>
      <c r="D117" s="349"/>
      <c r="E117" s="297"/>
      <c r="F117" s="346"/>
      <c r="G117" s="347"/>
      <c r="H117" s="346"/>
      <c r="I117" s="234"/>
      <c r="J117" s="234"/>
      <c r="K117" s="234"/>
      <c r="L117" s="263"/>
    </row>
    <row r="118" spans="2:12" ht="22.65" customHeight="1" thickBot="1" x14ac:dyDescent="0.55000000000000004">
      <c r="B118" s="294"/>
      <c r="C118" s="348" t="s">
        <v>149</v>
      </c>
      <c r="D118" s="349"/>
      <c r="E118" s="297"/>
      <c r="F118" s="346"/>
      <c r="G118" s="347"/>
      <c r="H118" s="346"/>
      <c r="I118" s="234"/>
      <c r="J118" s="234"/>
      <c r="K118" s="234"/>
      <c r="L118" s="263"/>
    </row>
    <row r="119" spans="2:12" ht="22.65" customHeight="1" thickBot="1" x14ac:dyDescent="0.55000000000000004">
      <c r="B119" s="294"/>
      <c r="C119" s="348" t="s">
        <v>150</v>
      </c>
      <c r="D119" s="349"/>
      <c r="E119" s="297"/>
      <c r="F119" s="346"/>
      <c r="G119" s="347"/>
      <c r="H119" s="346"/>
      <c r="I119" s="234"/>
      <c r="J119" s="234"/>
      <c r="K119" s="234"/>
      <c r="L119" s="263"/>
    </row>
    <row r="120" spans="2:12" ht="22.65" customHeight="1" thickBot="1" x14ac:dyDescent="0.55000000000000004">
      <c r="B120" s="294"/>
      <c r="C120" s="348" t="s">
        <v>151</v>
      </c>
      <c r="D120" s="349"/>
      <c r="E120" s="297"/>
      <c r="F120" s="346"/>
      <c r="G120" s="347"/>
      <c r="H120" s="346"/>
      <c r="I120" s="234"/>
      <c r="J120" s="234"/>
      <c r="K120" s="234"/>
      <c r="L120" s="263"/>
    </row>
    <row r="121" spans="2:12" ht="22.65" customHeight="1" thickBot="1" x14ac:dyDescent="0.55000000000000004">
      <c r="B121" s="294"/>
      <c r="C121" s="348" t="s">
        <v>152</v>
      </c>
      <c r="D121" s="349"/>
      <c r="E121" s="297"/>
      <c r="F121" s="346"/>
      <c r="G121" s="347"/>
      <c r="H121" s="346"/>
      <c r="I121" s="234"/>
      <c r="J121" s="234"/>
      <c r="K121" s="234"/>
      <c r="L121" s="263"/>
    </row>
    <row r="122" spans="2:12" ht="22.65" customHeight="1" thickBot="1" x14ac:dyDescent="0.55000000000000004">
      <c r="B122" s="294"/>
      <c r="C122" s="348" t="s">
        <v>153</v>
      </c>
      <c r="D122" s="349"/>
      <c r="E122" s="297"/>
      <c r="F122" s="346"/>
      <c r="G122" s="347"/>
      <c r="H122" s="346"/>
      <c r="I122" s="234"/>
      <c r="J122" s="234"/>
      <c r="K122" s="234"/>
      <c r="L122" s="263"/>
    </row>
    <row r="123" spans="2:12" ht="22.65" customHeight="1" thickBot="1" x14ac:dyDescent="0.55000000000000004">
      <c r="B123" s="294"/>
      <c r="C123" s="348" t="s">
        <v>154</v>
      </c>
      <c r="D123" s="349"/>
      <c r="E123" s="297"/>
      <c r="F123" s="346"/>
      <c r="G123" s="347"/>
      <c r="H123" s="346"/>
      <c r="I123" s="234"/>
      <c r="J123" s="234"/>
      <c r="K123" s="234"/>
      <c r="L123" s="263"/>
    </row>
    <row r="124" spans="2:12" ht="22.65" customHeight="1" thickBot="1" x14ac:dyDescent="0.55000000000000004">
      <c r="B124" s="294"/>
      <c r="C124" s="348" t="s">
        <v>155</v>
      </c>
      <c r="D124" s="349"/>
      <c r="E124" s="297"/>
      <c r="F124" s="346"/>
      <c r="G124" s="347"/>
      <c r="H124" s="346"/>
      <c r="I124" s="234"/>
      <c r="J124" s="234"/>
      <c r="K124" s="234"/>
      <c r="L124" s="263"/>
    </row>
    <row r="125" spans="2:12" ht="22.65" customHeight="1" thickBot="1" x14ac:dyDescent="0.55000000000000004">
      <c r="B125" s="294"/>
      <c r="C125" s="348" t="s">
        <v>156</v>
      </c>
      <c r="D125" s="349"/>
      <c r="E125" s="297"/>
      <c r="F125" s="346"/>
      <c r="G125" s="347"/>
      <c r="H125" s="346"/>
      <c r="I125" s="234"/>
      <c r="J125" s="234"/>
      <c r="K125" s="234"/>
      <c r="L125" s="263"/>
    </row>
    <row r="126" spans="2:12" ht="22.65" customHeight="1" thickBot="1" x14ac:dyDescent="0.55000000000000004">
      <c r="B126" s="294"/>
      <c r="C126" s="348" t="s">
        <v>157</v>
      </c>
      <c r="D126" s="349"/>
      <c r="E126" s="297"/>
      <c r="F126" s="346"/>
      <c r="G126" s="347"/>
      <c r="H126" s="346"/>
      <c r="I126" s="234"/>
      <c r="J126" s="234"/>
      <c r="K126" s="234"/>
      <c r="L126" s="263"/>
    </row>
    <row r="127" spans="2:12" ht="22.65" customHeight="1" thickBot="1" x14ac:dyDescent="0.55000000000000004">
      <c r="B127" s="294"/>
      <c r="C127" s="348" t="s">
        <v>158</v>
      </c>
      <c r="D127" s="349"/>
      <c r="E127" s="297"/>
      <c r="F127" s="346"/>
      <c r="G127" s="347"/>
      <c r="H127" s="346"/>
      <c r="I127" s="234"/>
      <c r="J127" s="234"/>
      <c r="K127" s="234"/>
      <c r="L127" s="263"/>
    </row>
    <row r="128" spans="2:12" ht="22.65" customHeight="1" thickBot="1" x14ac:dyDescent="0.55000000000000004">
      <c r="B128" s="294"/>
      <c r="C128" s="348" t="s">
        <v>159</v>
      </c>
      <c r="D128" s="349"/>
      <c r="E128" s="297"/>
      <c r="F128" s="346"/>
      <c r="G128" s="347"/>
      <c r="H128" s="346"/>
      <c r="I128" s="234"/>
      <c r="J128" s="234"/>
      <c r="K128" s="234"/>
      <c r="L128" s="263"/>
    </row>
    <row r="129" spans="2:12" ht="22.65" customHeight="1" thickBot="1" x14ac:dyDescent="0.55000000000000004">
      <c r="B129" s="294"/>
      <c r="C129" s="348" t="s">
        <v>158</v>
      </c>
      <c r="D129" s="349"/>
      <c r="E129" s="297"/>
      <c r="F129" s="346"/>
      <c r="G129" s="347"/>
      <c r="H129" s="346"/>
      <c r="I129" s="234"/>
      <c r="J129" s="234"/>
      <c r="K129" s="234"/>
      <c r="L129" s="263"/>
    </row>
    <row r="130" spans="2:12" ht="22.65" customHeight="1" thickBot="1" x14ac:dyDescent="0.55000000000000004">
      <c r="B130" s="294"/>
      <c r="C130" s="348" t="s">
        <v>160</v>
      </c>
      <c r="D130" s="349"/>
      <c r="E130" s="297"/>
      <c r="F130" s="346"/>
      <c r="G130" s="347"/>
      <c r="H130" s="346"/>
      <c r="I130" s="234"/>
      <c r="J130" s="234"/>
      <c r="K130" s="234"/>
      <c r="L130" s="263"/>
    </row>
    <row r="131" spans="2:12" ht="22.65" customHeight="1" thickBot="1" x14ac:dyDescent="0.55000000000000004">
      <c r="B131" s="294"/>
      <c r="C131" s="348" t="s">
        <v>161</v>
      </c>
      <c r="D131" s="349"/>
      <c r="E131" s="297"/>
      <c r="F131" s="346"/>
      <c r="G131" s="347"/>
      <c r="H131" s="346"/>
      <c r="I131" s="234"/>
      <c r="J131" s="234"/>
      <c r="K131" s="234"/>
      <c r="L131" s="263"/>
    </row>
    <row r="132" spans="2:12" ht="22.65" customHeight="1" thickBot="1" x14ac:dyDescent="0.55000000000000004">
      <c r="B132" s="294"/>
      <c r="C132" s="348" t="s">
        <v>162</v>
      </c>
      <c r="D132" s="349"/>
      <c r="E132" s="297"/>
      <c r="F132" s="346"/>
      <c r="G132" s="347"/>
      <c r="H132" s="346"/>
      <c r="I132" s="234"/>
      <c r="J132" s="234"/>
      <c r="K132" s="234"/>
      <c r="L132" s="263"/>
    </row>
    <row r="133" spans="2:12" ht="22.65" customHeight="1" thickBot="1" x14ac:dyDescent="0.55000000000000004">
      <c r="B133" s="294"/>
      <c r="C133" s="348" t="s">
        <v>163</v>
      </c>
      <c r="D133" s="349"/>
      <c r="E133" s="297"/>
      <c r="F133" s="346"/>
      <c r="G133" s="347"/>
      <c r="H133" s="346"/>
      <c r="I133" s="234"/>
      <c r="J133" s="234"/>
      <c r="K133" s="234"/>
      <c r="L133" s="263"/>
    </row>
    <row r="134" spans="2:12" ht="22.65" customHeight="1" thickBot="1" x14ac:dyDescent="0.55000000000000004">
      <c r="B134" s="294"/>
      <c r="C134" s="348" t="s">
        <v>164</v>
      </c>
      <c r="D134" s="349"/>
      <c r="E134" s="297"/>
      <c r="F134" s="346"/>
      <c r="G134" s="347"/>
      <c r="H134" s="346"/>
      <c r="I134" s="234"/>
      <c r="J134" s="234"/>
      <c r="K134" s="234"/>
      <c r="L134" s="263"/>
    </row>
    <row r="135" spans="2:12" ht="22.65" customHeight="1" thickBot="1" x14ac:dyDescent="0.55000000000000004">
      <c r="B135" s="294"/>
      <c r="C135" s="348" t="s">
        <v>165</v>
      </c>
      <c r="D135" s="349"/>
      <c r="E135" s="297"/>
      <c r="F135" s="346"/>
      <c r="G135" s="347"/>
      <c r="H135" s="346"/>
      <c r="I135" s="234"/>
      <c r="J135" s="234"/>
      <c r="K135" s="234"/>
      <c r="L135" s="263"/>
    </row>
    <row r="136" spans="2:12" ht="22.65" customHeight="1" thickBot="1" x14ac:dyDescent="0.55000000000000004">
      <c r="B136" s="294"/>
      <c r="C136" s="348" t="s">
        <v>166</v>
      </c>
      <c r="D136" s="349"/>
      <c r="E136" s="297"/>
      <c r="F136" s="346"/>
      <c r="G136" s="347"/>
      <c r="H136" s="346"/>
      <c r="I136" s="234"/>
      <c r="J136" s="234"/>
      <c r="K136" s="234"/>
      <c r="L136" s="263"/>
    </row>
    <row r="137" spans="2:12" ht="22.65" customHeight="1" thickBot="1" x14ac:dyDescent="0.55000000000000004">
      <c r="B137" s="294"/>
      <c r="C137" s="348" t="s">
        <v>167</v>
      </c>
      <c r="D137" s="349"/>
      <c r="E137" s="297"/>
      <c r="F137" s="346"/>
      <c r="G137" s="347"/>
      <c r="H137" s="346"/>
      <c r="I137" s="234"/>
      <c r="J137" s="234"/>
      <c r="K137" s="234"/>
      <c r="L137" s="263"/>
    </row>
    <row r="138" spans="2:12" ht="22.65" customHeight="1" thickBot="1" x14ac:dyDescent="0.55000000000000004">
      <c r="B138" s="294"/>
      <c r="C138" s="348" t="s">
        <v>168</v>
      </c>
      <c r="D138" s="349"/>
      <c r="E138" s="297"/>
      <c r="F138" s="346"/>
      <c r="G138" s="347"/>
      <c r="H138" s="346"/>
      <c r="I138" s="234"/>
      <c r="J138" s="234"/>
      <c r="K138" s="234"/>
      <c r="L138" s="263"/>
    </row>
    <row r="139" spans="2:12" ht="22.65" customHeight="1" thickBot="1" x14ac:dyDescent="0.55000000000000004">
      <c r="B139" s="294"/>
      <c r="C139" s="348" t="s">
        <v>169</v>
      </c>
      <c r="D139" s="349"/>
      <c r="E139" s="297"/>
      <c r="F139" s="346"/>
      <c r="G139" s="347"/>
      <c r="H139" s="346"/>
      <c r="I139" s="234"/>
      <c r="J139" s="234"/>
      <c r="K139" s="234"/>
      <c r="L139" s="263"/>
    </row>
    <row r="140" spans="2:12" ht="22.65" customHeight="1" thickBot="1" x14ac:dyDescent="0.55000000000000004">
      <c r="B140" s="294"/>
      <c r="C140" s="350" t="s">
        <v>170</v>
      </c>
      <c r="D140" s="349"/>
      <c r="E140" s="299"/>
      <c r="F140" s="346"/>
      <c r="G140" s="347"/>
      <c r="H140" s="346"/>
      <c r="I140" s="234"/>
      <c r="J140" s="234"/>
      <c r="K140" s="234"/>
      <c r="L140" s="263"/>
    </row>
    <row r="141" spans="2:12" ht="22.65" customHeight="1" thickBot="1" x14ac:dyDescent="0.55000000000000004">
      <c r="B141" s="294"/>
      <c r="C141" s="350" t="s">
        <v>171</v>
      </c>
      <c r="D141" s="349"/>
      <c r="E141" s="299"/>
      <c r="F141" s="346"/>
      <c r="G141" s="347"/>
      <c r="H141" s="346"/>
      <c r="I141" s="234"/>
      <c r="J141" s="234"/>
      <c r="K141" s="234"/>
      <c r="L141" s="263"/>
    </row>
    <row r="142" spans="2:12" ht="22.65" customHeight="1" thickBot="1" x14ac:dyDescent="0.55000000000000004">
      <c r="B142" s="294"/>
      <c r="C142" s="350" t="s">
        <v>172</v>
      </c>
      <c r="D142" s="349"/>
      <c r="E142" s="299"/>
      <c r="F142" s="346"/>
      <c r="G142" s="347"/>
      <c r="H142" s="346"/>
      <c r="I142" s="234"/>
      <c r="J142" s="234"/>
      <c r="K142" s="234"/>
      <c r="L142" s="263"/>
    </row>
    <row r="143" spans="2:12" ht="22.65" customHeight="1" thickBot="1" x14ac:dyDescent="0.55000000000000004">
      <c r="B143" s="294"/>
      <c r="C143" s="350" t="s">
        <v>173</v>
      </c>
      <c r="D143" s="349"/>
      <c r="E143" s="299"/>
      <c r="F143" s="346"/>
      <c r="G143" s="347"/>
      <c r="H143" s="346"/>
      <c r="I143" s="234"/>
      <c r="J143" s="234"/>
      <c r="K143" s="234"/>
      <c r="L143" s="263"/>
    </row>
    <row r="144" spans="2:12" ht="22.65" customHeight="1" thickBot="1" x14ac:dyDescent="0.55000000000000004">
      <c r="B144" s="294"/>
      <c r="C144" s="350" t="s">
        <v>174</v>
      </c>
      <c r="D144" s="349"/>
      <c r="E144" s="299"/>
      <c r="F144" s="346"/>
      <c r="G144" s="347"/>
      <c r="H144" s="346"/>
      <c r="I144" s="234"/>
      <c r="J144" s="234"/>
      <c r="K144" s="234"/>
      <c r="L144" s="263"/>
    </row>
    <row r="145" spans="1:12" ht="22.65" customHeight="1" thickBot="1" x14ac:dyDescent="0.55000000000000004">
      <c r="B145" s="294"/>
      <c r="C145" s="350" t="s">
        <v>175</v>
      </c>
      <c r="D145" s="349"/>
      <c r="E145" s="299"/>
      <c r="F145" s="346"/>
      <c r="G145" s="347"/>
      <c r="H145" s="347"/>
      <c r="I145" s="234"/>
      <c r="J145" s="234"/>
      <c r="K145" s="234"/>
      <c r="L145" s="263"/>
    </row>
    <row r="146" spans="1:12" ht="22.65" customHeight="1" thickBot="1" x14ac:dyDescent="0.55000000000000004">
      <c r="B146" s="294"/>
      <c r="C146" s="351" t="s">
        <v>176</v>
      </c>
      <c r="D146" s="352"/>
      <c r="E146" s="299"/>
      <c r="F146" s="346"/>
      <c r="G146" s="347"/>
      <c r="H146" s="346"/>
      <c r="I146" s="234"/>
      <c r="J146" s="234"/>
      <c r="K146" s="234"/>
      <c r="L146" s="263"/>
    </row>
    <row r="147" spans="1:12" ht="22.65" customHeight="1" thickBot="1" x14ac:dyDescent="0.55000000000000004">
      <c r="B147" s="294"/>
      <c r="C147" s="351" t="s">
        <v>170</v>
      </c>
      <c r="D147" s="352"/>
      <c r="E147" s="299"/>
      <c r="F147" s="346"/>
      <c r="G147" s="347"/>
      <c r="H147" s="346"/>
      <c r="I147" s="234"/>
      <c r="J147" s="234"/>
      <c r="K147" s="234"/>
      <c r="L147" s="263"/>
    </row>
    <row r="148" spans="1:12" ht="22.65" customHeight="1" thickBot="1" x14ac:dyDescent="0.55000000000000004">
      <c r="B148" s="294"/>
      <c r="C148" s="351" t="s">
        <v>170</v>
      </c>
      <c r="D148" s="352"/>
      <c r="E148" s="299"/>
      <c r="F148" s="346"/>
      <c r="G148" s="347"/>
      <c r="H148" s="346"/>
      <c r="I148" s="234"/>
      <c r="J148" s="234"/>
      <c r="K148" s="234"/>
      <c r="L148" s="263"/>
    </row>
    <row r="149" spans="1:12" s="189" customFormat="1" ht="22.5" customHeight="1" thickBot="1" x14ac:dyDescent="0.55000000000000004">
      <c r="A149" s="178"/>
      <c r="B149" s="294"/>
      <c r="C149" s="353" t="s">
        <v>177</v>
      </c>
      <c r="D149" s="354"/>
      <c r="E149" s="297"/>
      <c r="F149" s="346"/>
      <c r="G149" s="347"/>
      <c r="H149" s="346"/>
      <c r="I149" s="234"/>
      <c r="J149" s="234"/>
      <c r="K149" s="234"/>
      <c r="L149" s="263"/>
    </row>
    <row r="150" spans="1:12" ht="22.65" customHeight="1" x14ac:dyDescent="0.5">
      <c r="A150" s="189"/>
      <c r="B150" s="629" t="s">
        <v>178</v>
      </c>
      <c r="C150" s="776"/>
      <c r="D150" s="776"/>
      <c r="E150" s="630"/>
      <c r="F150" s="630"/>
      <c r="G150" s="630"/>
      <c r="H150" s="630"/>
      <c r="I150" s="630"/>
      <c r="J150" s="630"/>
      <c r="K150" s="630"/>
      <c r="L150" s="631"/>
    </row>
    <row r="151" spans="1:12" ht="22.65" customHeight="1" x14ac:dyDescent="0.5">
      <c r="B151" s="682" t="s">
        <v>179</v>
      </c>
      <c r="C151" s="683"/>
      <c r="D151" s="355"/>
      <c r="E151" s="355"/>
      <c r="F151" s="355"/>
      <c r="G151" s="355"/>
      <c r="H151" s="355"/>
      <c r="I151" s="355"/>
      <c r="J151" s="355"/>
      <c r="K151" s="355"/>
      <c r="L151" s="356"/>
    </row>
    <row r="152" spans="1:12" ht="41.4" customHeight="1" x14ac:dyDescent="0.5">
      <c r="B152" s="357"/>
      <c r="C152" s="358" t="s">
        <v>84</v>
      </c>
      <c r="D152" s="359"/>
      <c r="E152" s="359"/>
      <c r="F152" s="359"/>
      <c r="G152" s="359"/>
      <c r="H152" s="359"/>
      <c r="I152" s="359"/>
      <c r="J152" s="359"/>
      <c r="K152" s="359"/>
      <c r="L152" s="360"/>
    </row>
    <row r="153" spans="1:12" ht="30.65" customHeight="1" x14ac:dyDescent="0.5">
      <c r="B153" s="748" t="s">
        <v>180</v>
      </c>
      <c r="C153" s="751"/>
      <c r="D153" s="752"/>
      <c r="E153" s="752"/>
      <c r="F153" s="752"/>
      <c r="G153" s="752"/>
      <c r="H153" s="752"/>
      <c r="I153" s="752"/>
      <c r="J153" s="752"/>
      <c r="K153" s="753"/>
      <c r="L153" s="360"/>
    </row>
    <row r="154" spans="1:12" ht="32.15" customHeight="1" x14ac:dyDescent="0.5">
      <c r="B154" s="749"/>
      <c r="C154" s="751"/>
      <c r="D154" s="752"/>
      <c r="E154" s="752"/>
      <c r="F154" s="752"/>
      <c r="G154" s="752"/>
      <c r="H154" s="752"/>
      <c r="I154" s="752"/>
      <c r="J154" s="752"/>
      <c r="K154" s="753"/>
      <c r="L154" s="360"/>
    </row>
    <row r="155" spans="1:12" ht="39" customHeight="1" x14ac:dyDescent="0.5">
      <c r="B155" s="749"/>
      <c r="C155" s="751"/>
      <c r="D155" s="752"/>
      <c r="E155" s="752"/>
      <c r="F155" s="752"/>
      <c r="G155" s="752"/>
      <c r="H155" s="752"/>
      <c r="I155" s="752"/>
      <c r="J155" s="752"/>
      <c r="K155" s="753"/>
      <c r="L155" s="360"/>
    </row>
    <row r="156" spans="1:12" ht="22.4" customHeight="1" x14ac:dyDescent="0.5">
      <c r="B156" s="750"/>
      <c r="C156" s="751"/>
      <c r="D156" s="752"/>
      <c r="E156" s="752"/>
      <c r="F156" s="752"/>
      <c r="G156" s="752"/>
      <c r="H156" s="752"/>
      <c r="I156" s="752"/>
      <c r="J156" s="752"/>
      <c r="K156" s="753"/>
      <c r="L156" s="360"/>
    </row>
    <row r="157" spans="1:12" ht="22.65" hidden="1" customHeight="1" thickBot="1" x14ac:dyDescent="0.55000000000000004">
      <c r="B157" s="357"/>
      <c r="C157" s="361"/>
      <c r="D157" s="361"/>
      <c r="E157" s="361"/>
      <c r="F157" s="361"/>
      <c r="G157" s="361"/>
      <c r="H157" s="361"/>
      <c r="I157" s="361"/>
      <c r="J157" s="361"/>
      <c r="K157" s="361"/>
      <c r="L157" s="360"/>
    </row>
    <row r="158" spans="1:12" ht="60" hidden="1" customHeight="1" thickBot="1" x14ac:dyDescent="0.55000000000000004">
      <c r="B158" s="686" t="s">
        <v>181</v>
      </c>
      <c r="C158" s="688"/>
      <c r="D158" s="362"/>
      <c r="E158" s="362"/>
      <c r="F158" s="362"/>
      <c r="G158" s="362"/>
      <c r="H158" s="362"/>
      <c r="I158" s="362"/>
      <c r="J158" s="362"/>
      <c r="K158" s="362"/>
      <c r="L158" s="360"/>
    </row>
    <row r="159" spans="1:12" ht="22.65" hidden="1" customHeight="1" thickBot="1" x14ac:dyDescent="0.55000000000000004">
      <c r="B159" s="363"/>
      <c r="C159" s="741" t="s">
        <v>182</v>
      </c>
      <c r="D159" s="742"/>
      <c r="E159" s="364" t="s">
        <v>183</v>
      </c>
      <c r="F159" s="364" t="s">
        <v>184</v>
      </c>
      <c r="G159" s="365" t="s">
        <v>185</v>
      </c>
      <c r="H159" s="183"/>
      <c r="I159" s="183"/>
      <c r="J159" s="183"/>
      <c r="K159" s="183"/>
      <c r="L159" s="256"/>
    </row>
    <row r="160" spans="1:12" ht="22.65" hidden="1" customHeight="1" thickBot="1" x14ac:dyDescent="0.55000000000000004">
      <c r="B160" s="366" t="s">
        <v>186</v>
      </c>
      <c r="C160" s="743"/>
      <c r="D160" s="744"/>
      <c r="E160" s="367"/>
      <c r="F160" s="367">
        <f>+C160-E160</f>
        <v>0</v>
      </c>
      <c r="G160" s="368">
        <v>0</v>
      </c>
      <c r="H160" s="183"/>
      <c r="I160" s="183"/>
      <c r="J160" s="183"/>
      <c r="K160" s="183"/>
      <c r="L160" s="256"/>
    </row>
    <row r="161" spans="1:12" ht="42.75" hidden="1" customHeight="1" thickBot="1" x14ac:dyDescent="0.55000000000000004">
      <c r="B161" s="366"/>
      <c r="C161" s="369"/>
      <c r="D161" s="369"/>
      <c r="E161" s="359"/>
      <c r="F161" s="370"/>
      <c r="G161" s="183"/>
      <c r="H161" s="183"/>
      <c r="I161" s="183"/>
      <c r="J161" s="183"/>
      <c r="K161" s="183"/>
      <c r="L161" s="256"/>
    </row>
    <row r="162" spans="1:12" ht="22.5" hidden="1" customHeight="1" thickBot="1" x14ac:dyDescent="0.55000000000000004">
      <c r="B162" s="371"/>
      <c r="C162" s="372" t="s">
        <v>187</v>
      </c>
      <c r="D162" s="364" t="s">
        <v>188</v>
      </c>
      <c r="E162" s="364" t="s">
        <v>189</v>
      </c>
      <c r="F162" s="365" t="s">
        <v>190</v>
      </c>
      <c r="G162" s="365" t="s">
        <v>191</v>
      </c>
      <c r="H162" s="183"/>
      <c r="I162" s="745"/>
      <c r="J162" s="745"/>
      <c r="K162" s="745"/>
      <c r="L162" s="746"/>
    </row>
    <row r="163" spans="1:12" ht="22.5" hidden="1" customHeight="1" x14ac:dyDescent="0.5">
      <c r="B163" s="366" t="s">
        <v>192</v>
      </c>
      <c r="C163" s="373"/>
      <c r="D163" s="374"/>
      <c r="E163" s="375">
        <v>0</v>
      </c>
      <c r="F163" s="376">
        <v>0</v>
      </c>
      <c r="G163" s="376">
        <v>0</v>
      </c>
      <c r="H163" s="377"/>
      <c r="I163" s="745"/>
      <c r="J163" s="745"/>
      <c r="K163" s="745"/>
      <c r="L163" s="746"/>
    </row>
    <row r="164" spans="1:12" ht="22.65" customHeight="1" x14ac:dyDescent="0.5">
      <c r="B164" s="366"/>
      <c r="C164" s="378"/>
      <c r="D164" s="379"/>
      <c r="E164" s="378"/>
      <c r="F164" s="380"/>
      <c r="G164" s="377"/>
      <c r="H164" s="377"/>
      <c r="I164" s="377"/>
      <c r="J164" s="377"/>
      <c r="K164" s="377"/>
      <c r="L164" s="381"/>
    </row>
    <row r="165" spans="1:12" ht="22.65" customHeight="1" x14ac:dyDescent="0.5">
      <c r="B165" s="371"/>
      <c r="C165" s="382" t="s">
        <v>46</v>
      </c>
      <c r="D165" s="359"/>
      <c r="E165" s="359"/>
      <c r="F165" s="370"/>
      <c r="G165" s="377"/>
      <c r="H165" s="377"/>
      <c r="I165" s="377"/>
      <c r="J165" s="377"/>
      <c r="K165" s="377"/>
      <c r="L165" s="381"/>
    </row>
    <row r="166" spans="1:12" ht="32.25" customHeight="1" thickBot="1" x14ac:dyDescent="0.55000000000000004">
      <c r="B166" s="686" t="s">
        <v>193</v>
      </c>
      <c r="C166" s="688"/>
      <c r="D166" s="380"/>
      <c r="E166" s="359"/>
      <c r="F166" s="370"/>
      <c r="G166" s="370"/>
      <c r="H166" s="370"/>
      <c r="I166" s="370"/>
      <c r="J166" s="370"/>
      <c r="K166" s="370"/>
      <c r="L166" s="383"/>
    </row>
    <row r="167" spans="1:12" ht="22.65" customHeight="1" x14ac:dyDescent="0.5">
      <c r="B167" s="384"/>
      <c r="C167" s="385" t="s">
        <v>194</v>
      </c>
      <c r="D167" s="386" t="s">
        <v>195</v>
      </c>
      <c r="E167" s="386" t="s">
        <v>196</v>
      </c>
      <c r="F167" s="387" t="s">
        <v>197</v>
      </c>
      <c r="G167" s="388"/>
      <c r="H167" s="388"/>
      <c r="I167" s="388"/>
      <c r="J167" s="388"/>
      <c r="K167" s="388"/>
      <c r="L167" s="383"/>
    </row>
    <row r="168" spans="1:12" ht="22.65" customHeight="1" thickBot="1" x14ac:dyDescent="0.55000000000000004">
      <c r="B168" s="384"/>
      <c r="C168" s="389">
        <v>0</v>
      </c>
      <c r="D168" s="390">
        <v>0</v>
      </c>
      <c r="E168" s="390">
        <v>0</v>
      </c>
      <c r="F168" s="391">
        <v>0</v>
      </c>
      <c r="G168" s="388"/>
      <c r="H168" s="388"/>
      <c r="I168" s="388"/>
      <c r="J168" s="388"/>
      <c r="K168" s="388"/>
      <c r="L168" s="383"/>
    </row>
    <row r="169" spans="1:12" s="189" customFormat="1" ht="22.65" customHeight="1" x14ac:dyDescent="0.5">
      <c r="A169" s="178"/>
      <c r="B169" s="384"/>
      <c r="C169" s="388"/>
      <c r="D169" s="388"/>
      <c r="E169" s="388"/>
      <c r="F169" s="388"/>
      <c r="G169" s="388"/>
      <c r="H169" s="388"/>
      <c r="I169" s="388"/>
      <c r="J169" s="388"/>
      <c r="K169" s="388"/>
      <c r="L169" s="383"/>
    </row>
    <row r="170" spans="1:12" ht="22.65" customHeight="1" x14ac:dyDescent="0.5">
      <c r="A170" s="189"/>
      <c r="B170" s="629" t="s">
        <v>107</v>
      </c>
      <c r="C170" s="630"/>
      <c r="D170" s="630"/>
      <c r="E170" s="630"/>
      <c r="F170" s="630"/>
      <c r="G170" s="630"/>
      <c r="H170" s="630"/>
      <c r="I170" s="630"/>
      <c r="J170" s="630"/>
      <c r="K170" s="630"/>
      <c r="L170" s="631"/>
    </row>
    <row r="171" spans="1:12" ht="22.65" customHeight="1" x14ac:dyDescent="0.5">
      <c r="B171" s="671" t="s">
        <v>292</v>
      </c>
      <c r="C171" s="672"/>
      <c r="D171" s="392"/>
      <c r="E171" s="392"/>
      <c r="F171" s="392"/>
      <c r="G171" s="392"/>
      <c r="H171" s="392"/>
      <c r="J171" s="392"/>
      <c r="K171" s="392"/>
      <c r="L171" s="393"/>
    </row>
    <row r="172" spans="1:12" ht="22.65" customHeight="1" x14ac:dyDescent="0.5">
      <c r="B172" s="267"/>
      <c r="C172" s="535" t="s">
        <v>306</v>
      </c>
      <c r="D172" s="536"/>
      <c r="E172" s="536"/>
      <c r="F172" s="536"/>
      <c r="G172" s="536"/>
      <c r="H172" s="536"/>
      <c r="I172" s="536"/>
      <c r="J172" s="536"/>
      <c r="K172" s="537"/>
      <c r="L172" s="394"/>
    </row>
    <row r="173" spans="1:12" ht="22.65" customHeight="1" x14ac:dyDescent="0.5">
      <c r="B173" s="267"/>
      <c r="C173" s="538"/>
      <c r="D173" s="539"/>
      <c r="E173" s="539"/>
      <c r="F173" s="539"/>
      <c r="G173" s="539"/>
      <c r="H173" s="539"/>
      <c r="I173" s="539"/>
      <c r="J173" s="539"/>
      <c r="K173" s="540"/>
      <c r="L173" s="394"/>
    </row>
    <row r="174" spans="1:12" ht="76.400000000000006" customHeight="1" x14ac:dyDescent="0.5">
      <c r="B174" s="267"/>
      <c r="C174" s="538"/>
      <c r="D174" s="539"/>
      <c r="E174" s="539"/>
      <c r="F174" s="539"/>
      <c r="G174" s="539"/>
      <c r="H174" s="539"/>
      <c r="I174" s="539"/>
      <c r="J174" s="539"/>
      <c r="K174" s="540"/>
      <c r="L174" s="394"/>
    </row>
    <row r="175" spans="1:12" ht="22.65" customHeight="1" x14ac:dyDescent="0.5">
      <c r="B175" s="267"/>
      <c r="C175" s="541"/>
      <c r="D175" s="542"/>
      <c r="E175" s="542"/>
      <c r="F175" s="542"/>
      <c r="G175" s="542"/>
      <c r="H175" s="542"/>
      <c r="I175" s="542"/>
      <c r="J175" s="542"/>
      <c r="K175" s="543"/>
      <c r="L175" s="394"/>
    </row>
    <row r="176" spans="1:12" ht="22.65" customHeight="1" x14ac:dyDescent="0.5">
      <c r="B176" s="693"/>
      <c r="C176" s="694"/>
      <c r="D176" s="694"/>
      <c r="E176" s="694"/>
      <c r="F176" s="694"/>
      <c r="G176" s="694"/>
      <c r="H176" s="694"/>
      <c r="I176" s="694"/>
      <c r="J176" s="694"/>
      <c r="K176" s="694"/>
      <c r="L176" s="695"/>
    </row>
    <row r="177" spans="2:12" ht="22.65" customHeight="1" x14ac:dyDescent="0.5">
      <c r="B177" s="671" t="s">
        <v>109</v>
      </c>
      <c r="C177" s="672"/>
      <c r="D177" s="392"/>
      <c r="E177" s="392"/>
      <c r="F177" s="392"/>
      <c r="G177" s="392"/>
      <c r="H177" s="392"/>
      <c r="I177" s="392"/>
      <c r="J177" s="392"/>
      <c r="K177" s="392"/>
      <c r="L177" s="393"/>
    </row>
    <row r="178" spans="2:12" ht="22.65" customHeight="1" x14ac:dyDescent="0.5">
      <c r="B178" s="267"/>
      <c r="C178" s="696" t="s">
        <v>307</v>
      </c>
      <c r="D178" s="697"/>
      <c r="E178" s="697"/>
      <c r="F178" s="697"/>
      <c r="G178" s="697"/>
      <c r="H178" s="697"/>
      <c r="I178" s="697"/>
      <c r="J178" s="697"/>
      <c r="K178" s="698"/>
      <c r="L178" s="394"/>
    </row>
    <row r="179" spans="2:12" ht="22.65" customHeight="1" x14ac:dyDescent="0.5">
      <c r="B179" s="267"/>
      <c r="C179" s="699"/>
      <c r="D179" s="700"/>
      <c r="E179" s="700"/>
      <c r="F179" s="700"/>
      <c r="G179" s="700"/>
      <c r="H179" s="700"/>
      <c r="I179" s="700"/>
      <c r="J179" s="700"/>
      <c r="K179" s="701"/>
      <c r="L179" s="394"/>
    </row>
    <row r="180" spans="2:12" ht="22.65" customHeight="1" x14ac:dyDescent="0.5">
      <c r="B180" s="267"/>
      <c r="C180" s="699"/>
      <c r="D180" s="700"/>
      <c r="E180" s="700"/>
      <c r="F180" s="700"/>
      <c r="G180" s="700"/>
      <c r="H180" s="700"/>
      <c r="I180" s="700"/>
      <c r="J180" s="700"/>
      <c r="K180" s="701"/>
      <c r="L180" s="394"/>
    </row>
    <row r="181" spans="2:12" ht="22.65" customHeight="1" x14ac:dyDescent="0.5">
      <c r="B181" s="267"/>
      <c r="C181" s="699"/>
      <c r="D181" s="700"/>
      <c r="E181" s="700"/>
      <c r="F181" s="700"/>
      <c r="G181" s="700"/>
      <c r="H181" s="700"/>
      <c r="I181" s="700"/>
      <c r="J181" s="700"/>
      <c r="K181" s="701"/>
      <c r="L181" s="394"/>
    </row>
    <row r="182" spans="2:12" ht="22.65" customHeight="1" x14ac:dyDescent="0.5">
      <c r="B182" s="267"/>
      <c r="C182" s="699"/>
      <c r="D182" s="700"/>
      <c r="E182" s="700"/>
      <c r="F182" s="700"/>
      <c r="G182" s="700"/>
      <c r="H182" s="700"/>
      <c r="I182" s="700"/>
      <c r="J182" s="700"/>
      <c r="K182" s="701"/>
      <c r="L182" s="394"/>
    </row>
    <row r="183" spans="2:12" ht="22.4" customHeight="1" x14ac:dyDescent="0.5">
      <c r="B183" s="267"/>
      <c r="C183" s="699"/>
      <c r="D183" s="700"/>
      <c r="E183" s="700"/>
      <c r="F183" s="700"/>
      <c r="G183" s="700"/>
      <c r="H183" s="700"/>
      <c r="I183" s="700"/>
      <c r="J183" s="700"/>
      <c r="K183" s="701"/>
      <c r="L183" s="394"/>
    </row>
    <row r="184" spans="2:12" ht="22.4" customHeight="1" x14ac:dyDescent="0.5">
      <c r="B184" s="267"/>
      <c r="C184" s="702"/>
      <c r="D184" s="703"/>
      <c r="E184" s="703"/>
      <c r="F184" s="703"/>
      <c r="G184" s="703"/>
      <c r="H184" s="703"/>
      <c r="I184" s="703"/>
      <c r="J184" s="703"/>
      <c r="K184" s="704"/>
      <c r="L184" s="394"/>
    </row>
    <row r="185" spans="2:12" ht="22.65" customHeight="1" x14ac:dyDescent="0.5">
      <c r="B185" s="267"/>
      <c r="C185" s="395"/>
      <c r="D185" s="395"/>
      <c r="E185" s="395"/>
      <c r="F185" s="395"/>
      <c r="G185" s="395"/>
      <c r="H185" s="395"/>
      <c r="I185" s="395"/>
      <c r="J185" s="395"/>
      <c r="K185" s="395"/>
      <c r="L185" s="394"/>
    </row>
    <row r="186" spans="2:12" ht="22.65" customHeight="1" x14ac:dyDescent="0.5">
      <c r="B186" s="671" t="s">
        <v>112</v>
      </c>
      <c r="C186" s="672"/>
      <c r="D186" s="392"/>
      <c r="E186" s="392"/>
      <c r="F186" s="392"/>
      <c r="G186" s="392"/>
      <c r="H186" s="392"/>
      <c r="I186" s="392"/>
      <c r="J186" s="392"/>
      <c r="K186" s="392"/>
      <c r="L186" s="393"/>
    </row>
    <row r="187" spans="2:12" ht="22.65" customHeight="1" x14ac:dyDescent="0.5">
      <c r="B187" s="267"/>
      <c r="C187" s="696"/>
      <c r="D187" s="697"/>
      <c r="E187" s="697"/>
      <c r="F187" s="697"/>
      <c r="G187" s="697"/>
      <c r="H187" s="697"/>
      <c r="I187" s="697"/>
      <c r="J187" s="697"/>
      <c r="K187" s="698"/>
      <c r="L187" s="394"/>
    </row>
    <row r="188" spans="2:12" ht="22.65" customHeight="1" x14ac:dyDescent="0.5">
      <c r="B188" s="267"/>
      <c r="C188" s="699"/>
      <c r="D188" s="700"/>
      <c r="E188" s="700"/>
      <c r="F188" s="700"/>
      <c r="G188" s="700"/>
      <c r="H188" s="700"/>
      <c r="I188" s="700"/>
      <c r="J188" s="700"/>
      <c r="K188" s="701"/>
      <c r="L188" s="394"/>
    </row>
    <row r="189" spans="2:12" ht="22.65" customHeight="1" x14ac:dyDescent="0.5">
      <c r="B189" s="267"/>
      <c r="C189" s="699"/>
      <c r="D189" s="700"/>
      <c r="E189" s="700"/>
      <c r="F189" s="700"/>
      <c r="G189" s="700"/>
      <c r="H189" s="700"/>
      <c r="I189" s="700"/>
      <c r="J189" s="700"/>
      <c r="K189" s="701"/>
      <c r="L189" s="394"/>
    </row>
    <row r="190" spans="2:12" ht="22.65" customHeight="1" x14ac:dyDescent="0.5">
      <c r="B190" s="267"/>
      <c r="C190" s="699"/>
      <c r="D190" s="700"/>
      <c r="E190" s="700"/>
      <c r="F190" s="700"/>
      <c r="G190" s="700"/>
      <c r="H190" s="700"/>
      <c r="I190" s="700"/>
      <c r="J190" s="700"/>
      <c r="K190" s="701"/>
      <c r="L190" s="394"/>
    </row>
    <row r="191" spans="2:12" ht="22.65" customHeight="1" x14ac:dyDescent="0.5">
      <c r="B191" s="267"/>
      <c r="C191" s="699"/>
      <c r="D191" s="700"/>
      <c r="E191" s="700"/>
      <c r="F191" s="700"/>
      <c r="G191" s="700"/>
      <c r="H191" s="700"/>
      <c r="I191" s="700"/>
      <c r="J191" s="700"/>
      <c r="K191" s="701"/>
      <c r="L191" s="394"/>
    </row>
    <row r="192" spans="2:12" ht="22.4" customHeight="1" x14ac:dyDescent="0.5">
      <c r="B192" s="267"/>
      <c r="C192" s="699"/>
      <c r="D192" s="700"/>
      <c r="E192" s="700"/>
      <c r="F192" s="700"/>
      <c r="G192" s="700"/>
      <c r="H192" s="700"/>
      <c r="I192" s="700"/>
      <c r="J192" s="700"/>
      <c r="K192" s="701"/>
      <c r="L192" s="394"/>
    </row>
    <row r="193" spans="2:12" x14ac:dyDescent="0.5">
      <c r="B193" s="267"/>
      <c r="C193" s="702"/>
      <c r="D193" s="703"/>
      <c r="E193" s="703"/>
      <c r="F193" s="703"/>
      <c r="G193" s="703"/>
      <c r="H193" s="703"/>
      <c r="I193" s="703"/>
      <c r="J193" s="703"/>
      <c r="K193" s="704"/>
      <c r="L193" s="394"/>
    </row>
    <row r="194" spans="2:12" ht="22.65" customHeight="1" x14ac:dyDescent="0.5">
      <c r="B194" s="396"/>
      <c r="C194" s="397"/>
      <c r="D194" s="397"/>
      <c r="E194" s="397"/>
      <c r="F194" s="397"/>
      <c r="G194" s="397"/>
      <c r="H194" s="397"/>
      <c r="I194" s="397"/>
      <c r="J194" s="397"/>
      <c r="K194" s="397"/>
      <c r="L194" s="398"/>
    </row>
    <row r="195" spans="2:12" ht="22.65" customHeight="1" x14ac:dyDescent="0.5">
      <c r="B195" s="671" t="s">
        <v>110</v>
      </c>
      <c r="C195" s="672"/>
      <c r="D195" s="392"/>
      <c r="E195" s="392"/>
      <c r="F195" s="392"/>
      <c r="G195" s="392"/>
      <c r="H195" s="392"/>
      <c r="I195" s="392"/>
      <c r="J195" s="392"/>
      <c r="K195" s="392"/>
      <c r="L195" s="393"/>
    </row>
    <row r="196" spans="2:12" ht="44.25" customHeight="1" x14ac:dyDescent="0.5">
      <c r="B196" s="267"/>
      <c r="C196" s="691" t="s">
        <v>111</v>
      </c>
      <c r="D196" s="692"/>
      <c r="E196" s="399"/>
      <c r="F196" s="399"/>
      <c r="G196" s="399"/>
      <c r="H196" s="399"/>
      <c r="I196" s="399"/>
      <c r="J196" s="399"/>
      <c r="K196" s="400"/>
      <c r="L196" s="394"/>
    </row>
    <row r="197" spans="2:12" ht="75.900000000000006" customHeight="1" x14ac:dyDescent="0.5">
      <c r="B197" s="267"/>
      <c r="C197" s="699"/>
      <c r="D197" s="799"/>
      <c r="E197" s="569"/>
      <c r="F197" s="569"/>
      <c r="G197" s="569"/>
      <c r="H197" s="569"/>
      <c r="I197" s="569"/>
      <c r="J197" s="569"/>
      <c r="K197" s="570"/>
      <c r="L197" s="394"/>
    </row>
    <row r="198" spans="2:12" ht="55.5" customHeight="1" x14ac:dyDescent="0.5">
      <c r="B198" s="267"/>
      <c r="C198" s="798"/>
      <c r="D198" s="799"/>
      <c r="E198" s="569"/>
      <c r="F198" s="569"/>
      <c r="G198" s="569"/>
      <c r="H198" s="569"/>
      <c r="I198" s="569"/>
      <c r="J198" s="569"/>
      <c r="K198" s="570"/>
      <c r="L198" s="394"/>
    </row>
    <row r="199" spans="2:12" ht="32.25" customHeight="1" x14ac:dyDescent="0.5">
      <c r="B199" s="267"/>
      <c r="C199" s="798"/>
      <c r="D199" s="799"/>
      <c r="E199" s="569"/>
      <c r="F199" s="569"/>
      <c r="G199" s="569"/>
      <c r="H199" s="569"/>
      <c r="I199" s="569"/>
      <c r="J199" s="569"/>
      <c r="K199" s="570"/>
      <c r="L199" s="394"/>
    </row>
    <row r="200" spans="2:12" ht="22.65" customHeight="1" x14ac:dyDescent="0.5">
      <c r="B200" s="267"/>
      <c r="C200" s="798"/>
      <c r="D200" s="799"/>
      <c r="E200" s="569"/>
      <c r="F200" s="569"/>
      <c r="G200" s="569"/>
      <c r="H200" s="569"/>
      <c r="I200" s="569"/>
      <c r="J200" s="569"/>
      <c r="K200" s="570"/>
      <c r="L200" s="394"/>
    </row>
    <row r="201" spans="2:12" ht="22.4" customHeight="1" x14ac:dyDescent="0.5">
      <c r="B201" s="267"/>
      <c r="C201" s="798"/>
      <c r="D201" s="799"/>
      <c r="E201" s="569"/>
      <c r="F201" s="569"/>
      <c r="G201" s="569"/>
      <c r="H201" s="569"/>
      <c r="I201" s="569"/>
      <c r="J201" s="569"/>
      <c r="K201" s="570"/>
      <c r="L201" s="394"/>
    </row>
    <row r="202" spans="2:12" x14ac:dyDescent="0.5">
      <c r="B202" s="267"/>
      <c r="C202" s="798"/>
      <c r="D202" s="799"/>
      <c r="E202" s="571"/>
      <c r="F202" s="571"/>
      <c r="G202" s="571"/>
      <c r="H202" s="571"/>
      <c r="I202" s="571"/>
      <c r="J202" s="571"/>
      <c r="K202" s="572"/>
      <c r="L202" s="394"/>
    </row>
    <row r="203" spans="2:12" ht="22.65" customHeight="1" x14ac:dyDescent="0.5">
      <c r="B203" s="401"/>
      <c r="L203" s="402"/>
    </row>
    <row r="204" spans="2:12" ht="21" customHeight="1" x14ac:dyDescent="0.5">
      <c r="B204" s="671" t="s">
        <v>116</v>
      </c>
      <c r="C204" s="672"/>
      <c r="D204" s="800"/>
      <c r="E204" s="800"/>
      <c r="F204" s="800"/>
      <c r="G204" s="800"/>
      <c r="H204" s="800"/>
      <c r="I204" s="800"/>
      <c r="J204" s="392"/>
      <c r="K204" s="392"/>
      <c r="L204" s="393"/>
    </row>
    <row r="205" spans="2:12" x14ac:dyDescent="0.5">
      <c r="B205" s="401"/>
      <c r="D205" s="664"/>
      <c r="E205" s="664"/>
      <c r="F205" s="664"/>
      <c r="G205" s="664"/>
      <c r="H205" s="664"/>
      <c r="I205" s="664"/>
      <c r="J205" s="403"/>
      <c r="K205" s="403"/>
      <c r="L205" s="402"/>
    </row>
    <row r="206" spans="2:12" ht="21.5" thickBot="1" x14ac:dyDescent="0.55000000000000004">
      <c r="B206" s="404" t="s">
        <v>117</v>
      </c>
      <c r="C206" s="405"/>
      <c r="D206" s="664"/>
      <c r="E206" s="664"/>
      <c r="F206" s="664"/>
      <c r="G206" s="664"/>
      <c r="H206" s="664"/>
      <c r="I206" s="664"/>
      <c r="J206" s="403"/>
      <c r="K206" s="403"/>
      <c r="L206" s="406"/>
    </row>
    <row r="207" spans="2:12" x14ac:dyDescent="0.5">
      <c r="D207" s="664"/>
      <c r="E207" s="664"/>
      <c r="F207" s="664"/>
      <c r="G207" s="664"/>
      <c r="H207" s="664"/>
      <c r="I207" s="664"/>
      <c r="J207" s="403"/>
      <c r="K207" s="403"/>
    </row>
    <row r="208" spans="2:12" x14ac:dyDescent="0.5">
      <c r="D208" s="664"/>
      <c r="E208" s="664"/>
      <c r="F208" s="664"/>
      <c r="G208" s="664"/>
      <c r="H208" s="664"/>
      <c r="I208" s="664"/>
      <c r="J208" s="403"/>
      <c r="K208" s="403"/>
    </row>
    <row r="209" spans="4:11" x14ac:dyDescent="0.5">
      <c r="D209" s="664"/>
      <c r="E209" s="664"/>
      <c r="F209" s="664"/>
      <c r="G209" s="664"/>
      <c r="H209" s="664"/>
      <c r="I209" s="664"/>
      <c r="J209" s="403"/>
      <c r="K209" s="403"/>
    </row>
    <row r="210" spans="4:11" x14ac:dyDescent="0.5">
      <c r="D210" s="664"/>
      <c r="E210" s="664"/>
      <c r="F210" s="664"/>
      <c r="G210" s="664"/>
      <c r="H210" s="664"/>
      <c r="I210" s="664"/>
      <c r="J210" s="403"/>
      <c r="K210" s="403"/>
    </row>
    <row r="211" spans="4:11" x14ac:dyDescent="0.5">
      <c r="D211" s="664"/>
      <c r="E211" s="664"/>
      <c r="F211" s="664"/>
      <c r="G211" s="664"/>
      <c r="H211" s="664"/>
      <c r="I211" s="664"/>
      <c r="J211" s="403"/>
      <c r="K211" s="403"/>
    </row>
    <row r="212" spans="4:11" x14ac:dyDescent="0.5">
      <c r="D212" s="664"/>
      <c r="E212" s="664"/>
      <c r="F212" s="664"/>
      <c r="G212" s="664"/>
      <c r="H212" s="664"/>
      <c r="I212" s="664"/>
      <c r="J212" s="403"/>
      <c r="K212" s="403"/>
    </row>
    <row r="213" spans="4:11" x14ac:dyDescent="0.5">
      <c r="D213" s="664"/>
      <c r="E213" s="664"/>
      <c r="F213" s="664"/>
      <c r="G213" s="664"/>
      <c r="H213" s="664"/>
      <c r="I213" s="664"/>
      <c r="J213" s="403"/>
      <c r="K213" s="403"/>
    </row>
    <row r="214" spans="4:11" x14ac:dyDescent="0.5">
      <c r="D214" s="664"/>
      <c r="E214" s="664"/>
      <c r="F214" s="664"/>
      <c r="G214" s="664"/>
      <c r="H214" s="664"/>
      <c r="I214" s="664"/>
      <c r="J214" s="403"/>
      <c r="K214" s="403"/>
    </row>
    <row r="215" spans="4:11" x14ac:dyDescent="0.5">
      <c r="D215" s="664"/>
      <c r="E215" s="664"/>
      <c r="F215" s="664"/>
      <c r="G215" s="664"/>
      <c r="H215" s="664"/>
      <c r="I215" s="664"/>
      <c r="J215" s="403"/>
      <c r="K215" s="403"/>
    </row>
    <row r="216" spans="4:11" x14ac:dyDescent="0.5">
      <c r="D216" s="664"/>
      <c r="E216" s="664"/>
      <c r="F216" s="664"/>
      <c r="G216" s="664"/>
      <c r="H216" s="664"/>
      <c r="I216" s="664"/>
      <c r="J216" s="392"/>
      <c r="K216" s="392"/>
    </row>
    <row r="217" spans="4:11" x14ac:dyDescent="0.5">
      <c r="D217" s="664"/>
      <c r="E217" s="664"/>
      <c r="F217" s="664"/>
      <c r="G217" s="664"/>
      <c r="H217" s="664"/>
      <c r="I217" s="664"/>
      <c r="J217" s="403"/>
      <c r="K217" s="403"/>
    </row>
    <row r="218" spans="4:11" x14ac:dyDescent="0.5">
      <c r="D218" s="664"/>
      <c r="E218" s="664"/>
      <c r="F218" s="664"/>
      <c r="G218" s="664"/>
      <c r="H218" s="664"/>
      <c r="I218" s="664"/>
      <c r="J218" s="403"/>
      <c r="K218" s="403"/>
    </row>
    <row r="219" spans="4:11" x14ac:dyDescent="0.5">
      <c r="D219" s="403"/>
      <c r="E219" s="403"/>
      <c r="F219" s="403"/>
      <c r="G219" s="403"/>
      <c r="H219" s="403"/>
      <c r="I219" s="403"/>
      <c r="J219" s="403"/>
      <c r="K219" s="403"/>
    </row>
    <row r="220" spans="4:11" x14ac:dyDescent="0.5">
      <c r="D220" s="403"/>
      <c r="E220" s="403"/>
      <c r="F220" s="403"/>
      <c r="G220" s="403"/>
      <c r="H220" s="403"/>
      <c r="I220" s="403"/>
      <c r="J220" s="403"/>
      <c r="K220" s="403"/>
    </row>
    <row r="221" spans="4:11" x14ac:dyDescent="0.5">
      <c r="D221" s="403"/>
      <c r="E221" s="403"/>
      <c r="F221" s="403"/>
      <c r="G221" s="403"/>
      <c r="H221" s="403"/>
      <c r="I221" s="403"/>
      <c r="J221" s="403"/>
      <c r="K221" s="403"/>
    </row>
    <row r="222" spans="4:11" x14ac:dyDescent="0.5">
      <c r="D222" s="664"/>
      <c r="E222" s="664"/>
      <c r="F222" s="664"/>
      <c r="G222" s="664"/>
      <c r="H222" s="664"/>
      <c r="I222" s="664"/>
      <c r="J222" s="664"/>
      <c r="K222" s="664"/>
    </row>
    <row r="223" spans="4:11" x14ac:dyDescent="0.5">
      <c r="D223" s="664"/>
      <c r="E223" s="664"/>
      <c r="F223" s="664"/>
      <c r="G223" s="664"/>
      <c r="H223" s="664"/>
      <c r="I223" s="664"/>
      <c r="J223" s="664"/>
      <c r="K223" s="664"/>
    </row>
    <row r="224" spans="4:11" x14ac:dyDescent="0.5">
      <c r="D224" s="664"/>
      <c r="E224" s="664"/>
      <c r="F224" s="664"/>
      <c r="G224" s="664"/>
      <c r="H224" s="664"/>
      <c r="I224" s="664"/>
      <c r="J224" s="664"/>
      <c r="K224" s="664"/>
    </row>
    <row r="225" spans="4:11" x14ac:dyDescent="0.5">
      <c r="D225" s="664"/>
      <c r="E225" s="664"/>
      <c r="F225" s="664"/>
      <c r="G225" s="664"/>
      <c r="H225" s="664"/>
      <c r="I225" s="664"/>
      <c r="J225" s="664"/>
      <c r="K225" s="664"/>
    </row>
    <row r="226" spans="4:11" x14ac:dyDescent="0.5">
      <c r="D226" s="664"/>
      <c r="E226" s="664"/>
      <c r="F226" s="664"/>
      <c r="G226" s="664"/>
      <c r="H226" s="664"/>
      <c r="I226" s="664"/>
      <c r="J226" s="664"/>
      <c r="K226" s="664"/>
    </row>
    <row r="227" spans="4:11" x14ac:dyDescent="0.5">
      <c r="D227" s="664"/>
      <c r="E227" s="664"/>
      <c r="F227" s="664"/>
      <c r="G227" s="664"/>
      <c r="H227" s="664"/>
      <c r="I227" s="664"/>
      <c r="J227" s="664"/>
      <c r="K227" s="664"/>
    </row>
    <row r="228" spans="4:11" x14ac:dyDescent="0.5">
      <c r="D228" s="664"/>
      <c r="E228" s="664"/>
      <c r="F228" s="664"/>
      <c r="G228" s="664"/>
      <c r="H228" s="664"/>
      <c r="I228" s="664"/>
      <c r="J228" s="664"/>
      <c r="K228" s="664"/>
    </row>
    <row r="229" spans="4:11" x14ac:dyDescent="0.5">
      <c r="D229" s="664"/>
      <c r="E229" s="664"/>
      <c r="F229" s="664"/>
      <c r="G229" s="664"/>
      <c r="H229" s="664"/>
      <c r="I229" s="664"/>
      <c r="J229" s="664"/>
      <c r="K229" s="664"/>
    </row>
    <row r="230" spans="4:11" x14ac:dyDescent="0.5">
      <c r="D230" s="664"/>
      <c r="E230" s="664"/>
      <c r="F230" s="664"/>
      <c r="G230" s="664"/>
      <c r="H230" s="664"/>
      <c r="I230" s="664"/>
      <c r="J230" s="664"/>
      <c r="K230" s="664"/>
    </row>
    <row r="231" spans="4:11" x14ac:dyDescent="0.5">
      <c r="D231" s="664"/>
      <c r="E231" s="664"/>
      <c r="F231" s="664"/>
      <c r="G231" s="664"/>
      <c r="H231" s="664"/>
      <c r="I231" s="664"/>
      <c r="J231" s="664"/>
      <c r="K231" s="664"/>
    </row>
    <row r="232" spans="4:11" x14ac:dyDescent="0.5">
      <c r="D232" s="664"/>
      <c r="E232" s="664"/>
      <c r="F232" s="664"/>
      <c r="G232" s="664"/>
      <c r="H232" s="664"/>
      <c r="I232" s="664"/>
      <c r="J232" s="664"/>
      <c r="K232" s="664"/>
    </row>
    <row r="233" spans="4:11" x14ac:dyDescent="0.5">
      <c r="D233" s="664"/>
      <c r="E233" s="664"/>
      <c r="F233" s="664"/>
      <c r="G233" s="664"/>
      <c r="H233" s="664"/>
      <c r="I233" s="664"/>
      <c r="J233" s="664"/>
      <c r="K233" s="664"/>
    </row>
    <row r="234" spans="4:11" x14ac:dyDescent="0.5">
      <c r="D234" s="664"/>
      <c r="E234" s="664"/>
      <c r="F234" s="664"/>
      <c r="G234" s="664"/>
      <c r="H234" s="664"/>
      <c r="I234" s="664"/>
      <c r="J234" s="664"/>
      <c r="K234" s="664"/>
    </row>
    <row r="235" spans="4:11" x14ac:dyDescent="0.5">
      <c r="D235" s="664"/>
      <c r="E235" s="664"/>
      <c r="F235" s="664"/>
      <c r="G235" s="664"/>
      <c r="H235" s="664"/>
      <c r="I235" s="664"/>
      <c r="J235" s="664"/>
      <c r="K235" s="664"/>
    </row>
    <row r="236" spans="4:11" x14ac:dyDescent="0.5">
      <c r="D236" s="664"/>
      <c r="E236" s="664"/>
      <c r="F236" s="664"/>
      <c r="G236" s="664"/>
      <c r="H236" s="664"/>
      <c r="I236" s="664"/>
      <c r="J236" s="664"/>
      <c r="K236" s="664"/>
    </row>
    <row r="237" spans="4:11" x14ac:dyDescent="0.5">
      <c r="D237" s="664"/>
      <c r="E237" s="664"/>
      <c r="F237" s="664"/>
      <c r="G237" s="664"/>
      <c r="H237" s="664"/>
      <c r="I237" s="664"/>
      <c r="J237" s="664"/>
      <c r="K237" s="664"/>
    </row>
    <row r="238" spans="4:11" x14ac:dyDescent="0.5">
      <c r="D238" s="664"/>
      <c r="E238" s="664"/>
      <c r="F238" s="664"/>
      <c r="G238" s="664"/>
      <c r="H238" s="664"/>
      <c r="I238" s="664"/>
      <c r="J238" s="664"/>
      <c r="K238" s="664"/>
    </row>
    <row r="239" spans="4:11" x14ac:dyDescent="0.5">
      <c r="D239" s="664"/>
      <c r="E239" s="664"/>
      <c r="F239" s="664"/>
      <c r="G239" s="664"/>
      <c r="H239" s="664"/>
      <c r="I239" s="664"/>
      <c r="J239" s="664"/>
      <c r="K239" s="664"/>
    </row>
  </sheetData>
  <mergeCells count="87">
    <mergeCell ref="F204:G218"/>
    <mergeCell ref="H204:I218"/>
    <mergeCell ref="C200:D200"/>
    <mergeCell ref="C201:D201"/>
    <mergeCell ref="C202:D202"/>
    <mergeCell ref="B204:C204"/>
    <mergeCell ref="D204:E218"/>
    <mergeCell ref="C159:D159"/>
    <mergeCell ref="B158:C158"/>
    <mergeCell ref="C160:D160"/>
    <mergeCell ref="I162:L163"/>
    <mergeCell ref="C178:K184"/>
    <mergeCell ref="C71:K73"/>
    <mergeCell ref="B75:L75"/>
    <mergeCell ref="B76:C76"/>
    <mergeCell ref="B88:C88"/>
    <mergeCell ref="C153:K153"/>
    <mergeCell ref="B96:C96"/>
    <mergeCell ref="B100:C100"/>
    <mergeCell ref="D101:E101"/>
    <mergeCell ref="G101:H101"/>
    <mergeCell ref="B111:L111"/>
    <mergeCell ref="B112:C112"/>
    <mergeCell ref="B150:L150"/>
    <mergeCell ref="B151:C151"/>
    <mergeCell ref="B153:B156"/>
    <mergeCell ref="C156:K156"/>
    <mergeCell ref="C154:K154"/>
    <mergeCell ref="C67:L67"/>
    <mergeCell ref="C68:L68"/>
    <mergeCell ref="B66:L66"/>
    <mergeCell ref="C69:L69"/>
    <mergeCell ref="B70:L70"/>
    <mergeCell ref="B45:L45"/>
    <mergeCell ref="D47:L47"/>
    <mergeCell ref="D48:L48"/>
    <mergeCell ref="D49:L49"/>
    <mergeCell ref="B52:C52"/>
    <mergeCell ref="B28:C28"/>
    <mergeCell ref="B31:C31"/>
    <mergeCell ref="B33:C33"/>
    <mergeCell ref="K33:L37"/>
    <mergeCell ref="B34:C34"/>
    <mergeCell ref="B35:C35"/>
    <mergeCell ref="B36:C36"/>
    <mergeCell ref="F23:L23"/>
    <mergeCell ref="B26:C26"/>
    <mergeCell ref="B24:C24"/>
    <mergeCell ref="F24:L24"/>
    <mergeCell ref="B27:C27"/>
    <mergeCell ref="F19:L19"/>
    <mergeCell ref="B20:C20"/>
    <mergeCell ref="F20:L20"/>
    <mergeCell ref="B21:C21"/>
    <mergeCell ref="F21:L21"/>
    <mergeCell ref="B195:C195"/>
    <mergeCell ref="B2:C4"/>
    <mergeCell ref="D2:I4"/>
    <mergeCell ref="J2:K2"/>
    <mergeCell ref="J3:K3"/>
    <mergeCell ref="J4:K4"/>
    <mergeCell ref="K5:L5"/>
    <mergeCell ref="B8:L8"/>
    <mergeCell ref="C9:L11"/>
    <mergeCell ref="B13:C13"/>
    <mergeCell ref="B14:C14"/>
    <mergeCell ref="B18:C18"/>
    <mergeCell ref="F18:L18"/>
    <mergeCell ref="B16:C16"/>
    <mergeCell ref="B15:C15"/>
    <mergeCell ref="B19:C19"/>
    <mergeCell ref="C199:D199"/>
    <mergeCell ref="C155:K155"/>
    <mergeCell ref="D222:E239"/>
    <mergeCell ref="F222:G239"/>
    <mergeCell ref="H222:I239"/>
    <mergeCell ref="J222:K239"/>
    <mergeCell ref="B166:C166"/>
    <mergeCell ref="B170:L170"/>
    <mergeCell ref="B171:C171"/>
    <mergeCell ref="B176:L176"/>
    <mergeCell ref="B177:C177"/>
    <mergeCell ref="C198:D198"/>
    <mergeCell ref="C196:D196"/>
    <mergeCell ref="C197:D197"/>
    <mergeCell ref="B186:C186"/>
    <mergeCell ref="C187:K193"/>
  </mergeCells>
  <printOptions horizontalCentered="1"/>
  <pageMargins left="0.2" right="0.2" top="0.75" bottom="0.75" header="0.3" footer="0.3"/>
  <pageSetup scale="42" fitToHeight="0" orientation="portrait" r:id="rId1"/>
  <headerFooter>
    <oddFooter>&amp;L&amp;"-,Regular"&amp;11&amp;F&amp;R&amp;"-,Regular"&amp;11ACS-SFM-CX-1016, Rev 0, 10-Oct-2022</oddFooter>
  </headerFooter>
  <rowBreaks count="3" manualBreakCount="3">
    <brk id="64" max="11" man="1"/>
    <brk id="109" max="11" man="1"/>
    <brk id="148"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A8F9A-FACA-4E1B-88CD-B2C4046CFAF0}">
  <sheetPr>
    <pageSetUpPr fitToPage="1"/>
  </sheetPr>
  <dimension ref="B1:N238"/>
  <sheetViews>
    <sheetView showGridLines="0" view="pageBreakPreview" topLeftCell="A145" zoomScale="80" zoomScaleNormal="85" zoomScaleSheetLayoutView="80" zoomScalePageLayoutView="70" workbookViewId="0">
      <selection activeCell="E21" sqref="E21"/>
    </sheetView>
  </sheetViews>
  <sheetFormatPr defaultColWidth="14.6328125" defaultRowHeight="21" outlineLevelRow="1" x14ac:dyDescent="0.5"/>
  <cols>
    <col min="1" max="1" width="2.54296875" style="178" customWidth="1"/>
    <col min="2" max="2" width="20.36328125" style="178" customWidth="1"/>
    <col min="3" max="3" width="31.54296875" style="178" customWidth="1"/>
    <col min="4" max="4" width="23.6328125" style="178" customWidth="1"/>
    <col min="5" max="5" width="25.36328125" style="178" customWidth="1"/>
    <col min="6" max="6" width="20.54296875" style="178" customWidth="1"/>
    <col min="7" max="7" width="24.6328125" style="178" customWidth="1"/>
    <col min="8" max="8" width="21.36328125" style="178" customWidth="1"/>
    <col min="9" max="9" width="21" style="178" customWidth="1"/>
    <col min="10" max="10" width="16.54296875" style="178" customWidth="1"/>
    <col min="11" max="11" width="16.6328125" style="178" customWidth="1"/>
    <col min="12" max="12" width="20" style="178" customWidth="1"/>
    <col min="13" max="13" width="14.6328125" style="178" customWidth="1"/>
    <col min="14" max="16384" width="14.6328125" style="178"/>
  </cols>
  <sheetData>
    <row r="1" spans="2:14" ht="12" customHeight="1" thickBot="1" x14ac:dyDescent="0.55000000000000004"/>
    <row r="2" spans="2:14" x14ac:dyDescent="0.5">
      <c r="B2" s="609"/>
      <c r="C2" s="610"/>
      <c r="D2" s="615" t="s">
        <v>0</v>
      </c>
      <c r="E2" s="615"/>
      <c r="F2" s="615"/>
      <c r="G2" s="615"/>
      <c r="H2" s="615"/>
      <c r="I2" s="616"/>
      <c r="J2" s="621" t="s">
        <v>1</v>
      </c>
      <c r="K2" s="622"/>
      <c r="L2" s="179"/>
    </row>
    <row r="3" spans="2:14" ht="26.15" customHeight="1" x14ac:dyDescent="0.5">
      <c r="B3" s="611"/>
      <c r="C3" s="612"/>
      <c r="D3" s="617"/>
      <c r="E3" s="617"/>
      <c r="F3" s="617"/>
      <c r="G3" s="617"/>
      <c r="H3" s="617"/>
      <c r="I3" s="618"/>
      <c r="J3" s="623" t="s">
        <v>2</v>
      </c>
      <c r="K3" s="624"/>
      <c r="L3" s="180">
        <v>0</v>
      </c>
    </row>
    <row r="4" spans="2:14" ht="24.65" customHeight="1" thickBot="1" x14ac:dyDescent="0.55000000000000004">
      <c r="B4" s="613"/>
      <c r="C4" s="614"/>
      <c r="D4" s="619"/>
      <c r="E4" s="619"/>
      <c r="F4" s="619"/>
      <c r="G4" s="619"/>
      <c r="H4" s="619"/>
      <c r="I4" s="620"/>
      <c r="J4" s="625" t="s">
        <v>3</v>
      </c>
      <c r="K4" s="626"/>
      <c r="L4" s="181"/>
    </row>
    <row r="5" spans="2:14" ht="19.399999999999999" customHeight="1" thickBot="1" x14ac:dyDescent="0.55000000000000004">
      <c r="B5" s="182"/>
      <c r="C5" s="183"/>
      <c r="D5" s="183"/>
      <c r="J5" s="184"/>
      <c r="K5" s="627"/>
      <c r="L5" s="628"/>
    </row>
    <row r="6" spans="2:14" ht="24.65" customHeight="1" thickBot="1" x14ac:dyDescent="0.55000000000000004">
      <c r="B6" s="182"/>
      <c r="C6" s="183"/>
      <c r="D6" s="183"/>
      <c r="J6" s="184"/>
      <c r="K6" s="187" t="s">
        <v>4</v>
      </c>
      <c r="L6" s="188">
        <v>45999</v>
      </c>
    </row>
    <row r="7" spans="2:14" ht="15" customHeight="1" x14ac:dyDescent="0.5">
      <c r="B7" s="182"/>
      <c r="C7" s="183"/>
      <c r="D7" s="183"/>
      <c r="J7" s="184"/>
      <c r="K7" s="185"/>
      <c r="L7" s="186"/>
    </row>
    <row r="8" spans="2:14" s="189" customFormat="1" ht="20" collapsed="1" x14ac:dyDescent="0.4">
      <c r="B8" s="629" t="s">
        <v>5</v>
      </c>
      <c r="C8" s="630"/>
      <c r="D8" s="630"/>
      <c r="E8" s="630"/>
      <c r="F8" s="630"/>
      <c r="G8" s="630"/>
      <c r="H8" s="630"/>
      <c r="I8" s="630"/>
      <c r="J8" s="630"/>
      <c r="K8" s="630"/>
      <c r="L8" s="631"/>
    </row>
    <row r="9" spans="2:14" ht="21" customHeight="1" x14ac:dyDescent="0.5">
      <c r="B9" s="190" t="s">
        <v>6</v>
      </c>
      <c r="C9" s="632" t="s">
        <v>281</v>
      </c>
      <c r="D9" s="633"/>
      <c r="E9" s="633"/>
      <c r="F9" s="633"/>
      <c r="G9" s="633"/>
      <c r="H9" s="633"/>
      <c r="I9" s="633"/>
      <c r="J9" s="633"/>
      <c r="K9" s="633"/>
      <c r="L9" s="634"/>
    </row>
    <row r="10" spans="2:14" ht="27.75" customHeight="1" x14ac:dyDescent="0.5">
      <c r="B10" s="191"/>
      <c r="C10" s="635"/>
      <c r="D10" s="636"/>
      <c r="E10" s="636"/>
      <c r="F10" s="636"/>
      <c r="G10" s="636"/>
      <c r="H10" s="636"/>
      <c r="I10" s="636"/>
      <c r="J10" s="636"/>
      <c r="K10" s="636"/>
      <c r="L10" s="637"/>
      <c r="N10" s="183"/>
    </row>
    <row r="11" spans="2:14" ht="33.65" customHeight="1" x14ac:dyDescent="0.5">
      <c r="B11" s="191"/>
      <c r="C11" s="638"/>
      <c r="D11" s="639"/>
      <c r="E11" s="639"/>
      <c r="F11" s="639"/>
      <c r="G11" s="639"/>
      <c r="H11" s="639"/>
      <c r="I11" s="639"/>
      <c r="J11" s="639"/>
      <c r="K11" s="639"/>
      <c r="L11" s="640"/>
    </row>
    <row r="12" spans="2:14" ht="21.5" thickBot="1" x14ac:dyDescent="0.55000000000000004">
      <c r="B12" s="192"/>
      <c r="C12" s="193"/>
      <c r="D12" s="193"/>
      <c r="E12" s="193"/>
      <c r="F12" s="193"/>
      <c r="G12" s="193"/>
      <c r="H12" s="193"/>
      <c r="I12" s="193"/>
      <c r="J12" s="193"/>
      <c r="K12" s="193"/>
      <c r="L12" s="194"/>
    </row>
    <row r="13" spans="2:14" ht="36" customHeight="1" x14ac:dyDescent="0.5">
      <c r="B13" s="641" t="s">
        <v>8</v>
      </c>
      <c r="C13" s="642"/>
      <c r="D13" s="195" t="s">
        <v>9</v>
      </c>
      <c r="E13" s="196" t="s">
        <v>10</v>
      </c>
      <c r="F13" s="196" t="s">
        <v>11</v>
      </c>
      <c r="G13" s="196"/>
      <c r="H13" s="196"/>
      <c r="I13" s="196"/>
      <c r="J13" s="196" t="s">
        <v>12</v>
      </c>
      <c r="K13" s="196" t="s">
        <v>13</v>
      </c>
      <c r="L13" s="197" t="s">
        <v>14</v>
      </c>
    </row>
    <row r="14" spans="2:14" x14ac:dyDescent="0.5">
      <c r="B14" s="643" t="s">
        <v>15</v>
      </c>
      <c r="C14" s="644"/>
      <c r="D14" s="462">
        <f>2310+144+144+228+228+133+228+228+209+190</f>
        <v>4042</v>
      </c>
      <c r="E14" s="463">
        <f>1925+96+96+96+96+35+72+72+66+40</f>
        <v>2594</v>
      </c>
      <c r="F14" s="198">
        <f>50+50+50+50+50+30+50+190+88+280</f>
        <v>888</v>
      </c>
      <c r="G14" s="198"/>
      <c r="H14" s="198"/>
      <c r="I14" s="199"/>
      <c r="J14" s="468">
        <f>D14</f>
        <v>4042</v>
      </c>
      <c r="K14" s="468">
        <f>SUM(E14:I14)</f>
        <v>3482</v>
      </c>
      <c r="L14" s="469">
        <f>SUM(J14:K14)</f>
        <v>7524</v>
      </c>
    </row>
    <row r="15" spans="2:14" ht="21.5" thickBot="1" x14ac:dyDescent="0.55000000000000004">
      <c r="B15" s="643" t="s">
        <v>16</v>
      </c>
      <c r="C15" s="644"/>
      <c r="D15" s="464">
        <v>190</v>
      </c>
      <c r="E15" s="465">
        <v>40</v>
      </c>
      <c r="F15" s="202">
        <v>280</v>
      </c>
      <c r="G15" s="202"/>
      <c r="H15" s="202"/>
      <c r="I15" s="203"/>
      <c r="J15" s="200">
        <f>D15</f>
        <v>190</v>
      </c>
      <c r="K15" s="200">
        <f>SUM(E15:I15)</f>
        <v>320</v>
      </c>
      <c r="L15" s="201">
        <f>SUM(J15:K15)</f>
        <v>510</v>
      </c>
    </row>
    <row r="16" spans="2:14" ht="22" thickTop="1" thickBot="1" x14ac:dyDescent="0.55000000000000004">
      <c r="B16" s="607" t="s">
        <v>17</v>
      </c>
      <c r="C16" s="608"/>
      <c r="D16" s="466">
        <f>SUM(D15+D14)</f>
        <v>4232</v>
      </c>
      <c r="E16" s="467">
        <f>SUM(E15+E14)</f>
        <v>2634</v>
      </c>
      <c r="F16" s="204">
        <f t="shared" ref="F16:K16" si="0">SUM(F15,F14)</f>
        <v>1168</v>
      </c>
      <c r="G16" s="204">
        <f t="shared" si="0"/>
        <v>0</v>
      </c>
      <c r="H16" s="204">
        <f t="shared" si="0"/>
        <v>0</v>
      </c>
      <c r="I16" s="204">
        <f t="shared" si="0"/>
        <v>0</v>
      </c>
      <c r="J16" s="204">
        <f t="shared" si="0"/>
        <v>4232</v>
      </c>
      <c r="K16" s="204">
        <f t="shared" si="0"/>
        <v>3802</v>
      </c>
      <c r="L16" s="205">
        <f>SUM(L14:L15)</f>
        <v>8034</v>
      </c>
    </row>
    <row r="17" spans="2:12" ht="21.5" thickBot="1" x14ac:dyDescent="0.55000000000000004">
      <c r="B17" s="192"/>
      <c r="C17" s="193"/>
      <c r="D17" s="193"/>
      <c r="E17" s="193"/>
      <c r="F17" s="193"/>
      <c r="G17" s="193"/>
      <c r="H17" s="193"/>
      <c r="I17" s="193"/>
      <c r="J17" s="193"/>
      <c r="K17" s="193"/>
      <c r="L17" s="194"/>
    </row>
    <row r="18" spans="2:12" x14ac:dyDescent="0.5">
      <c r="B18" s="641" t="s">
        <v>18</v>
      </c>
      <c r="C18" s="645"/>
      <c r="D18" s="195" t="s">
        <v>19</v>
      </c>
      <c r="E18" s="196" t="s">
        <v>20</v>
      </c>
      <c r="F18" s="646" t="s">
        <v>21</v>
      </c>
      <c r="G18" s="647"/>
      <c r="H18" s="647"/>
      <c r="I18" s="647"/>
      <c r="J18" s="647"/>
      <c r="K18" s="647"/>
      <c r="L18" s="648"/>
    </row>
    <row r="19" spans="2:12" x14ac:dyDescent="0.5">
      <c r="B19" s="649" t="s">
        <v>22</v>
      </c>
      <c r="C19" s="650"/>
      <c r="D19" s="210">
        <v>0</v>
      </c>
      <c r="E19" s="210">
        <v>0</v>
      </c>
      <c r="F19" s="651"/>
      <c r="G19" s="652"/>
      <c r="H19" s="652"/>
      <c r="I19" s="652"/>
      <c r="J19" s="652"/>
      <c r="K19" s="652"/>
      <c r="L19" s="653"/>
    </row>
    <row r="20" spans="2:12" x14ac:dyDescent="0.5">
      <c r="B20" s="649" t="s">
        <v>23</v>
      </c>
      <c r="C20" s="650"/>
      <c r="D20" s="210">
        <v>0</v>
      </c>
      <c r="E20" s="210">
        <v>0</v>
      </c>
      <c r="F20" s="651"/>
      <c r="G20" s="652"/>
      <c r="H20" s="652"/>
      <c r="I20" s="652"/>
      <c r="J20" s="652"/>
      <c r="K20" s="652"/>
      <c r="L20" s="653"/>
    </row>
    <row r="21" spans="2:12" x14ac:dyDescent="0.5">
      <c r="B21" s="649" t="s">
        <v>24</v>
      </c>
      <c r="C21" s="650"/>
      <c r="D21" s="210">
        <v>0</v>
      </c>
      <c r="E21" s="210">
        <v>0</v>
      </c>
      <c r="F21" s="651"/>
      <c r="G21" s="652"/>
      <c r="H21" s="652"/>
      <c r="I21" s="652"/>
      <c r="J21" s="652"/>
      <c r="K21" s="652"/>
      <c r="L21" s="653"/>
    </row>
    <row r="22" spans="2:12" x14ac:dyDescent="0.5">
      <c r="B22" s="208"/>
      <c r="C22" s="209" t="s">
        <v>25</v>
      </c>
      <c r="D22" s="210">
        <v>0</v>
      </c>
      <c r="E22" s="210">
        <v>0</v>
      </c>
      <c r="F22" s="211"/>
      <c r="G22" s="212"/>
      <c r="H22" s="212"/>
      <c r="I22" s="212"/>
      <c r="J22" s="212"/>
      <c r="K22" s="212"/>
      <c r="L22" s="213"/>
    </row>
    <row r="23" spans="2:12" ht="24" customHeight="1" x14ac:dyDescent="0.5">
      <c r="B23" s="208"/>
      <c r="C23" s="209" t="s">
        <v>26</v>
      </c>
      <c r="D23" s="214">
        <v>0</v>
      </c>
      <c r="E23" s="214">
        <v>0</v>
      </c>
      <c r="F23" s="651"/>
      <c r="G23" s="652"/>
      <c r="H23" s="652"/>
      <c r="I23" s="652"/>
      <c r="J23" s="652"/>
      <c r="K23" s="652"/>
      <c r="L23" s="653"/>
    </row>
    <row r="24" spans="2:12" ht="21.5" thickBot="1" x14ac:dyDescent="0.55000000000000004">
      <c r="B24" s="649" t="s">
        <v>27</v>
      </c>
      <c r="C24" s="650"/>
      <c r="D24" s="215">
        <v>0</v>
      </c>
      <c r="E24" s="215">
        <v>0</v>
      </c>
      <c r="F24" s="654"/>
      <c r="G24" s="655"/>
      <c r="H24" s="655"/>
      <c r="I24" s="655"/>
      <c r="J24" s="655"/>
      <c r="K24" s="655"/>
      <c r="L24" s="656"/>
    </row>
    <row r="25" spans="2:12" ht="21.5" thickBot="1" x14ac:dyDescent="0.55000000000000004">
      <c r="B25" s="192"/>
      <c r="C25" s="193"/>
      <c r="D25" s="193"/>
      <c r="E25" s="193"/>
      <c r="F25" s="193"/>
      <c r="G25" s="193"/>
      <c r="H25" s="193"/>
      <c r="I25" s="193"/>
      <c r="J25" s="193"/>
      <c r="K25" s="193"/>
      <c r="L25" s="194"/>
    </row>
    <row r="26" spans="2:12" ht="33" customHeight="1" x14ac:dyDescent="0.5">
      <c r="B26" s="641" t="s">
        <v>28</v>
      </c>
      <c r="C26" s="645"/>
      <c r="D26" s="195" t="s">
        <v>29</v>
      </c>
      <c r="E26" s="196" t="s">
        <v>30</v>
      </c>
      <c r="F26" s="196" t="s">
        <v>31</v>
      </c>
      <c r="G26" s="196" t="s">
        <v>233</v>
      </c>
      <c r="H26" s="196"/>
      <c r="I26" s="197" t="s">
        <v>234</v>
      </c>
      <c r="J26" s="193"/>
      <c r="K26" s="193"/>
      <c r="L26" s="194"/>
    </row>
    <row r="27" spans="2:12" ht="19.5" customHeight="1" x14ac:dyDescent="0.5">
      <c r="B27" s="649" t="s">
        <v>32</v>
      </c>
      <c r="C27" s="657"/>
      <c r="D27" s="210" t="s">
        <v>33</v>
      </c>
      <c r="E27" s="216">
        <v>4</v>
      </c>
      <c r="F27" s="216"/>
      <c r="G27" s="217">
        <v>10</v>
      </c>
      <c r="H27" s="216"/>
      <c r="I27" s="218"/>
      <c r="J27" s="193"/>
      <c r="K27" s="193"/>
      <c r="L27" s="194"/>
    </row>
    <row r="28" spans="2:12" ht="19.5" customHeight="1" thickBot="1" x14ac:dyDescent="0.55000000000000004">
      <c r="B28" s="649" t="s">
        <v>32</v>
      </c>
      <c r="C28" s="657"/>
      <c r="D28" s="215" t="s">
        <v>34</v>
      </c>
      <c r="E28" s="219">
        <v>19</v>
      </c>
      <c r="F28" s="219"/>
      <c r="G28" s="220">
        <v>10</v>
      </c>
      <c r="H28" s="219"/>
      <c r="I28" s="221"/>
      <c r="J28" s="193"/>
      <c r="K28" s="193"/>
      <c r="L28" s="194"/>
    </row>
    <row r="29" spans="2:12" x14ac:dyDescent="0.5">
      <c r="B29" s="222" t="s">
        <v>35</v>
      </c>
      <c r="D29" s="223"/>
      <c r="E29" s="193"/>
      <c r="F29" s="193"/>
      <c r="G29" s="193"/>
      <c r="H29" s="193"/>
      <c r="I29" s="193"/>
      <c r="J29" s="193"/>
      <c r="K29" s="193"/>
      <c r="L29" s="194"/>
    </row>
    <row r="30" spans="2:12" x14ac:dyDescent="0.5">
      <c r="B30" s="224" t="s">
        <v>36</v>
      </c>
      <c r="C30" s="225"/>
      <c r="D30" s="193"/>
      <c r="E30" s="193"/>
      <c r="F30" s="193"/>
      <c r="G30" s="193"/>
      <c r="H30" s="193"/>
      <c r="I30" s="193"/>
      <c r="J30" s="193"/>
      <c r="K30" s="193"/>
      <c r="L30" s="194"/>
    </row>
    <row r="31" spans="2:12" x14ac:dyDescent="0.5">
      <c r="B31" s="658" t="s">
        <v>37</v>
      </c>
      <c r="C31" s="659"/>
      <c r="D31" s="193"/>
      <c r="E31" s="193"/>
      <c r="F31" s="193"/>
      <c r="G31" s="193"/>
      <c r="H31" s="193"/>
      <c r="I31" s="193"/>
      <c r="J31" s="193"/>
      <c r="K31" s="193"/>
      <c r="L31" s="194"/>
    </row>
    <row r="32" spans="2:12" ht="21.5" thickBot="1" x14ac:dyDescent="0.55000000000000004">
      <c r="B32" s="192"/>
      <c r="C32" s="193"/>
      <c r="D32" s="193"/>
      <c r="E32" s="193"/>
      <c r="F32" s="193"/>
      <c r="G32" s="193"/>
      <c r="H32" s="193"/>
      <c r="I32" s="193"/>
      <c r="J32" s="193"/>
      <c r="K32" s="193"/>
      <c r="L32" s="194"/>
    </row>
    <row r="33" spans="2:14" ht="41.15" customHeight="1" x14ac:dyDescent="0.5">
      <c r="B33" s="803" t="s">
        <v>38</v>
      </c>
      <c r="C33" s="804"/>
      <c r="D33" s="461" t="s">
        <v>39</v>
      </c>
      <c r="E33" s="460" t="s">
        <v>40</v>
      </c>
      <c r="F33" s="460" t="s">
        <v>41</v>
      </c>
      <c r="G33" s="460" t="s">
        <v>42</v>
      </c>
      <c r="H33" s="460" t="s">
        <v>43</v>
      </c>
      <c r="I33" s="460" t="s">
        <v>44</v>
      </c>
      <c r="J33" s="459" t="s">
        <v>45</v>
      </c>
      <c r="K33" s="774"/>
      <c r="L33" s="663"/>
      <c r="N33" s="178" t="s">
        <v>46</v>
      </c>
    </row>
    <row r="34" spans="2:14" x14ac:dyDescent="0.5">
      <c r="B34" s="805" t="s">
        <v>47</v>
      </c>
      <c r="C34" s="806"/>
      <c r="D34" s="458">
        <v>45971</v>
      </c>
      <c r="E34" s="457">
        <f t="shared" ref="E34:J34" si="1">D34+1</f>
        <v>45972</v>
      </c>
      <c r="F34" s="457">
        <f t="shared" si="1"/>
        <v>45973</v>
      </c>
      <c r="G34" s="457">
        <f t="shared" si="1"/>
        <v>45974</v>
      </c>
      <c r="H34" s="457">
        <f t="shared" si="1"/>
        <v>45975</v>
      </c>
      <c r="I34" s="457">
        <f t="shared" si="1"/>
        <v>45976</v>
      </c>
      <c r="J34" s="456">
        <f t="shared" si="1"/>
        <v>45977</v>
      </c>
      <c r="K34" s="774"/>
      <c r="L34" s="663"/>
    </row>
    <row r="35" spans="2:14" x14ac:dyDescent="0.5">
      <c r="B35" s="805" t="s">
        <v>48</v>
      </c>
      <c r="C35" s="806"/>
      <c r="D35" s="455">
        <v>65</v>
      </c>
      <c r="E35" s="454">
        <v>72</v>
      </c>
      <c r="F35" s="452"/>
      <c r="G35" s="454"/>
      <c r="H35" s="453"/>
      <c r="I35" s="452"/>
      <c r="J35" s="451"/>
      <c r="K35" s="774"/>
      <c r="L35" s="663"/>
    </row>
    <row r="36" spans="2:14" ht="21.5" thickBot="1" x14ac:dyDescent="0.55000000000000004">
      <c r="B36" s="805" t="s">
        <v>49</v>
      </c>
      <c r="C36" s="806"/>
      <c r="D36" s="450">
        <v>45</v>
      </c>
      <c r="E36" s="449">
        <v>46</v>
      </c>
      <c r="F36" s="447"/>
      <c r="G36" s="449"/>
      <c r="H36" s="448"/>
      <c r="I36" s="447"/>
      <c r="J36" s="446"/>
      <c r="K36" s="774"/>
      <c r="L36" s="663"/>
    </row>
    <row r="37" spans="2:14" ht="21.5" thickBot="1" x14ac:dyDescent="0.55000000000000004">
      <c r="B37" s="445"/>
      <c r="C37" s="444" t="s">
        <v>50</v>
      </c>
      <c r="D37" s="443"/>
      <c r="E37" s="442"/>
      <c r="F37" s="442"/>
      <c r="G37" s="442"/>
      <c r="H37" s="442"/>
      <c r="I37" s="441"/>
      <c r="J37" s="440"/>
      <c r="K37" s="774"/>
      <c r="L37" s="663"/>
    </row>
    <row r="38" spans="2:14" x14ac:dyDescent="0.5">
      <c r="B38" s="233"/>
      <c r="C38" s="234"/>
      <c r="D38" s="235"/>
      <c r="E38" s="236"/>
      <c r="F38" s="237"/>
      <c r="G38" s="237"/>
      <c r="H38" s="237"/>
      <c r="I38" s="237"/>
      <c r="J38" s="237"/>
      <c r="K38" s="237"/>
      <c r="L38" s="238"/>
      <c r="N38" s="178" t="s">
        <v>46</v>
      </c>
    </row>
    <row r="39" spans="2:14" hidden="1" outlineLevel="1" x14ac:dyDescent="0.5">
      <c r="B39" s="239" t="s">
        <v>51</v>
      </c>
      <c r="C39" s="240"/>
      <c r="D39" s="241" t="s">
        <v>52</v>
      </c>
      <c r="E39" s="241" t="s">
        <v>53</v>
      </c>
      <c r="F39" s="242" t="s">
        <v>54</v>
      </c>
      <c r="G39" s="241" t="s">
        <v>55</v>
      </c>
      <c r="H39" s="241" t="s">
        <v>56</v>
      </c>
      <c r="I39" s="241" t="s">
        <v>57</v>
      </c>
      <c r="J39" s="241" t="s">
        <v>58</v>
      </c>
      <c r="K39" s="243"/>
      <c r="L39" s="244"/>
    </row>
    <row r="40" spans="2:14" hidden="1" outlineLevel="1" x14ac:dyDescent="0.5">
      <c r="B40" s="233"/>
      <c r="C40" s="245" t="s">
        <v>47</v>
      </c>
      <c r="D40" s="246">
        <v>44816</v>
      </c>
      <c r="E40" s="246">
        <f t="shared" ref="E40:J40" si="2">+D40+1</f>
        <v>44817</v>
      </c>
      <c r="F40" s="246">
        <f t="shared" si="2"/>
        <v>44818</v>
      </c>
      <c r="G40" s="246">
        <f t="shared" si="2"/>
        <v>44819</v>
      </c>
      <c r="H40" s="246">
        <f t="shared" si="2"/>
        <v>44820</v>
      </c>
      <c r="I40" s="246">
        <f t="shared" si="2"/>
        <v>44821</v>
      </c>
      <c r="J40" s="246">
        <f t="shared" si="2"/>
        <v>44822</v>
      </c>
      <c r="K40" s="243"/>
      <c r="L40" s="244"/>
    </row>
    <row r="41" spans="2:14" hidden="1" outlineLevel="1" x14ac:dyDescent="0.5">
      <c r="B41" s="233"/>
      <c r="C41" s="245" t="s">
        <v>48</v>
      </c>
      <c r="D41" s="247"/>
      <c r="E41" s="247"/>
      <c r="F41" s="248"/>
      <c r="G41" s="247"/>
      <c r="H41" s="247"/>
      <c r="I41" s="247" t="s">
        <v>59</v>
      </c>
      <c r="J41" s="247" t="s">
        <v>59</v>
      </c>
      <c r="K41" s="243"/>
      <c r="L41" s="244"/>
    </row>
    <row r="42" spans="2:14" hidden="1" outlineLevel="1" x14ac:dyDescent="0.5">
      <c r="B42" s="233"/>
      <c r="C42" s="245" t="s">
        <v>60</v>
      </c>
      <c r="D42" s="247"/>
      <c r="E42" s="247"/>
      <c r="F42" s="248"/>
      <c r="G42" s="247"/>
      <c r="H42" s="247"/>
      <c r="I42" s="247" t="s">
        <v>59</v>
      </c>
      <c r="J42" s="247" t="s">
        <v>59</v>
      </c>
      <c r="K42" s="243"/>
      <c r="L42" s="244"/>
    </row>
    <row r="43" spans="2:14" hidden="1" outlineLevel="1" x14ac:dyDescent="0.5">
      <c r="B43" s="233"/>
      <c r="C43" s="245" t="s">
        <v>61</v>
      </c>
      <c r="D43" s="249">
        <v>0</v>
      </c>
      <c r="E43" s="249">
        <v>0</v>
      </c>
      <c r="F43" s="250">
        <v>0</v>
      </c>
      <c r="G43" s="249">
        <v>0</v>
      </c>
      <c r="H43" s="249">
        <v>0</v>
      </c>
      <c r="I43" s="249">
        <v>0</v>
      </c>
      <c r="J43" s="249">
        <v>0</v>
      </c>
      <c r="K43" s="243"/>
      <c r="L43" s="244"/>
    </row>
    <row r="44" spans="2:14" hidden="1" outlineLevel="1" x14ac:dyDescent="0.5">
      <c r="B44" s="233"/>
      <c r="C44" s="251"/>
      <c r="D44" s="252" t="s">
        <v>62</v>
      </c>
      <c r="E44" s="252" t="s">
        <v>62</v>
      </c>
      <c r="F44" s="253" t="s">
        <v>62</v>
      </c>
      <c r="G44" s="253" t="s">
        <v>62</v>
      </c>
      <c r="H44" s="253" t="s">
        <v>62</v>
      </c>
      <c r="I44" s="253" t="s">
        <v>62</v>
      </c>
      <c r="J44" s="253" t="s">
        <v>62</v>
      </c>
      <c r="K44" s="243"/>
      <c r="L44" s="244"/>
    </row>
    <row r="45" spans="2:14" s="189" customFormat="1" ht="20" collapsed="1" x14ac:dyDescent="0.4">
      <c r="B45" s="629" t="s">
        <v>118</v>
      </c>
      <c r="C45" s="630"/>
      <c r="D45" s="630"/>
      <c r="E45" s="630"/>
      <c r="F45" s="630"/>
      <c r="G45" s="630"/>
      <c r="H45" s="630"/>
      <c r="I45" s="630"/>
      <c r="J45" s="630"/>
      <c r="K45" s="630"/>
      <c r="L45" s="631"/>
    </row>
    <row r="46" spans="2:14" ht="26.75" customHeight="1" x14ac:dyDescent="0.5">
      <c r="B46" s="254" t="s">
        <v>119</v>
      </c>
      <c r="C46" s="255"/>
      <c r="D46" s="183"/>
      <c r="E46" s="183"/>
      <c r="F46" s="183"/>
      <c r="G46" s="183"/>
      <c r="H46" s="183"/>
      <c r="I46" s="183"/>
      <c r="J46" s="183"/>
      <c r="K46" s="183"/>
      <c r="L46" s="256"/>
    </row>
    <row r="47" spans="2:14" ht="21" customHeight="1" x14ac:dyDescent="0.5">
      <c r="B47" s="257"/>
      <c r="C47" s="255"/>
      <c r="D47" s="735"/>
      <c r="E47" s="736"/>
      <c r="F47" s="736"/>
      <c r="G47" s="736"/>
      <c r="H47" s="736"/>
      <c r="I47" s="736"/>
      <c r="J47" s="736"/>
      <c r="K47" s="736"/>
      <c r="L47" s="737"/>
    </row>
    <row r="48" spans="2:14" ht="20.149999999999999" customHeight="1" x14ac:dyDescent="0.5">
      <c r="B48" s="257"/>
      <c r="C48" s="255"/>
      <c r="D48" s="735"/>
      <c r="E48" s="736"/>
      <c r="F48" s="736"/>
      <c r="G48" s="736"/>
      <c r="H48" s="736"/>
      <c r="I48" s="736"/>
      <c r="J48" s="736"/>
      <c r="K48" s="736"/>
      <c r="L48" s="737"/>
    </row>
    <row r="49" spans="2:12" ht="21" customHeight="1" thickBot="1" x14ac:dyDescent="0.55000000000000004">
      <c r="B49" s="257"/>
      <c r="C49" s="255"/>
      <c r="D49" s="738"/>
      <c r="E49" s="739"/>
      <c r="F49" s="739"/>
      <c r="G49" s="739"/>
      <c r="H49" s="739"/>
      <c r="I49" s="739"/>
      <c r="J49" s="739"/>
      <c r="K49" s="739"/>
      <c r="L49" s="740"/>
    </row>
    <row r="50" spans="2:12" ht="21" customHeight="1" x14ac:dyDescent="0.5">
      <c r="B50" s="257"/>
      <c r="C50" s="255"/>
      <c r="L50" s="258"/>
    </row>
    <row r="51" spans="2:12" ht="21" customHeight="1" thickBot="1" x14ac:dyDescent="0.55000000000000004">
      <c r="B51" s="259"/>
      <c r="C51" s="255"/>
      <c r="D51" s="260"/>
      <c r="E51" s="260"/>
      <c r="F51" s="261"/>
      <c r="G51" s="261"/>
      <c r="H51" s="261"/>
      <c r="I51" s="261"/>
      <c r="J51" s="261"/>
      <c r="K51" s="261"/>
      <c r="L51" s="262"/>
    </row>
    <row r="52" spans="2:12" x14ac:dyDescent="0.5">
      <c r="B52" s="686" t="s">
        <v>120</v>
      </c>
      <c r="C52" s="688"/>
      <c r="D52" s="195" t="s">
        <v>19</v>
      </c>
      <c r="E52" s="197" t="s">
        <v>20</v>
      </c>
      <c r="F52" s="234"/>
      <c r="G52" s="234"/>
      <c r="H52" s="234"/>
      <c r="I52" s="234"/>
      <c r="J52" s="234"/>
      <c r="K52" s="234"/>
      <c r="L52" s="263"/>
    </row>
    <row r="53" spans="2:12" x14ac:dyDescent="0.5">
      <c r="B53" s="264"/>
      <c r="C53" s="265" t="s">
        <v>121</v>
      </c>
      <c r="D53" s="210">
        <v>0</v>
      </c>
      <c r="E53" s="228">
        <v>0</v>
      </c>
      <c r="F53" s="234"/>
      <c r="G53" s="234"/>
      <c r="H53" s="234"/>
      <c r="I53" s="234"/>
      <c r="J53" s="234"/>
      <c r="K53" s="234"/>
      <c r="L53" s="263"/>
    </row>
    <row r="54" spans="2:12" x14ac:dyDescent="0.5">
      <c r="B54" s="264"/>
      <c r="C54" s="265" t="s">
        <v>122</v>
      </c>
      <c r="D54" s="210">
        <v>0</v>
      </c>
      <c r="E54" s="228">
        <v>0</v>
      </c>
      <c r="F54" s="234"/>
      <c r="G54" s="234"/>
      <c r="H54" s="234"/>
      <c r="I54" s="234"/>
      <c r="J54" s="234"/>
      <c r="K54" s="234"/>
      <c r="L54" s="263"/>
    </row>
    <row r="55" spans="2:12" x14ac:dyDescent="0.5">
      <c r="B55" s="264"/>
      <c r="C55" s="265" t="s">
        <v>123</v>
      </c>
      <c r="D55" s="210">
        <v>0</v>
      </c>
      <c r="E55" s="228">
        <v>0</v>
      </c>
      <c r="F55" s="234"/>
      <c r="G55" s="234"/>
      <c r="H55" s="234"/>
      <c r="I55" s="234"/>
      <c r="J55" s="234"/>
      <c r="K55" s="234"/>
      <c r="L55" s="263"/>
    </row>
    <row r="56" spans="2:12" ht="21.5" thickBot="1" x14ac:dyDescent="0.55000000000000004">
      <c r="B56" s="264"/>
      <c r="C56" s="265" t="s">
        <v>124</v>
      </c>
      <c r="D56" s="215">
        <v>0</v>
      </c>
      <c r="E56" s="266">
        <v>0</v>
      </c>
      <c r="F56" s="234"/>
      <c r="G56" s="234"/>
      <c r="H56" s="234"/>
      <c r="I56" s="234"/>
      <c r="J56" s="234"/>
      <c r="K56" s="234"/>
      <c r="L56" s="263"/>
    </row>
    <row r="57" spans="2:12" ht="21.5" thickBot="1" x14ac:dyDescent="0.55000000000000004">
      <c r="B57" s="257"/>
      <c r="C57" s="234"/>
      <c r="D57" s="234"/>
      <c r="E57" s="234"/>
      <c r="F57" s="234"/>
      <c r="G57" s="234"/>
      <c r="H57" s="234"/>
      <c r="I57" s="234"/>
      <c r="J57" s="234"/>
      <c r="K57" s="234"/>
      <c r="L57" s="263"/>
    </row>
    <row r="58" spans="2:12" x14ac:dyDescent="0.5">
      <c r="B58" s="267"/>
      <c r="C58" s="195" t="s">
        <v>126</v>
      </c>
      <c r="D58" s="196" t="s">
        <v>21</v>
      </c>
      <c r="E58" s="196" t="s">
        <v>68</v>
      </c>
      <c r="F58" s="196" t="s">
        <v>127</v>
      </c>
      <c r="G58" s="206" t="s">
        <v>128</v>
      </c>
      <c r="H58" s="206" t="s">
        <v>129</v>
      </c>
      <c r="I58" s="196" t="s">
        <v>130</v>
      </c>
      <c r="J58" s="207" t="s">
        <v>131</v>
      </c>
      <c r="K58" s="197" t="s">
        <v>132</v>
      </c>
      <c r="L58" s="197" t="s">
        <v>133</v>
      </c>
    </row>
    <row r="59" spans="2:12" x14ac:dyDescent="0.5">
      <c r="B59" s="267"/>
      <c r="C59" s="268"/>
      <c r="D59" s="269"/>
      <c r="E59" s="269"/>
      <c r="F59" s="270"/>
      <c r="G59" s="271"/>
      <c r="H59" s="272"/>
      <c r="I59" s="273"/>
      <c r="J59" s="272"/>
      <c r="K59" s="274"/>
      <c r="L59" s="274"/>
    </row>
    <row r="60" spans="2:12" x14ac:dyDescent="0.5">
      <c r="B60" s="267"/>
      <c r="C60" s="268"/>
      <c r="D60" s="269"/>
      <c r="E60" s="269"/>
      <c r="F60" s="269"/>
      <c r="G60" s="269"/>
      <c r="H60" s="269"/>
      <c r="I60" s="269"/>
      <c r="J60" s="269"/>
      <c r="K60" s="269"/>
      <c r="L60" s="269"/>
    </row>
    <row r="61" spans="2:12" ht="33" customHeight="1" x14ac:dyDescent="0.5">
      <c r="B61" s="267"/>
      <c r="C61" s="275"/>
      <c r="D61" s="276"/>
      <c r="E61" s="276"/>
      <c r="F61" s="277"/>
      <c r="G61" s="278"/>
      <c r="H61" s="279"/>
      <c r="I61" s="279"/>
      <c r="J61" s="280"/>
      <c r="K61" s="281"/>
      <c r="L61" s="281"/>
    </row>
    <row r="62" spans="2:12" ht="21.5" thickBot="1" x14ac:dyDescent="0.55000000000000004">
      <c r="B62" s="267"/>
      <c r="C62" s="275"/>
      <c r="D62" s="276"/>
      <c r="E62" s="276"/>
      <c r="F62" s="277"/>
      <c r="G62" s="278"/>
      <c r="H62" s="279"/>
      <c r="I62" s="279"/>
      <c r="J62" s="280"/>
      <c r="K62" s="281"/>
      <c r="L62" s="281"/>
    </row>
    <row r="63" spans="2:12" ht="21.5" thickBot="1" x14ac:dyDescent="0.55000000000000004">
      <c r="B63" s="267"/>
      <c r="C63" s="282" t="s">
        <v>32</v>
      </c>
      <c r="D63" s="283"/>
      <c r="E63" s="284"/>
      <c r="F63" s="285"/>
      <c r="G63" s="286">
        <f t="shared" ref="G63:L63" si="3">SUM(G59:G62)</f>
        <v>0</v>
      </c>
      <c r="H63" s="287">
        <f t="shared" si="3"/>
        <v>0</v>
      </c>
      <c r="I63" s="287">
        <f t="shared" si="3"/>
        <v>0</v>
      </c>
      <c r="J63" s="287">
        <f t="shared" si="3"/>
        <v>0</v>
      </c>
      <c r="K63" s="288">
        <f t="shared" si="3"/>
        <v>0</v>
      </c>
      <c r="L63" s="288">
        <f t="shared" si="3"/>
        <v>0</v>
      </c>
    </row>
    <row r="64" spans="2:12" x14ac:dyDescent="0.5">
      <c r="B64" s="264"/>
      <c r="C64" s="265"/>
      <c r="D64" s="289"/>
      <c r="E64" s="289"/>
      <c r="F64" s="234"/>
      <c r="G64" s="234"/>
      <c r="H64" s="234"/>
      <c r="I64" s="234"/>
      <c r="J64" s="234"/>
      <c r="K64" s="234"/>
      <c r="L64" s="263"/>
    </row>
    <row r="65" spans="2:12" s="189" customFormat="1" ht="20" collapsed="1" x14ac:dyDescent="0.4">
      <c r="B65" s="629" t="s">
        <v>113</v>
      </c>
      <c r="C65" s="630"/>
      <c r="D65" s="630"/>
      <c r="E65" s="630"/>
      <c r="F65" s="630"/>
      <c r="G65" s="630"/>
      <c r="H65" s="630"/>
      <c r="I65" s="630"/>
      <c r="J65" s="630"/>
      <c r="K65" s="630"/>
      <c r="L65" s="631"/>
    </row>
    <row r="66" spans="2:12" ht="21" customHeight="1" x14ac:dyDescent="0.5">
      <c r="B66" s="254" t="s">
        <v>114</v>
      </c>
      <c r="C66" s="665" t="s">
        <v>284</v>
      </c>
      <c r="D66" s="666"/>
      <c r="E66" s="666"/>
      <c r="F66" s="666"/>
      <c r="G66" s="666"/>
      <c r="H66" s="666"/>
      <c r="I66" s="666"/>
      <c r="J66" s="666"/>
      <c r="K66" s="666"/>
      <c r="L66" s="667"/>
    </row>
    <row r="67" spans="2:12" x14ac:dyDescent="0.5">
      <c r="B67" s="257"/>
      <c r="C67" s="668"/>
      <c r="D67" s="669"/>
      <c r="E67" s="669"/>
      <c r="F67" s="669"/>
      <c r="G67" s="669"/>
      <c r="H67" s="669"/>
      <c r="I67" s="669"/>
      <c r="J67" s="669"/>
      <c r="K67" s="669"/>
      <c r="L67" s="670"/>
    </row>
    <row r="68" spans="2:12" x14ac:dyDescent="0.5">
      <c r="B68" s="290"/>
      <c r="C68" s="807"/>
      <c r="D68" s="808"/>
      <c r="E68" s="808"/>
      <c r="F68" s="808"/>
      <c r="G68" s="808"/>
      <c r="H68" s="808"/>
      <c r="I68" s="808"/>
      <c r="J68" s="808"/>
      <c r="K68" s="808"/>
      <c r="L68" s="809"/>
    </row>
    <row r="69" spans="2:12" x14ac:dyDescent="0.5">
      <c r="B69" s="629" t="s">
        <v>115</v>
      </c>
      <c r="C69" s="630"/>
      <c r="D69" s="630"/>
      <c r="E69" s="630"/>
      <c r="F69" s="630"/>
      <c r="G69" s="630"/>
      <c r="H69" s="630"/>
      <c r="I69" s="630"/>
      <c r="J69" s="630"/>
      <c r="K69" s="630"/>
      <c r="L69" s="631"/>
    </row>
    <row r="70" spans="2:12" ht="21" customHeight="1" x14ac:dyDescent="0.5">
      <c r="B70" s="254" t="s">
        <v>114</v>
      </c>
      <c r="C70" s="673" t="s">
        <v>285</v>
      </c>
      <c r="D70" s="674"/>
      <c r="E70" s="674"/>
      <c r="F70" s="674"/>
      <c r="G70" s="674"/>
      <c r="H70" s="674"/>
      <c r="I70" s="674"/>
      <c r="J70" s="674"/>
      <c r="K70" s="675"/>
      <c r="L70" s="291"/>
    </row>
    <row r="71" spans="2:12" ht="21" customHeight="1" x14ac:dyDescent="0.5">
      <c r="B71" s="259"/>
      <c r="C71" s="676"/>
      <c r="D71" s="677"/>
      <c r="E71" s="677"/>
      <c r="F71" s="677"/>
      <c r="G71" s="677"/>
      <c r="H71" s="677"/>
      <c r="I71" s="677"/>
      <c r="J71" s="677"/>
      <c r="K71" s="678"/>
      <c r="L71" s="291"/>
    </row>
    <row r="72" spans="2:12" ht="21" customHeight="1" x14ac:dyDescent="0.5">
      <c r="B72" s="259"/>
      <c r="C72" s="679"/>
      <c r="D72" s="680"/>
      <c r="E72" s="680"/>
      <c r="F72" s="680"/>
      <c r="G72" s="680"/>
      <c r="H72" s="680"/>
      <c r="I72" s="680"/>
      <c r="J72" s="680"/>
      <c r="K72" s="681"/>
      <c r="L72" s="291"/>
    </row>
    <row r="73" spans="2:12" ht="21" customHeight="1" x14ac:dyDescent="0.5">
      <c r="B73" s="259"/>
      <c r="C73" s="292"/>
      <c r="D73" s="292"/>
      <c r="E73" s="292"/>
      <c r="F73" s="292"/>
      <c r="G73" s="292"/>
      <c r="H73" s="292"/>
      <c r="I73" s="292"/>
      <c r="J73" s="292"/>
      <c r="K73" s="292"/>
      <c r="L73" s="291"/>
    </row>
    <row r="74" spans="2:12" s="189" customFormat="1" ht="23" customHeight="1" x14ac:dyDescent="0.4">
      <c r="B74" s="629" t="s">
        <v>63</v>
      </c>
      <c r="C74" s="630"/>
      <c r="D74" s="630"/>
      <c r="E74" s="630"/>
      <c r="F74" s="630"/>
      <c r="G74" s="630"/>
      <c r="H74" s="630"/>
      <c r="I74" s="630"/>
      <c r="J74" s="630"/>
      <c r="K74" s="630"/>
      <c r="L74" s="631"/>
    </row>
    <row r="75" spans="2:12" ht="23" customHeight="1" thickBot="1" x14ac:dyDescent="0.55000000000000004">
      <c r="B75" s="686" t="s">
        <v>64</v>
      </c>
      <c r="C75" s="688"/>
      <c r="D75" s="293"/>
      <c r="E75" s="293"/>
      <c r="F75" s="293"/>
      <c r="G75" s="293"/>
      <c r="H75" s="293"/>
      <c r="I75" s="237"/>
      <c r="J75" s="234"/>
      <c r="K75" s="234"/>
      <c r="L75" s="263"/>
    </row>
    <row r="76" spans="2:12" ht="28" x14ac:dyDescent="0.5">
      <c r="B76" s="294"/>
      <c r="C76" s="295"/>
      <c r="D76" s="195" t="s">
        <v>65</v>
      </c>
      <c r="E76" s="196" t="s">
        <v>66</v>
      </c>
      <c r="F76" s="197" t="s">
        <v>67</v>
      </c>
      <c r="G76" s="197" t="s">
        <v>68</v>
      </c>
      <c r="H76" s="183"/>
      <c r="I76" s="234"/>
      <c r="J76" s="234"/>
      <c r="K76" s="234"/>
      <c r="L76" s="263"/>
    </row>
    <row r="77" spans="2:12" ht="23" customHeight="1" thickBot="1" x14ac:dyDescent="0.55000000000000004">
      <c r="B77" s="294"/>
      <c r="C77" s="209" t="s">
        <v>69</v>
      </c>
      <c r="D77" s="296"/>
      <c r="E77" s="297"/>
      <c r="F77" s="298">
        <f t="shared" ref="F77:F82" si="4">+D77-E77</f>
        <v>0</v>
      </c>
      <c r="G77" s="298"/>
      <c r="H77" s="183"/>
      <c r="I77" s="234"/>
      <c r="J77" s="234"/>
      <c r="K77" s="234"/>
      <c r="L77" s="263"/>
    </row>
    <row r="78" spans="2:12" ht="23" customHeight="1" thickBot="1" x14ac:dyDescent="0.55000000000000004">
      <c r="B78" s="294"/>
      <c r="C78" s="209" t="s">
        <v>70</v>
      </c>
      <c r="D78" s="296"/>
      <c r="E78" s="297"/>
      <c r="F78" s="298">
        <f t="shared" si="4"/>
        <v>0</v>
      </c>
      <c r="G78" s="298"/>
      <c r="H78" s="183"/>
      <c r="I78" s="234"/>
      <c r="J78" s="234"/>
      <c r="K78" s="234"/>
      <c r="L78" s="263"/>
    </row>
    <row r="79" spans="2:12" ht="23" customHeight="1" thickBot="1" x14ac:dyDescent="0.55000000000000004">
      <c r="B79" s="294"/>
      <c r="C79" s="209" t="s">
        <v>71</v>
      </c>
      <c r="D79" s="296"/>
      <c r="E79" s="299"/>
      <c r="F79" s="298">
        <f t="shared" si="4"/>
        <v>0</v>
      </c>
      <c r="G79" s="298"/>
      <c r="H79" s="183"/>
      <c r="I79" s="234"/>
      <c r="J79" s="234"/>
      <c r="K79" s="234"/>
      <c r="L79" s="263"/>
    </row>
    <row r="80" spans="2:12" ht="23" customHeight="1" thickBot="1" x14ac:dyDescent="0.55000000000000004">
      <c r="B80" s="294"/>
      <c r="C80" s="209" t="s">
        <v>72</v>
      </c>
      <c r="D80" s="296"/>
      <c r="E80" s="297"/>
      <c r="F80" s="298">
        <f t="shared" si="4"/>
        <v>0</v>
      </c>
      <c r="G80" s="298"/>
      <c r="H80" s="183"/>
      <c r="I80" s="234"/>
      <c r="J80" s="234"/>
      <c r="K80" s="234"/>
      <c r="L80" s="263"/>
    </row>
    <row r="81" spans="2:12" ht="23" customHeight="1" thickBot="1" x14ac:dyDescent="0.55000000000000004">
      <c r="B81" s="294"/>
      <c r="C81" s="209" t="s">
        <v>73</v>
      </c>
      <c r="D81" s="296"/>
      <c r="E81" s="299"/>
      <c r="F81" s="298">
        <f t="shared" si="4"/>
        <v>0</v>
      </c>
      <c r="G81" s="298"/>
      <c r="H81" s="183"/>
      <c r="I81" s="234"/>
      <c r="J81" s="234"/>
      <c r="K81" s="234"/>
      <c r="L81" s="263"/>
    </row>
    <row r="82" spans="2:12" ht="23" customHeight="1" thickBot="1" x14ac:dyDescent="0.55000000000000004">
      <c r="B82" s="294"/>
      <c r="C82" s="209" t="s">
        <v>74</v>
      </c>
      <c r="D82" s="296"/>
      <c r="E82" s="299"/>
      <c r="F82" s="298">
        <f t="shared" si="4"/>
        <v>0</v>
      </c>
      <c r="G82" s="298"/>
      <c r="H82" s="183"/>
      <c r="I82" s="234"/>
      <c r="J82" s="234"/>
      <c r="K82" s="234"/>
      <c r="L82" s="263"/>
    </row>
    <row r="83" spans="2:12" ht="23" customHeight="1" thickBot="1" x14ac:dyDescent="0.55000000000000004">
      <c r="B83" s="294"/>
      <c r="C83" s="209"/>
      <c r="D83" s="300"/>
      <c r="E83" s="183"/>
      <c r="F83" s="234"/>
      <c r="G83" s="234"/>
      <c r="H83" s="183"/>
      <c r="I83" s="234"/>
      <c r="J83" s="234"/>
      <c r="K83" s="234"/>
      <c r="L83" s="263"/>
    </row>
    <row r="84" spans="2:12" ht="54" customHeight="1" x14ac:dyDescent="0.5">
      <c r="B84" s="257"/>
      <c r="C84" s="301"/>
      <c r="D84" s="195" t="s">
        <v>77</v>
      </c>
      <c r="E84" s="196" t="s">
        <v>78</v>
      </c>
      <c r="F84" s="196" t="s">
        <v>79</v>
      </c>
      <c r="G84" s="196" t="s">
        <v>80</v>
      </c>
      <c r="H84" s="197" t="s">
        <v>81</v>
      </c>
      <c r="I84" s="234"/>
      <c r="J84" s="234"/>
      <c r="K84" s="234"/>
      <c r="L84" s="263"/>
    </row>
    <row r="85" spans="2:12" ht="22.5" hidden="1" customHeight="1" x14ac:dyDescent="0.5">
      <c r="B85" s="257"/>
      <c r="C85" s="209"/>
      <c r="D85" s="302"/>
      <c r="E85" s="303"/>
      <c r="F85" s="304"/>
      <c r="G85" s="303"/>
      <c r="H85" s="305"/>
      <c r="I85" s="234"/>
      <c r="J85" s="234"/>
      <c r="K85" s="234"/>
      <c r="L85" s="263"/>
    </row>
    <row r="86" spans="2:12" ht="23" customHeight="1" thickBot="1" x14ac:dyDescent="0.55000000000000004">
      <c r="B86" s="233"/>
      <c r="C86" s="209" t="s">
        <v>82</v>
      </c>
      <c r="D86" s="306"/>
      <c r="E86" s="307"/>
      <c r="F86" s="308">
        <f t="shared" ref="F86:F91" si="5">D86-E86</f>
        <v>0</v>
      </c>
      <c r="G86" s="307">
        <v>0</v>
      </c>
      <c r="H86" s="309">
        <v>0</v>
      </c>
      <c r="I86" s="234"/>
      <c r="J86" s="310"/>
      <c r="K86" s="234"/>
      <c r="L86" s="263"/>
    </row>
    <row r="87" spans="2:12" ht="29.25" customHeight="1" thickBot="1" x14ac:dyDescent="0.55000000000000004">
      <c r="B87" s="684" t="s">
        <v>83</v>
      </c>
      <c r="C87" s="685"/>
      <c r="D87" s="306"/>
      <c r="E87" s="307"/>
      <c r="F87" s="308">
        <f t="shared" si="5"/>
        <v>0</v>
      </c>
      <c r="G87" s="307">
        <v>0</v>
      </c>
      <c r="H87" s="309">
        <v>0</v>
      </c>
      <c r="I87" s="234"/>
      <c r="J87" s="310"/>
      <c r="K87" s="234"/>
      <c r="L87" s="263"/>
    </row>
    <row r="88" spans="2:12" ht="23" customHeight="1" thickBot="1" x14ac:dyDescent="0.55000000000000004">
      <c r="B88" s="233"/>
      <c r="C88" s="209" t="s">
        <v>84</v>
      </c>
      <c r="D88" s="306"/>
      <c r="E88" s="307"/>
      <c r="F88" s="308">
        <f t="shared" si="5"/>
        <v>0</v>
      </c>
      <c r="G88" s="307">
        <v>0</v>
      </c>
      <c r="H88" s="309">
        <v>0</v>
      </c>
      <c r="I88" s="234"/>
      <c r="J88" s="310"/>
      <c r="K88" s="234"/>
      <c r="L88" s="263"/>
    </row>
    <row r="89" spans="2:12" ht="23" customHeight="1" thickBot="1" x14ac:dyDescent="0.55000000000000004">
      <c r="B89" s="233"/>
      <c r="C89" s="209" t="s">
        <v>85</v>
      </c>
      <c r="D89" s="306"/>
      <c r="E89" s="307"/>
      <c r="F89" s="308">
        <f t="shared" si="5"/>
        <v>0</v>
      </c>
      <c r="G89" s="307">
        <v>0</v>
      </c>
      <c r="H89" s="309">
        <v>0</v>
      </c>
      <c r="I89" s="234"/>
      <c r="J89" s="310"/>
      <c r="K89" s="234"/>
      <c r="L89" s="263"/>
    </row>
    <row r="90" spans="2:12" ht="23" customHeight="1" thickBot="1" x14ac:dyDescent="0.55000000000000004">
      <c r="B90" s="233"/>
      <c r="C90" s="209" t="s">
        <v>86</v>
      </c>
      <c r="D90" s="306"/>
      <c r="E90" s="307"/>
      <c r="F90" s="308">
        <f t="shared" si="5"/>
        <v>0</v>
      </c>
      <c r="G90" s="307">
        <v>0</v>
      </c>
      <c r="H90" s="309">
        <v>0</v>
      </c>
      <c r="I90" s="311"/>
      <c r="J90" s="310"/>
      <c r="K90" s="234"/>
      <c r="L90" s="263"/>
    </row>
    <row r="91" spans="2:12" ht="23" customHeight="1" thickBot="1" x14ac:dyDescent="0.55000000000000004">
      <c r="B91" s="264"/>
      <c r="C91" s="209" t="s">
        <v>87</v>
      </c>
      <c r="D91" s="306"/>
      <c r="E91" s="307"/>
      <c r="F91" s="308">
        <f t="shared" si="5"/>
        <v>0</v>
      </c>
      <c r="G91" s="307">
        <v>0</v>
      </c>
      <c r="H91" s="309">
        <v>0</v>
      </c>
      <c r="I91" s="234"/>
      <c r="J91" s="310"/>
      <c r="K91" s="234"/>
      <c r="L91" s="263"/>
    </row>
    <row r="92" spans="2:12" s="317" customFormat="1" ht="46.5" hidden="1" customHeight="1" thickBot="1" x14ac:dyDescent="0.55000000000000004">
      <c r="B92" s="264"/>
      <c r="C92" s="312"/>
      <c r="D92" s="313" t="e">
        <f>#REF!</f>
        <v>#REF!</v>
      </c>
      <c r="E92" s="313" t="e">
        <f>#REF!</f>
        <v>#REF!</v>
      </c>
      <c r="F92" s="314" t="e">
        <f>+E92-D92</f>
        <v>#REF!</v>
      </c>
      <c r="G92" s="315" t="e">
        <f>#REF!</f>
        <v>#REF!</v>
      </c>
      <c r="H92" s="316" t="e">
        <f>#REF!</f>
        <v>#REF!</v>
      </c>
      <c r="I92" s="234"/>
      <c r="J92" s="234"/>
      <c r="K92" s="234"/>
      <c r="L92" s="263"/>
    </row>
    <row r="93" spans="2:12" s="317" customFormat="1" ht="23" hidden="1" customHeight="1" thickBot="1" x14ac:dyDescent="0.55000000000000004">
      <c r="B93" s="294"/>
      <c r="C93" s="312" t="s">
        <v>88</v>
      </c>
      <c r="D93" s="318" t="e">
        <f>#REF!</f>
        <v>#REF!</v>
      </c>
      <c r="E93" s="318" t="e">
        <f>#REF!</f>
        <v>#REF!</v>
      </c>
      <c r="F93" s="319" t="e">
        <f>+E93-D93</f>
        <v>#REF!</v>
      </c>
      <c r="G93" s="320" t="e">
        <f>#REF!</f>
        <v>#REF!</v>
      </c>
      <c r="H93" s="321" t="e">
        <f>#REF!</f>
        <v>#REF!</v>
      </c>
      <c r="I93" s="234"/>
      <c r="J93" s="234"/>
      <c r="K93" s="234"/>
      <c r="L93" s="263"/>
    </row>
    <row r="94" spans="2:12" ht="23" customHeight="1" thickBot="1" x14ac:dyDescent="0.55000000000000004">
      <c r="B94" s="322"/>
      <c r="C94" s="323"/>
      <c r="D94" s="324"/>
      <c r="E94" s="324"/>
      <c r="F94" s="325"/>
      <c r="G94" s="325"/>
      <c r="H94" s="325"/>
      <c r="I94" s="234"/>
      <c r="J94" s="234"/>
      <c r="K94" s="234"/>
      <c r="L94" s="263"/>
    </row>
    <row r="95" spans="2:12" ht="54" customHeight="1" x14ac:dyDescent="0.5">
      <c r="B95" s="686" t="s">
        <v>89</v>
      </c>
      <c r="C95" s="688"/>
      <c r="D95" s="195" t="s">
        <v>90</v>
      </c>
      <c r="E95" s="196" t="s">
        <v>91</v>
      </c>
      <c r="F95" s="196" t="s">
        <v>92</v>
      </c>
      <c r="G95" s="197" t="s">
        <v>93</v>
      </c>
      <c r="H95" s="183"/>
      <c r="I95" s="234"/>
      <c r="J95" s="234"/>
      <c r="K95" s="234"/>
      <c r="L95" s="263"/>
    </row>
    <row r="96" spans="2:12" ht="23" customHeight="1" x14ac:dyDescent="0.5">
      <c r="B96" s="326"/>
      <c r="C96" s="209" t="s">
        <v>94</v>
      </c>
      <c r="D96" s="327"/>
      <c r="E96" s="328"/>
      <c r="F96" s="329"/>
      <c r="G96" s="330"/>
      <c r="H96" s="183"/>
      <c r="I96" s="234"/>
      <c r="J96" s="234"/>
      <c r="K96" s="234"/>
      <c r="L96" s="263"/>
    </row>
    <row r="97" spans="2:12" ht="23" customHeight="1" thickBot="1" x14ac:dyDescent="0.55000000000000004">
      <c r="B97" s="326"/>
      <c r="C97" s="209" t="s">
        <v>95</v>
      </c>
      <c r="D97" s="229"/>
      <c r="E97" s="230"/>
      <c r="F97" s="331"/>
      <c r="G97" s="332"/>
      <c r="H97" s="183"/>
      <c r="I97" s="234"/>
      <c r="J97" s="234"/>
      <c r="K97" s="234"/>
      <c r="L97" s="263"/>
    </row>
    <row r="98" spans="2:12" ht="23" customHeight="1" x14ac:dyDescent="0.5">
      <c r="B98" s="326"/>
      <c r="C98" s="333"/>
      <c r="D98" s="236"/>
      <c r="E98" s="236"/>
      <c r="F98" s="236"/>
      <c r="G98" s="334"/>
      <c r="H98" s="183"/>
      <c r="I98" s="234"/>
      <c r="J98" s="234"/>
      <c r="K98" s="234"/>
      <c r="L98" s="263"/>
    </row>
    <row r="99" spans="2:12" ht="23" customHeight="1" thickBot="1" x14ac:dyDescent="0.55000000000000004">
      <c r="B99" s="686" t="s">
        <v>96</v>
      </c>
      <c r="C99" s="688"/>
      <c r="D99" s="237"/>
      <c r="E99" s="335"/>
      <c r="F99" s="335"/>
      <c r="G99" s="334"/>
      <c r="H99" s="237"/>
      <c r="I99" s="234"/>
      <c r="J99" s="234"/>
      <c r="K99" s="234"/>
      <c r="L99" s="263"/>
    </row>
    <row r="100" spans="2:12" ht="23" customHeight="1" x14ac:dyDescent="0.5">
      <c r="B100" s="336"/>
      <c r="C100" s="237"/>
      <c r="D100" s="796" t="s">
        <v>97</v>
      </c>
      <c r="E100" s="797"/>
      <c r="F100" s="337"/>
      <c r="G100" s="690"/>
      <c r="H100" s="690"/>
      <c r="I100" s="234"/>
      <c r="J100" s="183"/>
      <c r="K100" s="183"/>
      <c r="L100" s="263"/>
    </row>
    <row r="101" spans="2:12" ht="23" customHeight="1" x14ac:dyDescent="0.5">
      <c r="B101" s="336"/>
      <c r="C101" s="237"/>
      <c r="D101" s="339" t="s">
        <v>98</v>
      </c>
      <c r="E101" s="340" t="s">
        <v>99</v>
      </c>
      <c r="F101" s="183"/>
      <c r="G101" s="338"/>
      <c r="H101" s="338"/>
      <c r="I101" s="234"/>
      <c r="J101" s="183"/>
      <c r="K101" s="183"/>
      <c r="L101" s="263"/>
    </row>
    <row r="102" spans="2:12" ht="23" customHeight="1" x14ac:dyDescent="0.5">
      <c r="B102" s="326"/>
      <c r="C102" s="209" t="s">
        <v>100</v>
      </c>
      <c r="D102" s="210">
        <v>0</v>
      </c>
      <c r="E102" s="228">
        <v>0</v>
      </c>
      <c r="F102" s="183"/>
      <c r="G102" s="341"/>
      <c r="H102" s="341"/>
      <c r="I102" s="295"/>
      <c r="J102" s="183"/>
      <c r="K102" s="183"/>
      <c r="L102" s="263"/>
    </row>
    <row r="103" spans="2:12" ht="23" customHeight="1" x14ac:dyDescent="0.5">
      <c r="B103" s="326"/>
      <c r="C103" s="209" t="s">
        <v>101</v>
      </c>
      <c r="D103" s="210">
        <v>0</v>
      </c>
      <c r="E103" s="228">
        <v>0</v>
      </c>
      <c r="F103" s="183"/>
      <c r="G103" s="341"/>
      <c r="H103" s="341"/>
      <c r="I103" s="295"/>
      <c r="J103" s="183"/>
      <c r="K103" s="183"/>
      <c r="L103" s="263"/>
    </row>
    <row r="104" spans="2:12" ht="23" customHeight="1" x14ac:dyDescent="0.5">
      <c r="B104" s="326"/>
      <c r="C104" s="209" t="s">
        <v>102</v>
      </c>
      <c r="D104" s="210">
        <v>0</v>
      </c>
      <c r="E104" s="228">
        <v>0</v>
      </c>
      <c r="F104" s="183"/>
      <c r="G104" s="341"/>
      <c r="H104" s="341"/>
      <c r="I104" s="295"/>
      <c r="J104" s="183"/>
      <c r="K104" s="183"/>
      <c r="L104" s="263"/>
    </row>
    <row r="105" spans="2:12" ht="23" customHeight="1" x14ac:dyDescent="0.5">
      <c r="B105" s="326"/>
      <c r="C105" s="209" t="s">
        <v>103</v>
      </c>
      <c r="D105" s="210">
        <v>0</v>
      </c>
      <c r="E105" s="228">
        <v>0</v>
      </c>
      <c r="F105" s="183"/>
      <c r="G105" s="341"/>
      <c r="H105" s="341"/>
      <c r="I105" s="295"/>
      <c r="J105" s="183"/>
      <c r="K105" s="183"/>
      <c r="L105" s="263"/>
    </row>
    <row r="106" spans="2:12" ht="23" customHeight="1" x14ac:dyDescent="0.5">
      <c r="B106" s="326"/>
      <c r="C106" s="209" t="s">
        <v>104</v>
      </c>
      <c r="D106" s="210">
        <v>0</v>
      </c>
      <c r="E106" s="228">
        <v>0</v>
      </c>
      <c r="F106" s="183"/>
      <c r="G106" s="341"/>
      <c r="H106" s="341"/>
      <c r="I106" s="295"/>
      <c r="J106" s="183"/>
      <c r="K106" s="183"/>
      <c r="L106" s="263"/>
    </row>
    <row r="107" spans="2:12" ht="23" customHeight="1" x14ac:dyDescent="0.5">
      <c r="B107" s="326"/>
      <c r="C107" s="209" t="s">
        <v>105</v>
      </c>
      <c r="D107" s="210">
        <v>0</v>
      </c>
      <c r="E107" s="228">
        <v>0</v>
      </c>
      <c r="F107" s="183"/>
      <c r="G107" s="341"/>
      <c r="H107" s="341"/>
      <c r="I107" s="295"/>
      <c r="J107" s="183"/>
      <c r="K107" s="183"/>
      <c r="L107" s="263"/>
    </row>
    <row r="108" spans="2:12" ht="23" customHeight="1" thickBot="1" x14ac:dyDescent="0.55000000000000004">
      <c r="B108" s="326"/>
      <c r="C108" s="209" t="s">
        <v>106</v>
      </c>
      <c r="D108" s="215">
        <v>0</v>
      </c>
      <c r="E108" s="266">
        <v>0</v>
      </c>
      <c r="F108" s="183"/>
      <c r="G108" s="341"/>
      <c r="H108" s="341"/>
      <c r="I108" s="295"/>
      <c r="J108" s="183"/>
      <c r="K108" s="183"/>
      <c r="L108" s="263"/>
    </row>
    <row r="109" spans="2:12" ht="22.5" customHeight="1" x14ac:dyDescent="0.5">
      <c r="B109" s="326"/>
      <c r="C109" s="333"/>
      <c r="D109" s="237"/>
      <c r="E109" s="237"/>
      <c r="F109" s="265"/>
      <c r="G109" s="342"/>
      <c r="H109" s="342"/>
      <c r="I109" s="295"/>
      <c r="J109" s="183"/>
      <c r="K109" s="183"/>
      <c r="L109" s="263"/>
    </row>
    <row r="110" spans="2:12" s="189" customFormat="1" ht="23" customHeight="1" x14ac:dyDescent="0.4">
      <c r="B110" s="629" t="s">
        <v>139</v>
      </c>
      <c r="C110" s="630"/>
      <c r="D110" s="630"/>
      <c r="E110" s="630"/>
      <c r="F110" s="630"/>
      <c r="G110" s="630"/>
      <c r="H110" s="630"/>
      <c r="I110" s="630"/>
      <c r="J110" s="630"/>
      <c r="K110" s="630"/>
      <c r="L110" s="631"/>
    </row>
    <row r="111" spans="2:12" ht="23" customHeight="1" thickBot="1" x14ac:dyDescent="0.55000000000000004">
      <c r="B111" s="686"/>
      <c r="C111" s="688"/>
      <c r="D111" s="293"/>
      <c r="E111" s="293"/>
      <c r="F111" s="293"/>
      <c r="G111" s="293"/>
      <c r="H111" s="293"/>
      <c r="I111" s="237"/>
      <c r="J111" s="234"/>
      <c r="K111" s="234"/>
      <c r="L111" s="263"/>
    </row>
    <row r="112" spans="2:12" ht="21.5" thickBot="1" x14ac:dyDescent="0.55000000000000004">
      <c r="B112" s="294"/>
      <c r="C112" s="343" t="s">
        <v>140</v>
      </c>
      <c r="D112" s="343"/>
      <c r="E112" s="196" t="s">
        <v>141</v>
      </c>
      <c r="F112" s="197" t="s">
        <v>142</v>
      </c>
      <c r="G112" s="197" t="s">
        <v>143</v>
      </c>
      <c r="H112" s="197" t="s">
        <v>144</v>
      </c>
      <c r="I112" s="234"/>
      <c r="J112" s="234"/>
      <c r="K112" s="234"/>
      <c r="L112" s="263"/>
    </row>
    <row r="113" spans="2:12" ht="23" customHeight="1" thickBot="1" x14ac:dyDescent="0.55000000000000004">
      <c r="B113" s="294"/>
      <c r="C113" s="344" t="s">
        <v>145</v>
      </c>
      <c r="D113" s="345"/>
      <c r="E113" s="297"/>
      <c r="F113" s="346"/>
      <c r="G113" s="347"/>
      <c r="H113" s="346"/>
      <c r="I113" s="234"/>
      <c r="J113" s="234"/>
      <c r="K113" s="234"/>
      <c r="L113" s="263"/>
    </row>
    <row r="114" spans="2:12" ht="23" customHeight="1" thickBot="1" x14ac:dyDescent="0.55000000000000004">
      <c r="B114" s="294"/>
      <c r="C114" s="348" t="s">
        <v>146</v>
      </c>
      <c r="D114" s="349"/>
      <c r="E114" s="297"/>
      <c r="F114" s="346"/>
      <c r="G114" s="347"/>
      <c r="H114" s="346"/>
      <c r="I114" s="234"/>
      <c r="J114" s="234"/>
      <c r="K114" s="234"/>
      <c r="L114" s="263"/>
    </row>
    <row r="115" spans="2:12" ht="23" customHeight="1" thickBot="1" x14ac:dyDescent="0.55000000000000004">
      <c r="B115" s="294"/>
      <c r="C115" s="348" t="s">
        <v>147</v>
      </c>
      <c r="D115" s="349"/>
      <c r="E115" s="297"/>
      <c r="F115" s="346"/>
      <c r="G115" s="347"/>
      <c r="H115" s="346"/>
      <c r="I115" s="234"/>
      <c r="J115" s="234"/>
      <c r="K115" s="234"/>
      <c r="L115" s="263"/>
    </row>
    <row r="116" spans="2:12" ht="23" customHeight="1" thickBot="1" x14ac:dyDescent="0.55000000000000004">
      <c r="B116" s="294"/>
      <c r="C116" s="348" t="s">
        <v>148</v>
      </c>
      <c r="D116" s="349"/>
      <c r="E116" s="297"/>
      <c r="F116" s="346"/>
      <c r="G116" s="347"/>
      <c r="H116" s="346"/>
      <c r="I116" s="234"/>
      <c r="J116" s="234"/>
      <c r="K116" s="234"/>
      <c r="L116" s="263"/>
    </row>
    <row r="117" spans="2:12" ht="23" customHeight="1" thickBot="1" x14ac:dyDescent="0.55000000000000004">
      <c r="B117" s="294"/>
      <c r="C117" s="348" t="s">
        <v>149</v>
      </c>
      <c r="D117" s="349"/>
      <c r="E117" s="297"/>
      <c r="F117" s="346"/>
      <c r="G117" s="347"/>
      <c r="H117" s="346"/>
      <c r="I117" s="234"/>
      <c r="J117" s="234"/>
      <c r="K117" s="234"/>
      <c r="L117" s="263"/>
    </row>
    <row r="118" spans="2:12" ht="23" customHeight="1" thickBot="1" x14ac:dyDescent="0.55000000000000004">
      <c r="B118" s="294"/>
      <c r="C118" s="348" t="s">
        <v>150</v>
      </c>
      <c r="D118" s="349"/>
      <c r="E118" s="297"/>
      <c r="F118" s="346"/>
      <c r="G118" s="347"/>
      <c r="H118" s="346"/>
      <c r="I118" s="234"/>
      <c r="J118" s="234"/>
      <c r="K118" s="234"/>
      <c r="L118" s="263"/>
    </row>
    <row r="119" spans="2:12" ht="23" customHeight="1" thickBot="1" x14ac:dyDescent="0.55000000000000004">
      <c r="B119" s="294"/>
      <c r="C119" s="348" t="s">
        <v>151</v>
      </c>
      <c r="D119" s="349"/>
      <c r="E119" s="297"/>
      <c r="F119" s="346"/>
      <c r="G119" s="347"/>
      <c r="H119" s="346"/>
      <c r="I119" s="234"/>
      <c r="J119" s="234"/>
      <c r="K119" s="234"/>
      <c r="L119" s="263"/>
    </row>
    <row r="120" spans="2:12" ht="23" customHeight="1" thickBot="1" x14ac:dyDescent="0.55000000000000004">
      <c r="B120" s="294"/>
      <c r="C120" s="348" t="s">
        <v>152</v>
      </c>
      <c r="D120" s="349"/>
      <c r="E120" s="297"/>
      <c r="F120" s="346"/>
      <c r="G120" s="347"/>
      <c r="H120" s="346"/>
      <c r="I120" s="234"/>
      <c r="J120" s="234"/>
      <c r="K120" s="234"/>
      <c r="L120" s="263"/>
    </row>
    <row r="121" spans="2:12" ht="23" customHeight="1" thickBot="1" x14ac:dyDescent="0.55000000000000004">
      <c r="B121" s="294"/>
      <c r="C121" s="348" t="s">
        <v>153</v>
      </c>
      <c r="D121" s="349"/>
      <c r="E121" s="297"/>
      <c r="F121" s="346"/>
      <c r="G121" s="347"/>
      <c r="H121" s="346"/>
      <c r="I121" s="234"/>
      <c r="J121" s="234"/>
      <c r="K121" s="234"/>
      <c r="L121" s="263"/>
    </row>
    <row r="122" spans="2:12" ht="23" customHeight="1" thickBot="1" x14ac:dyDescent="0.55000000000000004">
      <c r="B122" s="294"/>
      <c r="C122" s="348" t="s">
        <v>154</v>
      </c>
      <c r="D122" s="349"/>
      <c r="E122" s="297"/>
      <c r="F122" s="346"/>
      <c r="G122" s="347"/>
      <c r="H122" s="346"/>
      <c r="I122" s="234"/>
      <c r="J122" s="234"/>
      <c r="K122" s="234"/>
      <c r="L122" s="263"/>
    </row>
    <row r="123" spans="2:12" ht="23" customHeight="1" thickBot="1" x14ac:dyDescent="0.55000000000000004">
      <c r="B123" s="294"/>
      <c r="C123" s="348" t="s">
        <v>155</v>
      </c>
      <c r="D123" s="349"/>
      <c r="E123" s="297"/>
      <c r="F123" s="346"/>
      <c r="G123" s="347"/>
      <c r="H123" s="346"/>
      <c r="I123" s="234"/>
      <c r="J123" s="234"/>
      <c r="K123" s="234"/>
      <c r="L123" s="263"/>
    </row>
    <row r="124" spans="2:12" ht="23" customHeight="1" thickBot="1" x14ac:dyDescent="0.55000000000000004">
      <c r="B124" s="294"/>
      <c r="C124" s="348" t="s">
        <v>156</v>
      </c>
      <c r="D124" s="349"/>
      <c r="E124" s="297"/>
      <c r="F124" s="346"/>
      <c r="G124" s="347"/>
      <c r="H124" s="346"/>
      <c r="I124" s="234"/>
      <c r="J124" s="234"/>
      <c r="K124" s="234"/>
      <c r="L124" s="263"/>
    </row>
    <row r="125" spans="2:12" ht="23" customHeight="1" thickBot="1" x14ac:dyDescent="0.55000000000000004">
      <c r="B125" s="294"/>
      <c r="C125" s="348" t="s">
        <v>157</v>
      </c>
      <c r="D125" s="349"/>
      <c r="E125" s="297"/>
      <c r="F125" s="346"/>
      <c r="G125" s="347"/>
      <c r="H125" s="346"/>
      <c r="I125" s="234"/>
      <c r="J125" s="234"/>
      <c r="K125" s="234"/>
      <c r="L125" s="263"/>
    </row>
    <row r="126" spans="2:12" ht="23" customHeight="1" thickBot="1" x14ac:dyDescent="0.55000000000000004">
      <c r="B126" s="294"/>
      <c r="C126" s="348" t="s">
        <v>158</v>
      </c>
      <c r="D126" s="349"/>
      <c r="E126" s="297"/>
      <c r="F126" s="346"/>
      <c r="G126" s="347"/>
      <c r="H126" s="346"/>
      <c r="I126" s="234"/>
      <c r="J126" s="234"/>
      <c r="K126" s="234"/>
      <c r="L126" s="263"/>
    </row>
    <row r="127" spans="2:12" ht="23" customHeight="1" thickBot="1" x14ac:dyDescent="0.55000000000000004">
      <c r="B127" s="294"/>
      <c r="C127" s="348" t="s">
        <v>159</v>
      </c>
      <c r="D127" s="349"/>
      <c r="E127" s="297"/>
      <c r="F127" s="346"/>
      <c r="G127" s="347"/>
      <c r="H127" s="346"/>
      <c r="I127" s="234"/>
      <c r="J127" s="234"/>
      <c r="K127" s="234"/>
      <c r="L127" s="263"/>
    </row>
    <row r="128" spans="2:12" ht="23" customHeight="1" thickBot="1" x14ac:dyDescent="0.55000000000000004">
      <c r="B128" s="294"/>
      <c r="C128" s="348" t="s">
        <v>158</v>
      </c>
      <c r="D128" s="349"/>
      <c r="E128" s="297"/>
      <c r="F128" s="346"/>
      <c r="G128" s="347"/>
      <c r="H128" s="346"/>
      <c r="I128" s="234"/>
      <c r="J128" s="234"/>
      <c r="K128" s="234"/>
      <c r="L128" s="263"/>
    </row>
    <row r="129" spans="2:12" ht="23" customHeight="1" thickBot="1" x14ac:dyDescent="0.55000000000000004">
      <c r="B129" s="294"/>
      <c r="C129" s="348" t="s">
        <v>160</v>
      </c>
      <c r="D129" s="349"/>
      <c r="E129" s="297"/>
      <c r="F129" s="346"/>
      <c r="G129" s="347"/>
      <c r="H129" s="346"/>
      <c r="I129" s="234"/>
      <c r="J129" s="234"/>
      <c r="K129" s="234"/>
      <c r="L129" s="263"/>
    </row>
    <row r="130" spans="2:12" ht="23" customHeight="1" thickBot="1" x14ac:dyDescent="0.55000000000000004">
      <c r="B130" s="294"/>
      <c r="C130" s="348" t="s">
        <v>161</v>
      </c>
      <c r="D130" s="349"/>
      <c r="E130" s="297"/>
      <c r="F130" s="346"/>
      <c r="G130" s="347"/>
      <c r="H130" s="346"/>
      <c r="I130" s="234"/>
      <c r="J130" s="234"/>
      <c r="K130" s="234"/>
      <c r="L130" s="263"/>
    </row>
    <row r="131" spans="2:12" ht="23" customHeight="1" thickBot="1" x14ac:dyDescent="0.55000000000000004">
      <c r="B131" s="294"/>
      <c r="C131" s="348" t="s">
        <v>162</v>
      </c>
      <c r="D131" s="349"/>
      <c r="E131" s="297"/>
      <c r="F131" s="346"/>
      <c r="G131" s="347"/>
      <c r="H131" s="346"/>
      <c r="I131" s="234"/>
      <c r="J131" s="234"/>
      <c r="K131" s="234"/>
      <c r="L131" s="263"/>
    </row>
    <row r="132" spans="2:12" ht="23" customHeight="1" thickBot="1" x14ac:dyDescent="0.55000000000000004">
      <c r="B132" s="294"/>
      <c r="C132" s="348" t="s">
        <v>163</v>
      </c>
      <c r="D132" s="349"/>
      <c r="E132" s="297"/>
      <c r="F132" s="346"/>
      <c r="G132" s="347"/>
      <c r="H132" s="346"/>
      <c r="I132" s="234"/>
      <c r="J132" s="234"/>
      <c r="K132" s="234"/>
      <c r="L132" s="263"/>
    </row>
    <row r="133" spans="2:12" ht="23" customHeight="1" thickBot="1" x14ac:dyDescent="0.55000000000000004">
      <c r="B133" s="294"/>
      <c r="C133" s="348" t="s">
        <v>164</v>
      </c>
      <c r="D133" s="349"/>
      <c r="E133" s="297"/>
      <c r="F133" s="346"/>
      <c r="G133" s="347"/>
      <c r="H133" s="346"/>
      <c r="I133" s="234"/>
      <c r="J133" s="234"/>
      <c r="K133" s="234"/>
      <c r="L133" s="263"/>
    </row>
    <row r="134" spans="2:12" ht="23" customHeight="1" thickBot="1" x14ac:dyDescent="0.55000000000000004">
      <c r="B134" s="294"/>
      <c r="C134" s="348" t="s">
        <v>165</v>
      </c>
      <c r="D134" s="349"/>
      <c r="E134" s="297"/>
      <c r="F134" s="346"/>
      <c r="G134" s="347"/>
      <c r="H134" s="346"/>
      <c r="I134" s="234"/>
      <c r="J134" s="234"/>
      <c r="K134" s="234"/>
      <c r="L134" s="263"/>
    </row>
    <row r="135" spans="2:12" ht="23" customHeight="1" thickBot="1" x14ac:dyDescent="0.55000000000000004">
      <c r="B135" s="294"/>
      <c r="C135" s="348" t="s">
        <v>166</v>
      </c>
      <c r="D135" s="349"/>
      <c r="E135" s="297"/>
      <c r="F135" s="346"/>
      <c r="G135" s="347"/>
      <c r="H135" s="346"/>
      <c r="I135" s="234"/>
      <c r="J135" s="234"/>
      <c r="K135" s="234"/>
      <c r="L135" s="263"/>
    </row>
    <row r="136" spans="2:12" ht="23" customHeight="1" thickBot="1" x14ac:dyDescent="0.55000000000000004">
      <c r="B136" s="294"/>
      <c r="C136" s="348" t="s">
        <v>167</v>
      </c>
      <c r="D136" s="349"/>
      <c r="E136" s="297"/>
      <c r="F136" s="346"/>
      <c r="G136" s="347"/>
      <c r="H136" s="346"/>
      <c r="I136" s="234"/>
      <c r="J136" s="234"/>
      <c r="K136" s="234"/>
      <c r="L136" s="263"/>
    </row>
    <row r="137" spans="2:12" ht="23" customHeight="1" thickBot="1" x14ac:dyDescent="0.55000000000000004">
      <c r="B137" s="294"/>
      <c r="C137" s="348" t="s">
        <v>168</v>
      </c>
      <c r="D137" s="349"/>
      <c r="E137" s="297"/>
      <c r="F137" s="346"/>
      <c r="G137" s="347"/>
      <c r="H137" s="346"/>
      <c r="I137" s="234"/>
      <c r="J137" s="234"/>
      <c r="K137" s="234"/>
      <c r="L137" s="263"/>
    </row>
    <row r="138" spans="2:12" ht="23" customHeight="1" thickBot="1" x14ac:dyDescent="0.55000000000000004">
      <c r="B138" s="294"/>
      <c r="C138" s="348" t="s">
        <v>169</v>
      </c>
      <c r="D138" s="349"/>
      <c r="E138" s="297"/>
      <c r="F138" s="346"/>
      <c r="G138" s="347"/>
      <c r="H138" s="346"/>
      <c r="I138" s="234"/>
      <c r="J138" s="234"/>
      <c r="K138" s="234"/>
      <c r="L138" s="263"/>
    </row>
    <row r="139" spans="2:12" ht="23" customHeight="1" thickBot="1" x14ac:dyDescent="0.55000000000000004">
      <c r="B139" s="294"/>
      <c r="C139" s="350" t="s">
        <v>170</v>
      </c>
      <c r="D139" s="349"/>
      <c r="E139" s="299"/>
      <c r="F139" s="346"/>
      <c r="G139" s="347"/>
      <c r="H139" s="346"/>
      <c r="I139" s="234"/>
      <c r="J139" s="234"/>
      <c r="K139" s="234"/>
      <c r="L139" s="263"/>
    </row>
    <row r="140" spans="2:12" ht="23" customHeight="1" thickBot="1" x14ac:dyDescent="0.55000000000000004">
      <c r="B140" s="294"/>
      <c r="C140" s="350" t="s">
        <v>171</v>
      </c>
      <c r="D140" s="349"/>
      <c r="E140" s="299"/>
      <c r="F140" s="346"/>
      <c r="G140" s="347"/>
      <c r="H140" s="346"/>
      <c r="I140" s="234"/>
      <c r="J140" s="234"/>
      <c r="K140" s="234"/>
      <c r="L140" s="263"/>
    </row>
    <row r="141" spans="2:12" ht="23" customHeight="1" thickBot="1" x14ac:dyDescent="0.55000000000000004">
      <c r="B141" s="294"/>
      <c r="C141" s="350" t="s">
        <v>172</v>
      </c>
      <c r="D141" s="349"/>
      <c r="E141" s="299"/>
      <c r="F141" s="346"/>
      <c r="G141" s="347"/>
      <c r="H141" s="346"/>
      <c r="I141" s="234"/>
      <c r="J141" s="234"/>
      <c r="K141" s="234"/>
      <c r="L141" s="263"/>
    </row>
    <row r="142" spans="2:12" ht="23" customHeight="1" thickBot="1" x14ac:dyDescent="0.55000000000000004">
      <c r="B142" s="294"/>
      <c r="C142" s="350" t="s">
        <v>173</v>
      </c>
      <c r="D142" s="349"/>
      <c r="E142" s="299"/>
      <c r="F142" s="346"/>
      <c r="G142" s="347"/>
      <c r="H142" s="346"/>
      <c r="I142" s="234"/>
      <c r="J142" s="234"/>
      <c r="K142" s="234"/>
      <c r="L142" s="263"/>
    </row>
    <row r="143" spans="2:12" ht="23" customHeight="1" thickBot="1" x14ac:dyDescent="0.55000000000000004">
      <c r="B143" s="294"/>
      <c r="C143" s="350" t="s">
        <v>174</v>
      </c>
      <c r="D143" s="349"/>
      <c r="E143" s="299"/>
      <c r="F143" s="346"/>
      <c r="G143" s="347"/>
      <c r="H143" s="346"/>
      <c r="I143" s="234"/>
      <c r="J143" s="234"/>
      <c r="K143" s="234"/>
      <c r="L143" s="263"/>
    </row>
    <row r="144" spans="2:12" ht="23" customHeight="1" thickBot="1" x14ac:dyDescent="0.55000000000000004">
      <c r="B144" s="294"/>
      <c r="C144" s="350" t="s">
        <v>175</v>
      </c>
      <c r="D144" s="349"/>
      <c r="E144" s="299"/>
      <c r="F144" s="346"/>
      <c r="G144" s="347"/>
      <c r="H144" s="347"/>
      <c r="I144" s="234"/>
      <c r="J144" s="234"/>
      <c r="K144" s="234"/>
      <c r="L144" s="263"/>
    </row>
    <row r="145" spans="2:12" ht="23" customHeight="1" thickBot="1" x14ac:dyDescent="0.55000000000000004">
      <c r="B145" s="294"/>
      <c r="C145" s="351" t="s">
        <v>176</v>
      </c>
      <c r="D145" s="352"/>
      <c r="E145" s="299"/>
      <c r="F145" s="346"/>
      <c r="G145" s="347"/>
      <c r="H145" s="346"/>
      <c r="I145" s="234"/>
      <c r="J145" s="234"/>
      <c r="K145" s="234"/>
      <c r="L145" s="263"/>
    </row>
    <row r="146" spans="2:12" ht="23" customHeight="1" thickBot="1" x14ac:dyDescent="0.55000000000000004">
      <c r="B146" s="294"/>
      <c r="C146" s="351" t="s">
        <v>170</v>
      </c>
      <c r="D146" s="352"/>
      <c r="E146" s="299"/>
      <c r="F146" s="346"/>
      <c r="G146" s="347"/>
      <c r="H146" s="346"/>
      <c r="I146" s="234"/>
      <c r="J146" s="234"/>
      <c r="K146" s="234"/>
      <c r="L146" s="263"/>
    </row>
    <row r="147" spans="2:12" ht="23" customHeight="1" thickBot="1" x14ac:dyDescent="0.55000000000000004">
      <c r="B147" s="294"/>
      <c r="C147" s="351" t="s">
        <v>170</v>
      </c>
      <c r="D147" s="352"/>
      <c r="E147" s="299"/>
      <c r="F147" s="346"/>
      <c r="G147" s="347"/>
      <c r="H147" s="346"/>
      <c r="I147" s="234"/>
      <c r="J147" s="234"/>
      <c r="K147" s="234"/>
      <c r="L147" s="263"/>
    </row>
    <row r="148" spans="2:12" ht="23" customHeight="1" thickBot="1" x14ac:dyDescent="0.55000000000000004">
      <c r="B148" s="294"/>
      <c r="C148" s="353" t="s">
        <v>177</v>
      </c>
      <c r="D148" s="354"/>
      <c r="E148" s="297"/>
      <c r="F148" s="346"/>
      <c r="G148" s="347"/>
      <c r="H148" s="346"/>
      <c r="I148" s="234"/>
      <c r="J148" s="234"/>
      <c r="K148" s="234"/>
      <c r="L148" s="263"/>
    </row>
    <row r="149" spans="2:12" s="189" customFormat="1" ht="22.5" customHeight="1" x14ac:dyDescent="0.4">
      <c r="B149" s="629" t="s">
        <v>178</v>
      </c>
      <c r="C149" s="776"/>
      <c r="D149" s="776"/>
      <c r="E149" s="630"/>
      <c r="F149" s="630"/>
      <c r="G149" s="630"/>
      <c r="H149" s="630"/>
      <c r="I149" s="630"/>
      <c r="J149" s="630"/>
      <c r="K149" s="630"/>
      <c r="L149" s="631"/>
    </row>
    <row r="150" spans="2:12" ht="23" customHeight="1" x14ac:dyDescent="0.5">
      <c r="B150" s="682" t="s">
        <v>179</v>
      </c>
      <c r="C150" s="683"/>
      <c r="D150" s="355"/>
      <c r="E150" s="355"/>
      <c r="F150" s="355"/>
      <c r="G150" s="355"/>
      <c r="H150" s="355"/>
      <c r="I150" s="355"/>
      <c r="J150" s="355"/>
      <c r="K150" s="355"/>
      <c r="L150" s="356"/>
    </row>
    <row r="151" spans="2:12" ht="23" customHeight="1" x14ac:dyDescent="0.5">
      <c r="B151" s="357"/>
      <c r="C151" s="358" t="s">
        <v>84</v>
      </c>
      <c r="D151" s="359"/>
      <c r="E151" s="359"/>
      <c r="F151" s="359"/>
      <c r="G151" s="359"/>
      <c r="H151" s="359"/>
      <c r="I151" s="359"/>
      <c r="J151" s="359"/>
      <c r="K151" s="359"/>
      <c r="L151" s="360"/>
    </row>
    <row r="152" spans="2:12" ht="41.75" customHeight="1" x14ac:dyDescent="0.5">
      <c r="B152" s="748" t="s">
        <v>180</v>
      </c>
      <c r="C152" s="751"/>
      <c r="D152" s="752"/>
      <c r="E152" s="752"/>
      <c r="F152" s="752"/>
      <c r="G152" s="752"/>
      <c r="H152" s="752"/>
      <c r="I152" s="752"/>
      <c r="J152" s="752"/>
      <c r="K152" s="753"/>
      <c r="L152" s="360"/>
    </row>
    <row r="153" spans="2:12" ht="30.65" customHeight="1" x14ac:dyDescent="0.5">
      <c r="B153" s="749"/>
      <c r="C153" s="751"/>
      <c r="D153" s="752"/>
      <c r="E153" s="752"/>
      <c r="F153" s="752"/>
      <c r="G153" s="752"/>
      <c r="H153" s="752"/>
      <c r="I153" s="752"/>
      <c r="J153" s="752"/>
      <c r="K153" s="753"/>
      <c r="L153" s="360"/>
    </row>
    <row r="154" spans="2:12" ht="32.15" customHeight="1" x14ac:dyDescent="0.5">
      <c r="B154" s="749"/>
      <c r="C154" s="751"/>
      <c r="D154" s="752"/>
      <c r="E154" s="752"/>
      <c r="F154" s="752"/>
      <c r="G154" s="752"/>
      <c r="H154" s="752"/>
      <c r="I154" s="752"/>
      <c r="J154" s="752"/>
      <c r="K154" s="753"/>
      <c r="L154" s="360"/>
    </row>
    <row r="155" spans="2:12" ht="39" customHeight="1" x14ac:dyDescent="0.5">
      <c r="B155" s="750"/>
      <c r="C155" s="751"/>
      <c r="D155" s="752"/>
      <c r="E155" s="752"/>
      <c r="F155" s="752"/>
      <c r="G155" s="752"/>
      <c r="H155" s="752"/>
      <c r="I155" s="752"/>
      <c r="J155" s="752"/>
      <c r="K155" s="753"/>
      <c r="L155" s="360"/>
    </row>
    <row r="156" spans="2:12" ht="22.4" customHeight="1" x14ac:dyDescent="0.5">
      <c r="B156" s="357"/>
      <c r="C156" s="361"/>
      <c r="D156" s="361"/>
      <c r="E156" s="361"/>
      <c r="F156" s="361"/>
      <c r="G156" s="361"/>
      <c r="H156" s="361"/>
      <c r="I156" s="361"/>
      <c r="J156" s="361"/>
      <c r="K156" s="361"/>
      <c r="L156" s="360"/>
    </row>
    <row r="157" spans="2:12" ht="23" hidden="1" customHeight="1" thickBot="1" x14ac:dyDescent="0.55000000000000004">
      <c r="B157" s="686" t="s">
        <v>181</v>
      </c>
      <c r="C157" s="688"/>
      <c r="D157" s="362"/>
      <c r="E157" s="362"/>
      <c r="F157" s="362"/>
      <c r="G157" s="362"/>
      <c r="H157" s="362"/>
      <c r="I157" s="362"/>
      <c r="J157" s="362"/>
      <c r="K157" s="362"/>
      <c r="L157" s="360"/>
    </row>
    <row r="158" spans="2:12" ht="60" hidden="1" customHeight="1" thickBot="1" x14ac:dyDescent="0.55000000000000004">
      <c r="B158" s="363"/>
      <c r="C158" s="741" t="s">
        <v>182</v>
      </c>
      <c r="D158" s="742"/>
      <c r="E158" s="364" t="s">
        <v>183</v>
      </c>
      <c r="F158" s="364" t="s">
        <v>184</v>
      </c>
      <c r="G158" s="365" t="s">
        <v>185</v>
      </c>
      <c r="H158" s="183"/>
      <c r="I158" s="183"/>
      <c r="J158" s="183"/>
      <c r="K158" s="183"/>
      <c r="L158" s="256"/>
    </row>
    <row r="159" spans="2:12" ht="23" hidden="1" customHeight="1" thickBot="1" x14ac:dyDescent="0.55000000000000004">
      <c r="B159" s="366" t="s">
        <v>186</v>
      </c>
      <c r="C159" s="743"/>
      <c r="D159" s="744"/>
      <c r="E159" s="367"/>
      <c r="F159" s="367">
        <f>+C159-E159</f>
        <v>0</v>
      </c>
      <c r="G159" s="368">
        <v>0</v>
      </c>
      <c r="H159" s="183"/>
      <c r="I159" s="183"/>
      <c r="J159" s="183"/>
      <c r="K159" s="183"/>
      <c r="L159" s="256"/>
    </row>
    <row r="160" spans="2:12" ht="23" hidden="1" customHeight="1" thickBot="1" x14ac:dyDescent="0.55000000000000004">
      <c r="B160" s="366"/>
      <c r="C160" s="369"/>
      <c r="D160" s="369"/>
      <c r="E160" s="359"/>
      <c r="F160" s="370"/>
      <c r="G160" s="183"/>
      <c r="H160" s="183"/>
      <c r="I160" s="183"/>
      <c r="J160" s="183"/>
      <c r="K160" s="183"/>
      <c r="L160" s="256"/>
    </row>
    <row r="161" spans="2:12" ht="42.75" hidden="1" customHeight="1" thickBot="1" x14ac:dyDescent="0.55000000000000004">
      <c r="B161" s="371"/>
      <c r="C161" s="372" t="s">
        <v>187</v>
      </c>
      <c r="D161" s="364" t="s">
        <v>188</v>
      </c>
      <c r="E161" s="364" t="s">
        <v>189</v>
      </c>
      <c r="F161" s="365" t="s">
        <v>190</v>
      </c>
      <c r="G161" s="365" t="s">
        <v>191</v>
      </c>
      <c r="H161" s="183"/>
      <c r="I161" s="745"/>
      <c r="J161" s="745"/>
      <c r="K161" s="745"/>
      <c r="L161" s="746"/>
    </row>
    <row r="162" spans="2:12" ht="22.5" hidden="1" customHeight="1" thickBot="1" x14ac:dyDescent="0.55000000000000004">
      <c r="B162" s="366" t="s">
        <v>192</v>
      </c>
      <c r="C162" s="373"/>
      <c r="D162" s="374"/>
      <c r="E162" s="375">
        <v>0</v>
      </c>
      <c r="F162" s="376">
        <v>0</v>
      </c>
      <c r="G162" s="376">
        <v>0</v>
      </c>
      <c r="H162" s="377"/>
      <c r="I162" s="745"/>
      <c r="J162" s="745"/>
      <c r="K162" s="745"/>
      <c r="L162" s="746"/>
    </row>
    <row r="163" spans="2:12" ht="22.5" hidden="1" customHeight="1" x14ac:dyDescent="0.5">
      <c r="B163" s="366"/>
      <c r="C163" s="378"/>
      <c r="D163" s="379"/>
      <c r="E163" s="378"/>
      <c r="F163" s="380"/>
      <c r="G163" s="377"/>
      <c r="H163" s="377"/>
      <c r="I163" s="377"/>
      <c r="J163" s="377"/>
      <c r="K163" s="377"/>
      <c r="L163" s="381"/>
    </row>
    <row r="164" spans="2:12" ht="23" customHeight="1" x14ac:dyDescent="0.5">
      <c r="B164" s="371"/>
      <c r="C164" s="382" t="s">
        <v>46</v>
      </c>
      <c r="D164" s="359"/>
      <c r="E164" s="359"/>
      <c r="F164" s="370"/>
      <c r="G164" s="377"/>
      <c r="H164" s="377"/>
      <c r="I164" s="377"/>
      <c r="J164" s="377"/>
      <c r="K164" s="377"/>
      <c r="L164" s="381"/>
    </row>
    <row r="165" spans="2:12" ht="23" customHeight="1" thickBot="1" x14ac:dyDescent="0.55000000000000004">
      <c r="B165" s="686" t="s">
        <v>193</v>
      </c>
      <c r="C165" s="688"/>
      <c r="D165" s="380"/>
      <c r="E165" s="359"/>
      <c r="F165" s="370"/>
      <c r="G165" s="370"/>
      <c r="H165" s="370"/>
      <c r="I165" s="370"/>
      <c r="J165" s="370"/>
      <c r="K165" s="370"/>
      <c r="L165" s="383"/>
    </row>
    <row r="166" spans="2:12" ht="32.25" customHeight="1" x14ac:dyDescent="0.5">
      <c r="B166" s="384"/>
      <c r="C166" s="385" t="s">
        <v>194</v>
      </c>
      <c r="D166" s="386" t="s">
        <v>195</v>
      </c>
      <c r="E166" s="386" t="s">
        <v>196</v>
      </c>
      <c r="F166" s="387" t="s">
        <v>197</v>
      </c>
      <c r="G166" s="388"/>
      <c r="H166" s="388"/>
      <c r="I166" s="388"/>
      <c r="J166" s="388"/>
      <c r="K166" s="388"/>
      <c r="L166" s="383"/>
    </row>
    <row r="167" spans="2:12" ht="23" customHeight="1" thickBot="1" x14ac:dyDescent="0.55000000000000004">
      <c r="B167" s="384"/>
      <c r="C167" s="389">
        <v>0</v>
      </c>
      <c r="D167" s="390">
        <v>0</v>
      </c>
      <c r="E167" s="390">
        <v>0</v>
      </c>
      <c r="F167" s="391">
        <v>0</v>
      </c>
      <c r="G167" s="388"/>
      <c r="H167" s="388"/>
      <c r="I167" s="388"/>
      <c r="J167" s="388"/>
      <c r="K167" s="388"/>
      <c r="L167" s="383"/>
    </row>
    <row r="168" spans="2:12" ht="23" customHeight="1" x14ac:dyDescent="0.5">
      <c r="B168" s="384"/>
      <c r="C168" s="388"/>
      <c r="D168" s="388"/>
      <c r="E168" s="388"/>
      <c r="F168" s="388"/>
      <c r="G168" s="388"/>
      <c r="H168" s="388"/>
      <c r="I168" s="388"/>
      <c r="J168" s="388"/>
      <c r="K168" s="388"/>
      <c r="L168" s="383"/>
    </row>
    <row r="169" spans="2:12" s="189" customFormat="1" ht="23" customHeight="1" x14ac:dyDescent="0.4">
      <c r="B169" s="629" t="s">
        <v>107</v>
      </c>
      <c r="C169" s="630"/>
      <c r="D169" s="630"/>
      <c r="E169" s="630"/>
      <c r="F169" s="630"/>
      <c r="G169" s="630"/>
      <c r="H169" s="630"/>
      <c r="I169" s="630"/>
      <c r="J169" s="630"/>
      <c r="K169" s="630"/>
      <c r="L169" s="631"/>
    </row>
    <row r="170" spans="2:12" ht="23" customHeight="1" x14ac:dyDescent="0.5">
      <c r="B170" s="671" t="s">
        <v>108</v>
      </c>
      <c r="C170" s="672"/>
      <c r="D170" s="392"/>
      <c r="E170" s="392"/>
      <c r="F170" s="392"/>
      <c r="G170" s="392"/>
      <c r="H170" s="392"/>
      <c r="J170" s="392"/>
      <c r="K170" s="392"/>
      <c r="L170" s="393"/>
    </row>
    <row r="171" spans="2:12" ht="23" customHeight="1" x14ac:dyDescent="0.5">
      <c r="B171" s="267"/>
      <c r="C171" s="696" t="s">
        <v>282</v>
      </c>
      <c r="D171" s="697"/>
      <c r="E171" s="697"/>
      <c r="F171" s="697"/>
      <c r="G171" s="697"/>
      <c r="H171" s="697"/>
      <c r="I171" s="697"/>
      <c r="J171" s="697"/>
      <c r="K171" s="698"/>
      <c r="L171" s="394"/>
    </row>
    <row r="172" spans="2:12" ht="23" customHeight="1" x14ac:dyDescent="0.5">
      <c r="B172" s="267"/>
      <c r="C172" s="699"/>
      <c r="D172" s="700"/>
      <c r="E172" s="700"/>
      <c r="F172" s="700"/>
      <c r="G172" s="700"/>
      <c r="H172" s="700"/>
      <c r="I172" s="700"/>
      <c r="J172" s="700"/>
      <c r="K172" s="701"/>
      <c r="L172" s="394"/>
    </row>
    <row r="173" spans="2:12" ht="23" customHeight="1" x14ac:dyDescent="0.5">
      <c r="B173" s="267"/>
      <c r="C173" s="699"/>
      <c r="D173" s="700"/>
      <c r="E173" s="700"/>
      <c r="F173" s="700"/>
      <c r="G173" s="700"/>
      <c r="H173" s="700"/>
      <c r="I173" s="700"/>
      <c r="J173" s="700"/>
      <c r="K173" s="701"/>
      <c r="L173" s="394"/>
    </row>
    <row r="174" spans="2:12" ht="76.400000000000006" customHeight="1" x14ac:dyDescent="0.5">
      <c r="B174" s="267"/>
      <c r="C174" s="702"/>
      <c r="D174" s="703"/>
      <c r="E174" s="703"/>
      <c r="F174" s="703"/>
      <c r="G174" s="703"/>
      <c r="H174" s="703"/>
      <c r="I174" s="703"/>
      <c r="J174" s="703"/>
      <c r="K174" s="704"/>
      <c r="L174" s="394"/>
    </row>
    <row r="175" spans="2:12" ht="23" customHeight="1" x14ac:dyDescent="0.5">
      <c r="B175" s="693"/>
      <c r="C175" s="694"/>
      <c r="D175" s="694"/>
      <c r="E175" s="694"/>
      <c r="F175" s="694"/>
      <c r="G175" s="694"/>
      <c r="H175" s="694"/>
      <c r="I175" s="694"/>
      <c r="J175" s="694"/>
      <c r="K175" s="694"/>
      <c r="L175" s="695"/>
    </row>
    <row r="176" spans="2:12" ht="23" customHeight="1" x14ac:dyDescent="0.5">
      <c r="B176" s="671" t="s">
        <v>109</v>
      </c>
      <c r="C176" s="672"/>
      <c r="D176" s="392"/>
      <c r="E176" s="392"/>
      <c r="F176" s="392"/>
      <c r="G176" s="392"/>
      <c r="H176" s="392"/>
      <c r="I176" s="392"/>
      <c r="J176" s="392"/>
      <c r="K176" s="392"/>
      <c r="L176" s="393"/>
    </row>
    <row r="177" spans="2:12" ht="23" customHeight="1" x14ac:dyDescent="0.5">
      <c r="B177" s="267"/>
      <c r="C177" s="696" t="s">
        <v>286</v>
      </c>
      <c r="D177" s="697"/>
      <c r="E177" s="697"/>
      <c r="F177" s="697"/>
      <c r="G177" s="697"/>
      <c r="H177" s="697"/>
      <c r="I177" s="697"/>
      <c r="J177" s="697"/>
      <c r="K177" s="698"/>
      <c r="L177" s="394"/>
    </row>
    <row r="178" spans="2:12" ht="23" customHeight="1" x14ac:dyDescent="0.5">
      <c r="B178" s="267"/>
      <c r="C178" s="699"/>
      <c r="D178" s="700"/>
      <c r="E178" s="700"/>
      <c r="F178" s="700"/>
      <c r="G178" s="700"/>
      <c r="H178" s="700"/>
      <c r="I178" s="700"/>
      <c r="J178" s="700"/>
      <c r="K178" s="701"/>
      <c r="L178" s="394"/>
    </row>
    <row r="179" spans="2:12" ht="23" customHeight="1" x14ac:dyDescent="0.5">
      <c r="B179" s="267"/>
      <c r="C179" s="699"/>
      <c r="D179" s="700"/>
      <c r="E179" s="700"/>
      <c r="F179" s="700"/>
      <c r="G179" s="700"/>
      <c r="H179" s="700"/>
      <c r="I179" s="700"/>
      <c r="J179" s="700"/>
      <c r="K179" s="701"/>
      <c r="L179" s="394"/>
    </row>
    <row r="180" spans="2:12" ht="23" customHeight="1" x14ac:dyDescent="0.5">
      <c r="B180" s="267"/>
      <c r="C180" s="699"/>
      <c r="D180" s="700"/>
      <c r="E180" s="700"/>
      <c r="F180" s="700"/>
      <c r="G180" s="700"/>
      <c r="H180" s="700"/>
      <c r="I180" s="700"/>
      <c r="J180" s="700"/>
      <c r="K180" s="701"/>
      <c r="L180" s="394"/>
    </row>
    <row r="181" spans="2:12" ht="23" customHeight="1" x14ac:dyDescent="0.5">
      <c r="B181" s="267"/>
      <c r="C181" s="699"/>
      <c r="D181" s="700"/>
      <c r="E181" s="700"/>
      <c r="F181" s="700"/>
      <c r="G181" s="700"/>
      <c r="H181" s="700"/>
      <c r="I181" s="700"/>
      <c r="J181" s="700"/>
      <c r="K181" s="701"/>
      <c r="L181" s="394"/>
    </row>
    <row r="182" spans="2:12" ht="23" customHeight="1" x14ac:dyDescent="0.5">
      <c r="B182" s="267"/>
      <c r="C182" s="699"/>
      <c r="D182" s="700"/>
      <c r="E182" s="700"/>
      <c r="F182" s="700"/>
      <c r="G182" s="700"/>
      <c r="H182" s="700"/>
      <c r="I182" s="700"/>
      <c r="J182" s="700"/>
      <c r="K182" s="701"/>
      <c r="L182" s="394"/>
    </row>
    <row r="183" spans="2:12" ht="22.4" customHeight="1" x14ac:dyDescent="0.5">
      <c r="B183" s="267"/>
      <c r="C183" s="702"/>
      <c r="D183" s="703"/>
      <c r="E183" s="703"/>
      <c r="F183" s="703"/>
      <c r="G183" s="703"/>
      <c r="H183" s="703"/>
      <c r="I183" s="703"/>
      <c r="J183" s="703"/>
      <c r="K183" s="704"/>
      <c r="L183" s="394"/>
    </row>
    <row r="184" spans="2:12" ht="22.4" customHeight="1" x14ac:dyDescent="0.5">
      <c r="B184" s="267"/>
      <c r="C184" s="395"/>
      <c r="D184" s="395"/>
      <c r="E184" s="395"/>
      <c r="F184" s="395"/>
      <c r="G184" s="395"/>
      <c r="H184" s="395"/>
      <c r="I184" s="395"/>
      <c r="J184" s="395"/>
      <c r="K184" s="395"/>
      <c r="L184" s="394"/>
    </row>
    <row r="185" spans="2:12" ht="23" customHeight="1" x14ac:dyDescent="0.5">
      <c r="B185" s="671" t="s">
        <v>112</v>
      </c>
      <c r="C185" s="672"/>
      <c r="D185" s="392"/>
      <c r="E185" s="392"/>
      <c r="F185" s="392"/>
      <c r="G185" s="392"/>
      <c r="H185" s="392"/>
      <c r="I185" s="392"/>
      <c r="J185" s="392"/>
      <c r="K185" s="392"/>
      <c r="L185" s="393"/>
    </row>
    <row r="186" spans="2:12" ht="23" customHeight="1" x14ac:dyDescent="0.5">
      <c r="B186" s="267"/>
      <c r="C186" s="696" t="s">
        <v>261</v>
      </c>
      <c r="D186" s="697"/>
      <c r="E186" s="697"/>
      <c r="F186" s="697"/>
      <c r="G186" s="697"/>
      <c r="H186" s="697"/>
      <c r="I186" s="697"/>
      <c r="J186" s="697"/>
      <c r="K186" s="698"/>
      <c r="L186" s="394"/>
    </row>
    <row r="187" spans="2:12" ht="23" customHeight="1" x14ac:dyDescent="0.5">
      <c r="B187" s="267"/>
      <c r="C187" s="699"/>
      <c r="D187" s="700"/>
      <c r="E187" s="700"/>
      <c r="F187" s="700"/>
      <c r="G187" s="700"/>
      <c r="H187" s="700"/>
      <c r="I187" s="700"/>
      <c r="J187" s="700"/>
      <c r="K187" s="701"/>
      <c r="L187" s="394"/>
    </row>
    <row r="188" spans="2:12" ht="23" customHeight="1" x14ac:dyDescent="0.5">
      <c r="B188" s="267"/>
      <c r="C188" s="699"/>
      <c r="D188" s="700"/>
      <c r="E188" s="700"/>
      <c r="F188" s="700"/>
      <c r="G188" s="700"/>
      <c r="H188" s="700"/>
      <c r="I188" s="700"/>
      <c r="J188" s="700"/>
      <c r="K188" s="701"/>
      <c r="L188" s="394"/>
    </row>
    <row r="189" spans="2:12" ht="23" customHeight="1" x14ac:dyDescent="0.5">
      <c r="B189" s="267"/>
      <c r="C189" s="699"/>
      <c r="D189" s="700"/>
      <c r="E189" s="700"/>
      <c r="F189" s="700"/>
      <c r="G189" s="700"/>
      <c r="H189" s="700"/>
      <c r="I189" s="700"/>
      <c r="J189" s="700"/>
      <c r="K189" s="701"/>
      <c r="L189" s="394"/>
    </row>
    <row r="190" spans="2:12" ht="23" customHeight="1" x14ac:dyDescent="0.5">
      <c r="B190" s="267"/>
      <c r="C190" s="699"/>
      <c r="D190" s="700"/>
      <c r="E190" s="700"/>
      <c r="F190" s="700"/>
      <c r="G190" s="700"/>
      <c r="H190" s="700"/>
      <c r="I190" s="700"/>
      <c r="J190" s="700"/>
      <c r="K190" s="701"/>
      <c r="L190" s="394"/>
    </row>
    <row r="191" spans="2:12" ht="23" customHeight="1" x14ac:dyDescent="0.5">
      <c r="B191" s="267"/>
      <c r="C191" s="699"/>
      <c r="D191" s="700"/>
      <c r="E191" s="700"/>
      <c r="F191" s="700"/>
      <c r="G191" s="700"/>
      <c r="H191" s="700"/>
      <c r="I191" s="700"/>
      <c r="J191" s="700"/>
      <c r="K191" s="701"/>
      <c r="L191" s="394"/>
    </row>
    <row r="192" spans="2:12" ht="22.4" customHeight="1" x14ac:dyDescent="0.5">
      <c r="B192" s="267"/>
      <c r="C192" s="702"/>
      <c r="D192" s="703"/>
      <c r="E192" s="703"/>
      <c r="F192" s="703"/>
      <c r="G192" s="703"/>
      <c r="H192" s="703"/>
      <c r="I192" s="703"/>
      <c r="J192" s="703"/>
      <c r="K192" s="704"/>
      <c r="L192" s="394"/>
    </row>
    <row r="193" spans="2:12" x14ac:dyDescent="0.5">
      <c r="B193" s="396"/>
      <c r="C193" s="397"/>
      <c r="D193" s="397"/>
      <c r="E193" s="397"/>
      <c r="F193" s="397"/>
      <c r="G193" s="397"/>
      <c r="H193" s="397"/>
      <c r="I193" s="397"/>
      <c r="J193" s="397"/>
      <c r="K193" s="397"/>
      <c r="L193" s="398"/>
    </row>
    <row r="194" spans="2:12" ht="23" customHeight="1" x14ac:dyDescent="0.5">
      <c r="B194" s="671" t="s">
        <v>110</v>
      </c>
      <c r="C194" s="672"/>
      <c r="D194" s="392"/>
      <c r="E194" s="392"/>
      <c r="F194" s="392"/>
      <c r="G194" s="392"/>
      <c r="H194" s="392"/>
      <c r="I194" s="392"/>
      <c r="J194" s="392"/>
      <c r="K194" s="392"/>
      <c r="L194" s="393"/>
    </row>
    <row r="195" spans="2:12" ht="23" customHeight="1" x14ac:dyDescent="0.5">
      <c r="B195" s="267"/>
      <c r="C195" s="691" t="s">
        <v>111</v>
      </c>
      <c r="D195" s="692"/>
      <c r="E195" s="399"/>
      <c r="F195" s="399"/>
      <c r="G195" s="399"/>
      <c r="H195" s="399"/>
      <c r="I195" s="399"/>
      <c r="J195" s="399"/>
      <c r="K195" s="400"/>
      <c r="L195" s="394"/>
    </row>
    <row r="196" spans="2:12" ht="23" customHeight="1" x14ac:dyDescent="0.5">
      <c r="B196" s="267"/>
      <c r="C196" s="699" t="s">
        <v>262</v>
      </c>
      <c r="D196" s="700"/>
      <c r="E196" s="700"/>
      <c r="F196" s="700"/>
      <c r="G196" s="700"/>
      <c r="H196" s="700"/>
      <c r="I196" s="700"/>
      <c r="J196" s="700"/>
      <c r="K196" s="701"/>
      <c r="L196" s="394"/>
    </row>
    <row r="197" spans="2:12" ht="23" customHeight="1" x14ac:dyDescent="0.5">
      <c r="B197" s="267"/>
      <c r="C197" s="699"/>
      <c r="D197" s="700"/>
      <c r="E197" s="700"/>
      <c r="F197" s="700"/>
      <c r="G197" s="700"/>
      <c r="H197" s="700"/>
      <c r="I197" s="700"/>
      <c r="J197" s="700"/>
      <c r="K197" s="701"/>
      <c r="L197" s="394"/>
    </row>
    <row r="198" spans="2:12" ht="23" customHeight="1" x14ac:dyDescent="0.5">
      <c r="B198" s="267"/>
      <c r="C198" s="699"/>
      <c r="D198" s="700"/>
      <c r="E198" s="700"/>
      <c r="F198" s="700"/>
      <c r="G198" s="700"/>
      <c r="H198" s="700"/>
      <c r="I198" s="700"/>
      <c r="J198" s="700"/>
      <c r="K198" s="701"/>
      <c r="L198" s="394"/>
    </row>
    <row r="199" spans="2:12" ht="23" customHeight="1" x14ac:dyDescent="0.5">
      <c r="B199" s="267"/>
      <c r="C199" s="699"/>
      <c r="D199" s="700"/>
      <c r="E199" s="700"/>
      <c r="F199" s="700"/>
      <c r="G199" s="700"/>
      <c r="H199" s="700"/>
      <c r="I199" s="700"/>
      <c r="J199" s="700"/>
      <c r="K199" s="701"/>
      <c r="L199" s="394"/>
    </row>
    <row r="200" spans="2:12" ht="23" customHeight="1" x14ac:dyDescent="0.5">
      <c r="B200" s="267"/>
      <c r="C200" s="699"/>
      <c r="D200" s="700"/>
      <c r="E200" s="700"/>
      <c r="F200" s="700"/>
      <c r="G200" s="700"/>
      <c r="H200" s="700"/>
      <c r="I200" s="700"/>
      <c r="J200" s="700"/>
      <c r="K200" s="701"/>
      <c r="L200" s="394"/>
    </row>
    <row r="201" spans="2:12" ht="22.4" customHeight="1" x14ac:dyDescent="0.5">
      <c r="B201" s="267"/>
      <c r="C201" s="699"/>
      <c r="D201" s="700"/>
      <c r="E201" s="700"/>
      <c r="F201" s="700"/>
      <c r="G201" s="700"/>
      <c r="H201" s="700"/>
      <c r="I201" s="700"/>
      <c r="J201" s="700"/>
      <c r="K201" s="701"/>
      <c r="L201" s="394"/>
    </row>
    <row r="202" spans="2:12" x14ac:dyDescent="0.5">
      <c r="B202" s="401"/>
      <c r="L202" s="402"/>
    </row>
    <row r="203" spans="2:12" ht="23" customHeight="1" x14ac:dyDescent="0.5">
      <c r="B203" s="671" t="s">
        <v>116</v>
      </c>
      <c r="C203" s="672"/>
      <c r="D203" s="800"/>
      <c r="E203" s="800"/>
      <c r="F203" s="800"/>
      <c r="G203" s="800"/>
      <c r="H203" s="800"/>
      <c r="I203" s="800"/>
      <c r="J203" s="392"/>
      <c r="K203" s="392"/>
      <c r="L203" s="393"/>
    </row>
    <row r="204" spans="2:12" x14ac:dyDescent="0.5">
      <c r="B204" s="401"/>
      <c r="D204" s="664"/>
      <c r="E204" s="664"/>
      <c r="F204" s="664"/>
      <c r="G204" s="664"/>
      <c r="H204" s="664"/>
      <c r="I204" s="664"/>
      <c r="J204" s="403"/>
      <c r="K204" s="403"/>
      <c r="L204" s="402"/>
    </row>
    <row r="205" spans="2:12" ht="21.5" thickBot="1" x14ac:dyDescent="0.55000000000000004">
      <c r="B205" s="404" t="s">
        <v>117</v>
      </c>
      <c r="C205" s="405"/>
      <c r="D205" s="664"/>
      <c r="E205" s="664"/>
      <c r="F205" s="664"/>
      <c r="G205" s="664"/>
      <c r="H205" s="664"/>
      <c r="I205" s="664"/>
      <c r="J205" s="403"/>
      <c r="K205" s="403"/>
      <c r="L205" s="406"/>
    </row>
    <row r="206" spans="2:12" x14ac:dyDescent="0.5">
      <c r="D206" s="664"/>
      <c r="E206" s="664"/>
      <c r="F206" s="664"/>
      <c r="G206" s="664"/>
      <c r="H206" s="664"/>
      <c r="I206" s="664"/>
      <c r="J206" s="403"/>
      <c r="K206" s="403"/>
    </row>
    <row r="207" spans="2:12" x14ac:dyDescent="0.5">
      <c r="D207" s="664"/>
      <c r="E207" s="664"/>
      <c r="F207" s="664"/>
      <c r="G207" s="664"/>
      <c r="H207" s="664"/>
      <c r="I207" s="664"/>
      <c r="J207" s="403"/>
      <c r="K207" s="403"/>
    </row>
    <row r="208" spans="2:12" x14ac:dyDescent="0.5">
      <c r="D208" s="664"/>
      <c r="E208" s="664"/>
      <c r="F208" s="664"/>
      <c r="G208" s="664"/>
      <c r="H208" s="664"/>
      <c r="I208" s="664"/>
      <c r="J208" s="403"/>
      <c r="K208" s="403"/>
    </row>
    <row r="209" spans="4:11" x14ac:dyDescent="0.5">
      <c r="D209" s="664"/>
      <c r="E209" s="664"/>
      <c r="F209" s="664"/>
      <c r="G209" s="664"/>
      <c r="H209" s="664"/>
      <c r="I209" s="664"/>
      <c r="J209" s="403"/>
      <c r="K209" s="403"/>
    </row>
    <row r="210" spans="4:11" x14ac:dyDescent="0.5">
      <c r="D210" s="664"/>
      <c r="E210" s="664"/>
      <c r="F210" s="664"/>
      <c r="G210" s="664"/>
      <c r="H210" s="664"/>
      <c r="I210" s="664"/>
      <c r="J210" s="403"/>
      <c r="K210" s="403"/>
    </row>
    <row r="211" spans="4:11" x14ac:dyDescent="0.5">
      <c r="D211" s="664"/>
      <c r="E211" s="664"/>
      <c r="F211" s="664"/>
      <c r="G211" s="664"/>
      <c r="H211" s="664"/>
      <c r="I211" s="664"/>
      <c r="J211" s="403"/>
      <c r="K211" s="403"/>
    </row>
    <row r="212" spans="4:11" x14ac:dyDescent="0.5">
      <c r="D212" s="664"/>
      <c r="E212" s="664"/>
      <c r="F212" s="664"/>
      <c r="G212" s="664"/>
      <c r="H212" s="664"/>
      <c r="I212" s="664"/>
      <c r="J212" s="403"/>
      <c r="K212" s="403"/>
    </row>
    <row r="213" spans="4:11" x14ac:dyDescent="0.5">
      <c r="D213" s="664"/>
      <c r="E213" s="664"/>
      <c r="F213" s="664"/>
      <c r="G213" s="664"/>
      <c r="H213" s="664"/>
      <c r="I213" s="664"/>
      <c r="J213" s="403"/>
      <c r="K213" s="403"/>
    </row>
    <row r="214" spans="4:11" x14ac:dyDescent="0.5">
      <c r="D214" s="664"/>
      <c r="E214" s="664"/>
      <c r="F214" s="664"/>
      <c r="G214" s="664"/>
      <c r="H214" s="664"/>
      <c r="I214" s="664"/>
      <c r="J214" s="403"/>
      <c r="K214" s="403"/>
    </row>
    <row r="215" spans="4:11" x14ac:dyDescent="0.5">
      <c r="D215" s="664"/>
      <c r="E215" s="664"/>
      <c r="F215" s="664"/>
      <c r="G215" s="664"/>
      <c r="H215" s="664"/>
      <c r="I215" s="664"/>
      <c r="J215" s="392"/>
      <c r="K215" s="392"/>
    </row>
    <row r="216" spans="4:11" x14ac:dyDescent="0.5">
      <c r="D216" s="664"/>
      <c r="E216" s="664"/>
      <c r="F216" s="664"/>
      <c r="G216" s="664"/>
      <c r="H216" s="664"/>
      <c r="I216" s="664"/>
      <c r="J216" s="403"/>
      <c r="K216" s="403"/>
    </row>
    <row r="217" spans="4:11" x14ac:dyDescent="0.5">
      <c r="D217" s="664"/>
      <c r="E217" s="664"/>
      <c r="F217" s="664"/>
      <c r="G217" s="664"/>
      <c r="H217" s="664"/>
      <c r="I217" s="664"/>
      <c r="J217" s="403"/>
      <c r="K217" s="403"/>
    </row>
    <row r="218" spans="4:11" x14ac:dyDescent="0.5">
      <c r="D218" s="403"/>
      <c r="E218" s="403"/>
      <c r="F218" s="403"/>
      <c r="G218" s="403"/>
      <c r="H218" s="403"/>
      <c r="I218" s="403"/>
      <c r="J218" s="403"/>
      <c r="K218" s="403"/>
    </row>
    <row r="219" spans="4:11" x14ac:dyDescent="0.5">
      <c r="D219" s="403"/>
      <c r="E219" s="403"/>
      <c r="F219" s="403"/>
      <c r="G219" s="403"/>
      <c r="H219" s="403"/>
      <c r="I219" s="403"/>
      <c r="J219" s="403"/>
      <c r="K219" s="403"/>
    </row>
    <row r="220" spans="4:11" x14ac:dyDescent="0.5">
      <c r="D220" s="403"/>
      <c r="E220" s="403"/>
      <c r="F220" s="403"/>
      <c r="G220" s="403"/>
      <c r="H220" s="403"/>
      <c r="I220" s="403"/>
      <c r="J220" s="403"/>
      <c r="K220" s="403"/>
    </row>
    <row r="221" spans="4:11" x14ac:dyDescent="0.5">
      <c r="D221" s="664"/>
      <c r="E221" s="664"/>
      <c r="F221" s="664"/>
      <c r="G221" s="664"/>
      <c r="H221" s="664"/>
      <c r="I221" s="664"/>
      <c r="J221" s="664"/>
      <c r="K221" s="664"/>
    </row>
    <row r="222" spans="4:11" x14ac:dyDescent="0.5">
      <c r="D222" s="664"/>
      <c r="E222" s="664"/>
      <c r="F222" s="664"/>
      <c r="G222" s="664"/>
      <c r="H222" s="664"/>
      <c r="I222" s="664"/>
      <c r="J222" s="664"/>
      <c r="K222" s="664"/>
    </row>
    <row r="223" spans="4:11" x14ac:dyDescent="0.5">
      <c r="D223" s="664"/>
      <c r="E223" s="664"/>
      <c r="F223" s="664"/>
      <c r="G223" s="664"/>
      <c r="H223" s="664"/>
      <c r="I223" s="664"/>
      <c r="J223" s="664"/>
      <c r="K223" s="664"/>
    </row>
    <row r="224" spans="4:11" x14ac:dyDescent="0.5">
      <c r="D224" s="664"/>
      <c r="E224" s="664"/>
      <c r="F224" s="664"/>
      <c r="G224" s="664"/>
      <c r="H224" s="664"/>
      <c r="I224" s="664"/>
      <c r="J224" s="664"/>
      <c r="K224" s="664"/>
    </row>
    <row r="225" spans="4:11" x14ac:dyDescent="0.5">
      <c r="D225" s="664"/>
      <c r="E225" s="664"/>
      <c r="F225" s="664"/>
      <c r="G225" s="664"/>
      <c r="H225" s="664"/>
      <c r="I225" s="664"/>
      <c r="J225" s="664"/>
      <c r="K225" s="664"/>
    </row>
    <row r="226" spans="4:11" x14ac:dyDescent="0.5">
      <c r="D226" s="664"/>
      <c r="E226" s="664"/>
      <c r="F226" s="664"/>
      <c r="G226" s="664"/>
      <c r="H226" s="664"/>
      <c r="I226" s="664"/>
      <c r="J226" s="664"/>
      <c r="K226" s="664"/>
    </row>
    <row r="227" spans="4:11" x14ac:dyDescent="0.5">
      <c r="D227" s="664"/>
      <c r="E227" s="664"/>
      <c r="F227" s="664"/>
      <c r="G227" s="664"/>
      <c r="H227" s="664"/>
      <c r="I227" s="664"/>
      <c r="J227" s="664"/>
      <c r="K227" s="664"/>
    </row>
    <row r="228" spans="4:11" x14ac:dyDescent="0.5">
      <c r="D228" s="664"/>
      <c r="E228" s="664"/>
      <c r="F228" s="664"/>
      <c r="G228" s="664"/>
      <c r="H228" s="664"/>
      <c r="I228" s="664"/>
      <c r="J228" s="664"/>
      <c r="K228" s="664"/>
    </row>
    <row r="229" spans="4:11" x14ac:dyDescent="0.5">
      <c r="D229" s="664"/>
      <c r="E229" s="664"/>
      <c r="F229" s="664"/>
      <c r="G229" s="664"/>
      <c r="H229" s="664"/>
      <c r="I229" s="664"/>
      <c r="J229" s="664"/>
      <c r="K229" s="664"/>
    </row>
    <row r="230" spans="4:11" x14ac:dyDescent="0.5">
      <c r="D230" s="664"/>
      <c r="E230" s="664"/>
      <c r="F230" s="664"/>
      <c r="G230" s="664"/>
      <c r="H230" s="664"/>
      <c r="I230" s="664"/>
      <c r="J230" s="664"/>
      <c r="K230" s="664"/>
    </row>
    <row r="231" spans="4:11" x14ac:dyDescent="0.5">
      <c r="D231" s="664"/>
      <c r="E231" s="664"/>
      <c r="F231" s="664"/>
      <c r="G231" s="664"/>
      <c r="H231" s="664"/>
      <c r="I231" s="664"/>
      <c r="J231" s="664"/>
      <c r="K231" s="664"/>
    </row>
    <row r="232" spans="4:11" x14ac:dyDescent="0.5">
      <c r="D232" s="664"/>
      <c r="E232" s="664"/>
      <c r="F232" s="664"/>
      <c r="G232" s="664"/>
      <c r="H232" s="664"/>
      <c r="I232" s="664"/>
      <c r="J232" s="664"/>
      <c r="K232" s="664"/>
    </row>
    <row r="233" spans="4:11" x14ac:dyDescent="0.5">
      <c r="D233" s="664"/>
      <c r="E233" s="664"/>
      <c r="F233" s="664"/>
      <c r="G233" s="664"/>
      <c r="H233" s="664"/>
      <c r="I233" s="664"/>
      <c r="J233" s="664"/>
      <c r="K233" s="664"/>
    </row>
    <row r="234" spans="4:11" x14ac:dyDescent="0.5">
      <c r="D234" s="664"/>
      <c r="E234" s="664"/>
      <c r="F234" s="664"/>
      <c r="G234" s="664"/>
      <c r="H234" s="664"/>
      <c r="I234" s="664"/>
      <c r="J234" s="664"/>
      <c r="K234" s="664"/>
    </row>
    <row r="235" spans="4:11" x14ac:dyDescent="0.5">
      <c r="D235" s="664"/>
      <c r="E235" s="664"/>
      <c r="F235" s="664"/>
      <c r="G235" s="664"/>
      <c r="H235" s="664"/>
      <c r="I235" s="664"/>
      <c r="J235" s="664"/>
      <c r="K235" s="664"/>
    </row>
    <row r="236" spans="4:11" x14ac:dyDescent="0.5">
      <c r="D236" s="664"/>
      <c r="E236" s="664"/>
      <c r="F236" s="664"/>
      <c r="G236" s="664"/>
      <c r="H236" s="664"/>
      <c r="I236" s="664"/>
      <c r="J236" s="664"/>
      <c r="K236" s="664"/>
    </row>
    <row r="237" spans="4:11" x14ac:dyDescent="0.5">
      <c r="D237" s="664"/>
      <c r="E237" s="664"/>
      <c r="F237" s="664"/>
      <c r="G237" s="664"/>
      <c r="H237" s="664"/>
      <c r="I237" s="664"/>
      <c r="J237" s="664"/>
      <c r="K237" s="664"/>
    </row>
    <row r="238" spans="4:11" x14ac:dyDescent="0.5">
      <c r="D238" s="664"/>
      <c r="E238" s="664"/>
      <c r="F238" s="664"/>
      <c r="G238" s="664"/>
      <c r="H238" s="664"/>
      <c r="I238" s="664"/>
      <c r="J238" s="664"/>
      <c r="K238" s="664"/>
    </row>
  </sheetData>
  <mergeCells count="81">
    <mergeCell ref="B16:C16"/>
    <mergeCell ref="B2:C4"/>
    <mergeCell ref="D2:I4"/>
    <mergeCell ref="J2:K2"/>
    <mergeCell ref="J3:K3"/>
    <mergeCell ref="J4:K4"/>
    <mergeCell ref="K5:L5"/>
    <mergeCell ref="B8:L8"/>
    <mergeCell ref="C9:L11"/>
    <mergeCell ref="B13:C13"/>
    <mergeCell ref="B14:C14"/>
    <mergeCell ref="B15:C15"/>
    <mergeCell ref="B26:C26"/>
    <mergeCell ref="B18:C18"/>
    <mergeCell ref="F18:L18"/>
    <mergeCell ref="B19:C19"/>
    <mergeCell ref="F19:L19"/>
    <mergeCell ref="B20:C20"/>
    <mergeCell ref="F20:L20"/>
    <mergeCell ref="B21:C21"/>
    <mergeCell ref="F21:L21"/>
    <mergeCell ref="F23:L23"/>
    <mergeCell ref="B24:C24"/>
    <mergeCell ref="F24:L24"/>
    <mergeCell ref="B27:C27"/>
    <mergeCell ref="B28:C28"/>
    <mergeCell ref="B31:C31"/>
    <mergeCell ref="B33:C33"/>
    <mergeCell ref="K33:L37"/>
    <mergeCell ref="B34:C34"/>
    <mergeCell ref="B35:C35"/>
    <mergeCell ref="B36:C36"/>
    <mergeCell ref="G100:H100"/>
    <mergeCell ref="B69:L69"/>
    <mergeCell ref="C70:K72"/>
    <mergeCell ref="B74:L74"/>
    <mergeCell ref="B45:L45"/>
    <mergeCell ref="D47:L47"/>
    <mergeCell ref="D48:L48"/>
    <mergeCell ref="D49:L49"/>
    <mergeCell ref="B52:C52"/>
    <mergeCell ref="B65:L65"/>
    <mergeCell ref="B75:C75"/>
    <mergeCell ref="B87:C87"/>
    <mergeCell ref="B95:C95"/>
    <mergeCell ref="B99:C99"/>
    <mergeCell ref="D100:E100"/>
    <mergeCell ref="C66:L68"/>
    <mergeCell ref="B110:L110"/>
    <mergeCell ref="B111:C111"/>
    <mergeCell ref="B149:L149"/>
    <mergeCell ref="B150:C150"/>
    <mergeCell ref="B152:B155"/>
    <mergeCell ref="C152:K152"/>
    <mergeCell ref="C153:K153"/>
    <mergeCell ref="C154:K154"/>
    <mergeCell ref="C155:K155"/>
    <mergeCell ref="F203:G217"/>
    <mergeCell ref="C186:K192"/>
    <mergeCell ref="B194:C194"/>
    <mergeCell ref="C195:D195"/>
    <mergeCell ref="C159:D159"/>
    <mergeCell ref="I161:L162"/>
    <mergeCell ref="B165:C165"/>
    <mergeCell ref="B169:L169"/>
    <mergeCell ref="J221:K238"/>
    <mergeCell ref="B185:C185"/>
    <mergeCell ref="B157:C157"/>
    <mergeCell ref="C158:D158"/>
    <mergeCell ref="H203:I217"/>
    <mergeCell ref="D221:E238"/>
    <mergeCell ref="F221:G238"/>
    <mergeCell ref="H221:I238"/>
    <mergeCell ref="B170:C170"/>
    <mergeCell ref="C171:K174"/>
    <mergeCell ref="B175:L175"/>
    <mergeCell ref="B176:C176"/>
    <mergeCell ref="C177:K183"/>
    <mergeCell ref="C196:K201"/>
    <mergeCell ref="B203:C203"/>
    <mergeCell ref="D203:E217"/>
  </mergeCells>
  <printOptions horizontalCentered="1"/>
  <pageMargins left="0.2" right="0.2" top="0.75" bottom="0.75" header="0.3" footer="0.3"/>
  <pageSetup scale="42" fitToHeight="0" orientation="portrait" r:id="rId1"/>
  <headerFooter>
    <oddFooter>&amp;L&amp;"-,Regular"&amp;11&amp;F&amp;R&amp;"-,Regular"&amp;11ACS-SFM-CX-1016, Rev 0, 10-Oct-2022</oddFooter>
  </headerFooter>
  <rowBreaks count="3" manualBreakCount="3">
    <brk id="64" max="11" man="1"/>
    <brk id="109" max="11" man="1"/>
    <brk id="148" max="16383"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9a8beaf-1c45-488d-a0c9-23f9e05838b8" xsi:nil="true"/>
    <lcf76f155ced4ddcb4097134ff3c332f xmlns="74e96fc0-e434-4b1c-a91d-4b84a454836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F404AAB815C934AA817DBC68F2D1E22" ma:contentTypeVersion="9" ma:contentTypeDescription="Create a new document." ma:contentTypeScope="" ma:versionID="324fe7fb9e956f02d0fcb4fabde74d51">
  <xsd:schema xmlns:xsd="http://www.w3.org/2001/XMLSchema" xmlns:xs="http://www.w3.org/2001/XMLSchema" xmlns:p="http://schemas.microsoft.com/office/2006/metadata/properties" xmlns:ns2="74e96fc0-e434-4b1c-a91d-4b84a454836a" xmlns:ns3="29a8beaf-1c45-488d-a0c9-23f9e05838b8" targetNamespace="http://schemas.microsoft.com/office/2006/metadata/properties" ma:root="true" ma:fieldsID="4ba9c307dac341115b68fe1b5ab45f88" ns2:_="" ns3:_="">
    <xsd:import namespace="74e96fc0-e434-4b1c-a91d-4b84a454836a"/>
    <xsd:import namespace="29a8beaf-1c45-488d-a0c9-23f9e05838b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e96fc0-e434-4b1c-a91d-4b84a454836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3f060e9-d617-4cff-b04f-a5d89b018e11"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a8beaf-1c45-488d-a0c9-23f9e05838b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fb15def-4353-43b0-ad06-49e297510d85}" ma:internalName="TaxCatchAll" ma:showField="CatchAllData" ma:web="29a8beaf-1c45-488d-a0c9-23f9e05838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5ED2187-3EAA-4D99-ADD3-468925F9B208}">
  <ds:schemaRefs>
    <ds:schemaRef ds:uri="http://schemas.openxmlformats.org/package/2006/metadata/core-properties"/>
    <ds:schemaRef ds:uri="http://purl.org/dc/elements/1.1/"/>
    <ds:schemaRef ds:uri="29a8beaf-1c45-488d-a0c9-23f9e05838b8"/>
    <ds:schemaRef ds:uri="http://purl.org/dc/terms/"/>
    <ds:schemaRef ds:uri="http://purl.org/dc/dcmitype/"/>
    <ds:schemaRef ds:uri="http://schemas.microsoft.com/office/2006/documentManagement/types"/>
    <ds:schemaRef ds:uri="http://www.w3.org/XML/1998/namespace"/>
    <ds:schemaRef ds:uri="http://schemas.microsoft.com/office/2006/metadata/properties"/>
    <ds:schemaRef ds:uri="http://schemas.microsoft.com/office/infopath/2007/PartnerControls"/>
    <ds:schemaRef ds:uri="74e96fc0-e434-4b1c-a91d-4b84a454836a"/>
  </ds:schemaRefs>
</ds:datastoreItem>
</file>

<file path=customXml/itemProps2.xml><?xml version="1.0" encoding="utf-8"?>
<ds:datastoreItem xmlns:ds="http://schemas.openxmlformats.org/officeDocument/2006/customXml" ds:itemID="{A3A42DF4-01FD-491D-8B5D-F13288BD889A}">
  <ds:schemaRefs>
    <ds:schemaRef ds:uri="http://schemas.microsoft.com/sharepoint/v3/contenttype/forms"/>
  </ds:schemaRefs>
</ds:datastoreItem>
</file>

<file path=customXml/itemProps3.xml><?xml version="1.0" encoding="utf-8"?>
<ds:datastoreItem xmlns:ds="http://schemas.openxmlformats.org/officeDocument/2006/customXml" ds:itemID="{76F2BFF3-60DE-4761-AC4F-814A90CEF0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e96fc0-e434-4b1c-a91d-4b84a454836a"/>
    <ds:schemaRef ds:uri="29a8beaf-1c45-488d-a0c9-23f9e05838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17</vt:i4>
      </vt:variant>
    </vt:vector>
  </HeadingPairs>
  <TitlesOfParts>
    <vt:vector size="28" baseType="lpstr">
      <vt:lpstr>Safety</vt:lpstr>
      <vt:lpstr>Field Report</vt:lpstr>
      <vt:lpstr>FCO.RFI</vt:lpstr>
      <vt:lpstr>Cnst Equip</vt:lpstr>
      <vt:lpstr>QAQC</vt:lpstr>
      <vt:lpstr>QTY Progress</vt:lpstr>
      <vt:lpstr>E&amp;H - QTY Plan</vt:lpstr>
      <vt:lpstr>Audubon - QTY Plan</vt:lpstr>
      <vt:lpstr>E&amp;H - Daily Report</vt:lpstr>
      <vt:lpstr>Audubon - Daily Report</vt:lpstr>
      <vt:lpstr>RPS - Daily Report</vt:lpstr>
      <vt:lpstr>'Audubon - Daily Report'!Print_Area</vt:lpstr>
      <vt:lpstr>'Cnst Equip'!Print_Area</vt:lpstr>
      <vt:lpstr>'E&amp;H - Daily Report'!Print_Area</vt:lpstr>
      <vt:lpstr>FCO.RFI!Print_Area</vt:lpstr>
      <vt:lpstr>'Field Report'!Print_Area</vt:lpstr>
      <vt:lpstr>QAQC!Print_Area</vt:lpstr>
      <vt:lpstr>'QTY Progress'!Print_Area</vt:lpstr>
      <vt:lpstr>'RPS - Daily Report'!Print_Area</vt:lpstr>
      <vt:lpstr>Safety!Print_Area</vt:lpstr>
      <vt:lpstr>'Audubon - Daily Report'!Print_Titles</vt:lpstr>
      <vt:lpstr>'Cnst Equip'!Print_Titles</vt:lpstr>
      <vt:lpstr>'E&amp;H - Daily Report'!Print_Titles</vt:lpstr>
      <vt:lpstr>FCO.RFI!Print_Titles</vt:lpstr>
      <vt:lpstr>'Field Report'!Print_Titles</vt:lpstr>
      <vt:lpstr>QAQC!Print_Titles</vt:lpstr>
      <vt:lpstr>'RPS - Daily Report'!Print_Titles</vt:lpstr>
      <vt:lpstr>Safety!Print_Titles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Scott Faler</dc:creator>
  <cp:keywords/>
  <dc:description/>
  <cp:lastModifiedBy>Sandra Lee</cp:lastModifiedBy>
  <cp:revision/>
  <cp:lastPrinted>2026-01-14T23:18:57Z</cp:lastPrinted>
  <dcterms:created xsi:type="dcterms:W3CDTF">2025-11-14T20:22:50Z</dcterms:created>
  <dcterms:modified xsi:type="dcterms:W3CDTF">2026-01-14T23:19:16Z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0x0101002F404AAB815C934AA817DBC68F2D1E22</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