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indredindustrial.sharepoint.com/sites/FERMI_RPS_CONSTRUCTION/Shared Documents/Construction/Progress/Sandra Lee/"/>
    </mc:Choice>
  </mc:AlternateContent>
  <xr:revisionPtr revIDLastSave="2" documentId="8_{F1474B73-389C-439F-9A96-4C58AD1A18C4}" xr6:coauthVersionLast="47" xr6:coauthVersionMax="47" xr10:uidLastSave="{D6AA0514-73CE-418C-BA62-36C628921D12}"/>
  <bookViews>
    <workbookView xWindow="43080" yWindow="4050" windowWidth="38640" windowHeight="21120" xr2:uid="{00000000-000D-0000-FFFF-FFFF00000000}"/>
  </bookViews>
  <sheets>
    <sheet name="Pipe Audit" sheetId="1" r:id="rId1"/>
    <sheet name="By Cost Code" sheetId="2" r:id="rId2"/>
    <sheet name="Model Area " sheetId="5" r:id="rId3"/>
    <sheet name="Weekly Gains" sheetId="32" r:id="rId4"/>
    <sheet name="By Schedule ID" sheetId="33" state="hidden" r:id="rId5"/>
    <sheet name="Supervisor Assingments" sheetId="35" r:id="rId6"/>
    <sheet name="By Pipe Size" sheetId="22" state="hidden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1" hidden="1">'By Cost Code'!$A$4:$R$4</definedName>
    <definedName name="_xlnm._FilterDatabase" localSheetId="6" hidden="1">'By Pipe Size'!$A$2:$W$2</definedName>
    <definedName name="_xlnm._FilterDatabase" localSheetId="4" hidden="1">'By Schedule ID'!$A$2:$V$158</definedName>
    <definedName name="_xlnm._FilterDatabase" localSheetId="2" hidden="1">'Model Area '!$A$2:$AC$32</definedName>
    <definedName name="_xlnm._FilterDatabase" localSheetId="0" hidden="1">'Pipe Audit'!$A$2:$BP$2</definedName>
    <definedName name="_xlnm._FilterDatabase" localSheetId="5" hidden="1">'Supervisor Assingments'!$A$2:$AD$2</definedName>
    <definedName name="Database_Area" localSheetId="3">#REF!</definedName>
    <definedName name="Database_Area">#REF!</definedName>
    <definedName name="OPENED_OR_CLOSED" localSheetId="3">#REF!</definedName>
    <definedName name="OPENED_OR_CLOSED">#REF!</definedName>
    <definedName name="_xlnm.Print_Area" localSheetId="1">'By Cost Code'!$A$1:$L$23</definedName>
    <definedName name="_xlnm.Print_Area" localSheetId="2">'Model Area '!$A$1:$AA$32</definedName>
    <definedName name="_xlnm.Print_Area" localSheetId="0">'Pipe Audit'!$A$1:$BB$82</definedName>
    <definedName name="_xlnm.Print_Titles" localSheetId="4">'By Schedule ID'!$1:$2</definedName>
    <definedName name="_xlnm.Print_Titles" localSheetId="2">'Model Area '!$1:$2</definedName>
    <definedName name="_xlnm.Print_Titles" localSheetId="0">'Pipe Audit'!$1:$2</definedName>
    <definedName name="Z_0E78FBEA_4157_4054_9F35_087DBC933D61_.wvu.FilterData" localSheetId="1" hidden="1">'By Cost Code'!$A$5:$J$23</definedName>
    <definedName name="Z_0E78FBEA_4157_4054_9F35_087DBC933D61_.wvu.PrintArea" localSheetId="1" hidden="1">'By Cost Code'!$A$1:$J$24</definedName>
    <definedName name="Z_5F969C1A_C5D2_43FD_A92E_4F6253B0E58B_.wvu.Cols" localSheetId="1" hidden="1">'By Cost Code'!$D:$D,'By Cost Code'!#REF!</definedName>
    <definedName name="Z_5F969C1A_C5D2_43FD_A92E_4F6253B0E58B_.wvu.Cols" localSheetId="0" hidden="1">'Pipe Audit'!$U:$U,'Pipe Audit'!$Y:$Y,'Pipe Audit'!$AC:$AC,'Pipe Audit'!$AG:$AG,'Pipe Audit'!$AI:$AI,'Pipe Audit'!$AK:$AK,'Pipe Audit'!$AN:$AN,'Pipe Audit'!$AP:$AP,'Pipe Audit'!$AT:$AT,'Pipe Audit'!#REF!</definedName>
    <definedName name="Z_5F969C1A_C5D2_43FD_A92E_4F6253B0E58B_.wvu.FilterData" localSheetId="1" hidden="1">'By Cost Code'!$A$4:$L$4</definedName>
    <definedName name="Z_5F969C1A_C5D2_43FD_A92E_4F6253B0E58B_.wvu.FilterData" localSheetId="2" hidden="1">'Model Area '!$A$2:$AA$31</definedName>
    <definedName name="Z_5F969C1A_C5D2_43FD_A92E_4F6253B0E58B_.wvu.FilterData" localSheetId="0" hidden="1">'Pipe Audit'!$A$3:$BB$82</definedName>
    <definedName name="Z_5F969C1A_C5D2_43FD_A92E_4F6253B0E58B_.wvu.PrintArea" localSheetId="1" hidden="1">'By Cost Code'!$A$1:$L$24</definedName>
    <definedName name="Z_5F969C1A_C5D2_43FD_A92E_4F6253B0E58B_.wvu.PrintArea" localSheetId="2" hidden="1">'Model Area '!$A$1:$AA$32</definedName>
    <definedName name="Z_5F969C1A_C5D2_43FD_A92E_4F6253B0E58B_.wvu.PrintArea" localSheetId="0" hidden="1">'Pipe Audit'!$A$1:$BB$82</definedName>
    <definedName name="Z_5F969C1A_C5D2_43FD_A92E_4F6253B0E58B_.wvu.PrintTitles" localSheetId="2" hidden="1">'Model Area '!$2:$2</definedName>
    <definedName name="Z_5F969C1A_C5D2_43FD_A92E_4F6253B0E58B_.wvu.PrintTitles" localSheetId="0" hidden="1">'Pipe Audit'!$1:$1</definedName>
    <definedName name="Z_5F969C1A_C5D2_43FD_A92E_4F6253B0E58B_.wvu.Rows" localSheetId="2" hidden="1">'Model Area '!#REF!</definedName>
    <definedName name="Z_98419A28_793D_4B42_9207_88A8A1061A9C_.wvu.Cols" localSheetId="2" hidden="1">'Model Area '!$B:$B,'Model Area '!$P:$P,'Model Area '!$Q:$Q,'Model Area '!$T:$T,'Model Area '!#REF!</definedName>
    <definedName name="Z_98419A28_793D_4B42_9207_88A8A1061A9C_.wvu.Cols" localSheetId="0" hidden="1">'Pipe Audit'!$U:$U,'Pipe Audit'!$Y:$Y,'Pipe Audit'!$AC:$AC,'Pipe Audit'!$AG:$AG,'Pipe Audit'!$AI:$AI,'Pipe Audit'!$AK:$AK,'Pipe Audit'!$AN:$AN,'Pipe Audit'!$AP:$AR,'Pipe Audit'!$AW:$BB,'Pipe Audit'!#REF!</definedName>
    <definedName name="Z_98419A28_793D_4B42_9207_88A8A1061A9C_.wvu.FilterData" localSheetId="1" hidden="1">'By Cost Code'!$A$5:$J$23</definedName>
    <definedName name="Z_98419A28_793D_4B42_9207_88A8A1061A9C_.wvu.FilterData" localSheetId="2" hidden="1">'Model Area '!$A$2:$AA$31</definedName>
    <definedName name="Z_98419A28_793D_4B42_9207_88A8A1061A9C_.wvu.FilterData" localSheetId="0" hidden="1">'Pipe Audit'!$A$3:$BB$82</definedName>
    <definedName name="Z_98419A28_793D_4B42_9207_88A8A1061A9C_.wvu.PrintArea" localSheetId="1" hidden="1">'By Cost Code'!$A$1:$J$24</definedName>
    <definedName name="Z_98419A28_793D_4B42_9207_88A8A1061A9C_.wvu.PrintArea" localSheetId="2" hidden="1">'Model Area '!$A$1:$AA$31</definedName>
    <definedName name="Z_98419A28_793D_4B42_9207_88A8A1061A9C_.wvu.PrintArea" localSheetId="0" hidden="1">'Pipe Audit'!#REF!</definedName>
    <definedName name="Z_98419A28_793D_4B42_9207_88A8A1061A9C_.wvu.PrintTitles" localSheetId="2" hidden="1">'Model Area '!$2:$2</definedName>
    <definedName name="Z_98419A28_793D_4B42_9207_88A8A1061A9C_.wvu.PrintTitles" localSheetId="0" hidden="1">'Pipe Audit'!$1:$1</definedName>
    <definedName name="Z_A87A3209_81EA_4CF0_8A86_8439E05D151A_.wvu.Cols" localSheetId="2" hidden="1">'Model Area '!$B:$B,'Model Area '!$P:$P,'Model Area '!$Q:$Q,'Model Area '!$T:$T,'Model Area '!#REF!</definedName>
    <definedName name="Z_A87A3209_81EA_4CF0_8A86_8439E05D151A_.wvu.Cols" localSheetId="0" hidden="1">'Pipe Audit'!$U:$U,'Pipe Audit'!$Y:$Y,'Pipe Audit'!$AC:$AC,'Pipe Audit'!$AG:$AG,'Pipe Audit'!$AI:$AI,'Pipe Audit'!$AK:$AK,'Pipe Audit'!$AN:$AN,'Pipe Audit'!$AP:$AR,'Pipe Audit'!$AW:$BB,'Pipe Audit'!#REF!</definedName>
    <definedName name="Z_A87A3209_81EA_4CF0_8A86_8439E05D151A_.wvu.FilterData" localSheetId="1" hidden="1">'By Cost Code'!$A$5:$J$23</definedName>
    <definedName name="Z_A87A3209_81EA_4CF0_8A86_8439E05D151A_.wvu.FilterData" localSheetId="2" hidden="1">'Model Area '!$A$2:$AA$31</definedName>
    <definedName name="Z_A87A3209_81EA_4CF0_8A86_8439E05D151A_.wvu.FilterData" localSheetId="0" hidden="1">'Pipe Audit'!$A$3:$BB$82</definedName>
    <definedName name="Z_A87A3209_81EA_4CF0_8A86_8439E05D151A_.wvu.PrintArea" localSheetId="1" hidden="1">'By Cost Code'!$A$1:$J$24</definedName>
    <definedName name="Z_A87A3209_81EA_4CF0_8A86_8439E05D151A_.wvu.PrintArea" localSheetId="2" hidden="1">'Model Area '!$A$1:$AA$31</definedName>
    <definedName name="Z_A87A3209_81EA_4CF0_8A86_8439E05D151A_.wvu.PrintArea" localSheetId="0" hidden="1">'Pipe Audit'!#REF!</definedName>
    <definedName name="Z_A87A3209_81EA_4CF0_8A86_8439E05D151A_.wvu.PrintTitles" localSheetId="2" hidden="1">'Model Area '!$2:$2</definedName>
    <definedName name="Z_A87A3209_81EA_4CF0_8A86_8439E05D151A_.wvu.PrintTitles" localSheetId="0" hidden="1">'Pipe Audit'!$1:$1</definedName>
    <definedName name="Z_D05407CA_A4E5_464E_9CB8_5A451EF2790E_.wvu.Cols" localSheetId="1" hidden="1">'By Cost Code'!$D:$D,'By Cost Code'!#REF!</definedName>
    <definedName name="Z_D05407CA_A4E5_464E_9CB8_5A451EF2790E_.wvu.Cols" localSheetId="0" hidden="1">'Pipe Audit'!$C:$C,'Pipe Audit'!$M:$O,'Pipe Audit'!$U:$U,'Pipe Audit'!$Y:$Y,'Pipe Audit'!$AC:$AC,'Pipe Audit'!$AG:$AG,'Pipe Audit'!$AI:$AI,'Pipe Audit'!$AK:$AK,'Pipe Audit'!$AN:$AN,'Pipe Audit'!$AP:$AP,'Pipe Audit'!$AT:$AT,'Pipe Audit'!#REF!,'Pipe Audit'!$AZ:$BB</definedName>
    <definedName name="Z_D05407CA_A4E5_464E_9CB8_5A451EF2790E_.wvu.FilterData" localSheetId="1" hidden="1">'By Cost Code'!$A$4:$L$4</definedName>
    <definedName name="Z_D05407CA_A4E5_464E_9CB8_5A451EF2790E_.wvu.FilterData" localSheetId="2" hidden="1">'Model Area '!$A$2:$AA$31</definedName>
    <definedName name="Z_D05407CA_A4E5_464E_9CB8_5A451EF2790E_.wvu.FilterData" localSheetId="0" hidden="1">'Pipe Audit'!$A$3:$BB$82</definedName>
    <definedName name="Z_D05407CA_A4E5_464E_9CB8_5A451EF2790E_.wvu.PrintArea" localSheetId="1" hidden="1">'By Cost Code'!$A$1:$L$24</definedName>
    <definedName name="Z_D05407CA_A4E5_464E_9CB8_5A451EF2790E_.wvu.PrintArea" localSheetId="2" hidden="1">'Model Area '!$A$1:$AA$32</definedName>
    <definedName name="Z_D05407CA_A4E5_464E_9CB8_5A451EF2790E_.wvu.PrintArea" localSheetId="0" hidden="1">'Pipe Audit'!$A$1:$BB$82</definedName>
    <definedName name="Z_D05407CA_A4E5_464E_9CB8_5A451EF2790E_.wvu.PrintTitles" localSheetId="2" hidden="1">'Model Area '!$2:$2</definedName>
    <definedName name="Z_D05407CA_A4E5_464E_9CB8_5A451EF2790E_.wvu.PrintTitles" localSheetId="0" hidden="1">'Pipe Audit'!$1:$1</definedName>
    <definedName name="Z_D05407CA_A4E5_464E_9CB8_5A451EF2790E_.wvu.Rows" localSheetId="2" hidden="1">'Model Area '!#REF!</definedName>
  </definedNames>
  <calcPr calcId="191029"/>
  <customWorkbookViews>
    <customWorkbookView name="perkinja - Personal View" guid="{D05407CA-A4E5-464E-9CB8-5A451EF2790E}" mergeInterval="0" personalView="1" maximized="1" windowWidth="1600" windowHeight="977" tabRatio="649" activeSheetId="1"/>
    <customWorkbookView name="S&amp;B ENGINEERS AND CONSTRUCTORS, LTD. - Personal View" guid="{5F969C1A-C5D2-43FD-A92E-4F6253B0E58B}" mergeInterval="0" personalView="1" maximized="1" windowWidth="1276" windowHeight="859" tabRatio="649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82" i="1" l="1"/>
  <c r="O82" i="1" s="1"/>
  <c r="P3" i="1"/>
  <c r="O3" i="1" s="1"/>
  <c r="P4" i="1"/>
  <c r="O4" i="1" s="1"/>
  <c r="P5" i="1"/>
  <c r="O5" i="1" s="1"/>
  <c r="P6" i="1"/>
  <c r="O6" i="1" s="1"/>
  <c r="P7" i="1"/>
  <c r="O7" i="1" s="1"/>
  <c r="P8" i="1"/>
  <c r="O8" i="1" s="1"/>
  <c r="P9" i="1"/>
  <c r="O9" i="1" s="1"/>
  <c r="P10" i="1"/>
  <c r="O10" i="1" s="1"/>
  <c r="P11" i="1"/>
  <c r="O11" i="1" s="1"/>
  <c r="P12" i="1"/>
  <c r="O12" i="1" s="1"/>
  <c r="P13" i="1"/>
  <c r="O13" i="1" s="1"/>
  <c r="P14" i="1"/>
  <c r="O14" i="1" s="1"/>
  <c r="P15" i="1"/>
  <c r="O15" i="1" s="1"/>
  <c r="P16" i="1"/>
  <c r="O16" i="1" s="1"/>
  <c r="P17" i="1"/>
  <c r="O17" i="1" s="1"/>
  <c r="P18" i="1"/>
  <c r="O18" i="1" s="1"/>
  <c r="P19" i="1"/>
  <c r="O19" i="1" s="1"/>
  <c r="P20" i="1"/>
  <c r="O20" i="1" s="1"/>
  <c r="P21" i="1"/>
  <c r="O21" i="1" s="1"/>
  <c r="P22" i="1"/>
  <c r="O22" i="1" s="1"/>
  <c r="P23" i="1"/>
  <c r="O23" i="1" s="1"/>
  <c r="P24" i="1"/>
  <c r="O24" i="1" s="1"/>
  <c r="P25" i="1"/>
  <c r="O25" i="1" s="1"/>
  <c r="P26" i="1"/>
  <c r="O26" i="1" s="1"/>
  <c r="P27" i="1"/>
  <c r="O27" i="1" s="1"/>
  <c r="P28" i="1"/>
  <c r="O28" i="1" s="1"/>
  <c r="P29" i="1"/>
  <c r="O29" i="1" s="1"/>
  <c r="P30" i="1"/>
  <c r="O30" i="1" s="1"/>
  <c r="P31" i="1"/>
  <c r="O31" i="1" s="1"/>
  <c r="P32" i="1"/>
  <c r="O32" i="1" s="1"/>
  <c r="P33" i="1"/>
  <c r="O33" i="1" s="1"/>
  <c r="O34" i="1"/>
  <c r="P34" i="1"/>
  <c r="P35" i="1"/>
  <c r="O35" i="1" s="1"/>
  <c r="P36" i="1"/>
  <c r="O36" i="1" s="1"/>
  <c r="P37" i="1"/>
  <c r="O37" i="1" s="1"/>
  <c r="P38" i="1"/>
  <c r="O38" i="1" s="1"/>
  <c r="P39" i="1"/>
  <c r="O39" i="1" s="1"/>
  <c r="P40" i="1"/>
  <c r="O40" i="1" s="1"/>
  <c r="P41" i="1"/>
  <c r="O41" i="1" s="1"/>
  <c r="P42" i="1"/>
  <c r="O42" i="1" s="1"/>
  <c r="P43" i="1"/>
  <c r="O43" i="1" s="1"/>
  <c r="P44" i="1"/>
  <c r="O44" i="1" s="1"/>
  <c r="P45" i="1"/>
  <c r="O45" i="1" s="1"/>
  <c r="P46" i="1"/>
  <c r="O46" i="1" s="1"/>
  <c r="P47" i="1"/>
  <c r="O47" i="1" s="1"/>
  <c r="P48" i="1"/>
  <c r="O48" i="1" s="1"/>
  <c r="P49" i="1"/>
  <c r="O49" i="1" s="1"/>
  <c r="P50" i="1"/>
  <c r="O50" i="1" s="1"/>
  <c r="P51" i="1"/>
  <c r="O51" i="1" s="1"/>
  <c r="P52" i="1"/>
  <c r="O52" i="1" s="1"/>
  <c r="P53" i="1"/>
  <c r="O53" i="1" s="1"/>
  <c r="P54" i="1"/>
  <c r="O54" i="1" s="1"/>
  <c r="P55" i="1"/>
  <c r="O55" i="1" s="1"/>
  <c r="P56" i="1"/>
  <c r="O56" i="1" s="1"/>
  <c r="P57" i="1"/>
  <c r="O57" i="1" s="1"/>
  <c r="P58" i="1"/>
  <c r="O58" i="1" s="1"/>
  <c r="P59" i="1"/>
  <c r="O59" i="1" s="1"/>
  <c r="P60" i="1"/>
  <c r="O60" i="1" s="1"/>
  <c r="P61" i="1"/>
  <c r="O61" i="1" s="1"/>
  <c r="P62" i="1"/>
  <c r="O62" i="1" s="1"/>
  <c r="P63" i="1"/>
  <c r="O63" i="1" s="1"/>
  <c r="P64" i="1"/>
  <c r="O64" i="1" s="1"/>
  <c r="P65" i="1"/>
  <c r="O65" i="1" s="1"/>
  <c r="P66" i="1"/>
  <c r="O66" i="1" s="1"/>
  <c r="P67" i="1"/>
  <c r="O67" i="1" s="1"/>
  <c r="P68" i="1"/>
  <c r="O68" i="1" s="1"/>
  <c r="P69" i="1"/>
  <c r="O69" i="1" s="1"/>
  <c r="P70" i="1"/>
  <c r="O70" i="1" s="1"/>
  <c r="P71" i="1"/>
  <c r="O71" i="1" s="1"/>
  <c r="P72" i="1"/>
  <c r="O72" i="1" s="1"/>
  <c r="P73" i="1"/>
  <c r="O73" i="1" s="1"/>
  <c r="P74" i="1"/>
  <c r="O74" i="1" s="1"/>
  <c r="P75" i="1"/>
  <c r="O75" i="1" s="1"/>
  <c r="P76" i="1"/>
  <c r="O76" i="1" s="1"/>
  <c r="P77" i="1"/>
  <c r="O77" i="1" s="1"/>
  <c r="P78" i="1"/>
  <c r="O78" i="1" s="1"/>
  <c r="P79" i="1"/>
  <c r="O79" i="1" s="1"/>
  <c r="P80" i="1"/>
  <c r="O80" i="1" s="1"/>
  <c r="P81" i="1"/>
  <c r="O81" i="1" s="1"/>
  <c r="BD3" i="1"/>
  <c r="BE3" i="1"/>
  <c r="BG3" i="1"/>
  <c r="BH3" i="1"/>
  <c r="BI3" i="1"/>
  <c r="BL3" i="1"/>
  <c r="BN3" i="1"/>
  <c r="BO3" i="1"/>
  <c r="BD4" i="1"/>
  <c r="BE4" i="1"/>
  <c r="BG4" i="1"/>
  <c r="BH4" i="1"/>
  <c r="BI4" i="1"/>
  <c r="BL4" i="1"/>
  <c r="BN4" i="1"/>
  <c r="BO4" i="1"/>
  <c r="BD5" i="1"/>
  <c r="BE5" i="1"/>
  <c r="BG5" i="1"/>
  <c r="BH5" i="1"/>
  <c r="BI5" i="1"/>
  <c r="BL5" i="1"/>
  <c r="BN5" i="1"/>
  <c r="BO5" i="1"/>
  <c r="BD6" i="1"/>
  <c r="BE6" i="1"/>
  <c r="BG6" i="1"/>
  <c r="BH6" i="1"/>
  <c r="BI6" i="1"/>
  <c r="BL6" i="1"/>
  <c r="BN6" i="1"/>
  <c r="BO6" i="1"/>
  <c r="BD7" i="1"/>
  <c r="BE7" i="1"/>
  <c r="BG7" i="1"/>
  <c r="BH7" i="1"/>
  <c r="BI7" i="1"/>
  <c r="BL7" i="1"/>
  <c r="BN7" i="1"/>
  <c r="BO7" i="1"/>
  <c r="BD8" i="1"/>
  <c r="BE8" i="1"/>
  <c r="BG8" i="1"/>
  <c r="BH8" i="1"/>
  <c r="BI8" i="1"/>
  <c r="BL8" i="1"/>
  <c r="BN8" i="1"/>
  <c r="BO8" i="1"/>
  <c r="BD9" i="1"/>
  <c r="BE9" i="1"/>
  <c r="BG9" i="1"/>
  <c r="BH9" i="1"/>
  <c r="BI9" i="1"/>
  <c r="BL9" i="1"/>
  <c r="BN9" i="1"/>
  <c r="BO9" i="1"/>
  <c r="BD10" i="1"/>
  <c r="BE10" i="1"/>
  <c r="BG10" i="1"/>
  <c r="BH10" i="1"/>
  <c r="BI10" i="1"/>
  <c r="BL10" i="1"/>
  <c r="BN10" i="1"/>
  <c r="BO10" i="1"/>
  <c r="BD11" i="1"/>
  <c r="BE11" i="1"/>
  <c r="BG11" i="1"/>
  <c r="BH11" i="1"/>
  <c r="BI11" i="1"/>
  <c r="BL11" i="1"/>
  <c r="BN11" i="1"/>
  <c r="BO11" i="1"/>
  <c r="BD12" i="1"/>
  <c r="BE12" i="1"/>
  <c r="BG12" i="1"/>
  <c r="BH12" i="1"/>
  <c r="BI12" i="1"/>
  <c r="BL12" i="1"/>
  <c r="BN12" i="1"/>
  <c r="BO12" i="1"/>
  <c r="BD13" i="1"/>
  <c r="BE13" i="1"/>
  <c r="BG13" i="1"/>
  <c r="BH13" i="1"/>
  <c r="BI13" i="1"/>
  <c r="BL13" i="1"/>
  <c r="BN13" i="1"/>
  <c r="BO13" i="1"/>
  <c r="BD14" i="1"/>
  <c r="BE14" i="1"/>
  <c r="BG14" i="1"/>
  <c r="BH14" i="1"/>
  <c r="BI14" i="1"/>
  <c r="BL14" i="1"/>
  <c r="BN14" i="1"/>
  <c r="BO14" i="1"/>
  <c r="BD15" i="1"/>
  <c r="BE15" i="1"/>
  <c r="BG15" i="1"/>
  <c r="BH15" i="1"/>
  <c r="BI15" i="1"/>
  <c r="BL15" i="1"/>
  <c r="BN15" i="1"/>
  <c r="BO15" i="1"/>
  <c r="BD16" i="1"/>
  <c r="BE16" i="1"/>
  <c r="BG16" i="1"/>
  <c r="BH16" i="1"/>
  <c r="BI16" i="1"/>
  <c r="BL16" i="1"/>
  <c r="BN16" i="1"/>
  <c r="BO16" i="1"/>
  <c r="BD17" i="1"/>
  <c r="BE17" i="1"/>
  <c r="BG17" i="1"/>
  <c r="BH17" i="1"/>
  <c r="BI17" i="1"/>
  <c r="BL17" i="1"/>
  <c r="BN17" i="1"/>
  <c r="BO17" i="1"/>
  <c r="BD18" i="1"/>
  <c r="BE18" i="1"/>
  <c r="BG18" i="1"/>
  <c r="BH18" i="1"/>
  <c r="BI18" i="1"/>
  <c r="BL18" i="1"/>
  <c r="BN18" i="1"/>
  <c r="BO18" i="1"/>
  <c r="BD19" i="1"/>
  <c r="BE19" i="1"/>
  <c r="BG19" i="1"/>
  <c r="BH19" i="1"/>
  <c r="BI19" i="1"/>
  <c r="BL19" i="1"/>
  <c r="BN19" i="1"/>
  <c r="BO19" i="1"/>
  <c r="BD20" i="1"/>
  <c r="BE20" i="1"/>
  <c r="BG20" i="1"/>
  <c r="BH20" i="1"/>
  <c r="BI20" i="1"/>
  <c r="BL20" i="1"/>
  <c r="BN20" i="1"/>
  <c r="BO20" i="1"/>
  <c r="BD21" i="1"/>
  <c r="BE21" i="1"/>
  <c r="BG21" i="1"/>
  <c r="BH21" i="1"/>
  <c r="BI21" i="1"/>
  <c r="BL21" i="1"/>
  <c r="BN21" i="1"/>
  <c r="BO21" i="1"/>
  <c r="BD22" i="1"/>
  <c r="BE22" i="1"/>
  <c r="BG22" i="1"/>
  <c r="BH22" i="1"/>
  <c r="BI22" i="1"/>
  <c r="BL22" i="1"/>
  <c r="BN22" i="1"/>
  <c r="BO22" i="1"/>
  <c r="BD23" i="1"/>
  <c r="BE23" i="1"/>
  <c r="BG23" i="1"/>
  <c r="BH23" i="1"/>
  <c r="BI23" i="1"/>
  <c r="BL23" i="1"/>
  <c r="BN23" i="1"/>
  <c r="BO23" i="1"/>
  <c r="BD24" i="1"/>
  <c r="BE24" i="1"/>
  <c r="BG24" i="1"/>
  <c r="BH24" i="1"/>
  <c r="BI24" i="1"/>
  <c r="BL24" i="1"/>
  <c r="BN24" i="1"/>
  <c r="BO24" i="1"/>
  <c r="BD25" i="1"/>
  <c r="BE25" i="1"/>
  <c r="BG25" i="1"/>
  <c r="BH25" i="1"/>
  <c r="BI25" i="1"/>
  <c r="BL25" i="1"/>
  <c r="BN25" i="1"/>
  <c r="BO25" i="1"/>
  <c r="BD26" i="1"/>
  <c r="BE26" i="1"/>
  <c r="BG26" i="1"/>
  <c r="BH26" i="1"/>
  <c r="BI26" i="1"/>
  <c r="BL26" i="1"/>
  <c r="BN26" i="1"/>
  <c r="BO26" i="1"/>
  <c r="BD27" i="1"/>
  <c r="BE27" i="1"/>
  <c r="BG27" i="1"/>
  <c r="BH27" i="1"/>
  <c r="BI27" i="1"/>
  <c r="BL27" i="1"/>
  <c r="BN27" i="1"/>
  <c r="BO27" i="1"/>
  <c r="BD28" i="1"/>
  <c r="BE28" i="1"/>
  <c r="BG28" i="1"/>
  <c r="BH28" i="1"/>
  <c r="BI28" i="1"/>
  <c r="BL28" i="1"/>
  <c r="BN28" i="1"/>
  <c r="BO28" i="1"/>
  <c r="BD29" i="1"/>
  <c r="BE29" i="1"/>
  <c r="BG29" i="1"/>
  <c r="BH29" i="1"/>
  <c r="BI29" i="1"/>
  <c r="BL29" i="1"/>
  <c r="BN29" i="1"/>
  <c r="BO29" i="1"/>
  <c r="BD30" i="1"/>
  <c r="BE30" i="1"/>
  <c r="BG30" i="1"/>
  <c r="BH30" i="1"/>
  <c r="BI30" i="1"/>
  <c r="BL30" i="1"/>
  <c r="BN30" i="1"/>
  <c r="BO30" i="1"/>
  <c r="BD31" i="1"/>
  <c r="BE31" i="1"/>
  <c r="BG31" i="1"/>
  <c r="BH31" i="1"/>
  <c r="BI31" i="1"/>
  <c r="BL31" i="1"/>
  <c r="BN31" i="1"/>
  <c r="BO31" i="1"/>
  <c r="BD32" i="1"/>
  <c r="BE32" i="1"/>
  <c r="BG32" i="1"/>
  <c r="BH32" i="1"/>
  <c r="BI32" i="1"/>
  <c r="BL32" i="1"/>
  <c r="BN32" i="1"/>
  <c r="BO32" i="1"/>
  <c r="BD33" i="1"/>
  <c r="BE33" i="1"/>
  <c r="BG33" i="1"/>
  <c r="BH33" i="1"/>
  <c r="BI33" i="1"/>
  <c r="BL33" i="1"/>
  <c r="BN33" i="1"/>
  <c r="BO33" i="1"/>
  <c r="BD34" i="1"/>
  <c r="BE34" i="1"/>
  <c r="BG34" i="1"/>
  <c r="BH34" i="1"/>
  <c r="BI34" i="1"/>
  <c r="BL34" i="1"/>
  <c r="BN34" i="1"/>
  <c r="BO34" i="1"/>
  <c r="BD35" i="1"/>
  <c r="BE35" i="1"/>
  <c r="BG35" i="1"/>
  <c r="BH35" i="1"/>
  <c r="BI35" i="1"/>
  <c r="BL35" i="1"/>
  <c r="BN35" i="1"/>
  <c r="BO35" i="1"/>
  <c r="BD36" i="1"/>
  <c r="BE36" i="1"/>
  <c r="BG36" i="1"/>
  <c r="BH36" i="1"/>
  <c r="BI36" i="1"/>
  <c r="BL36" i="1"/>
  <c r="BN36" i="1"/>
  <c r="BO36" i="1"/>
  <c r="BD37" i="1"/>
  <c r="BE37" i="1"/>
  <c r="BG37" i="1"/>
  <c r="BH37" i="1"/>
  <c r="BI37" i="1"/>
  <c r="BL37" i="1"/>
  <c r="BN37" i="1"/>
  <c r="BO37" i="1"/>
  <c r="BD38" i="1"/>
  <c r="BE38" i="1"/>
  <c r="BG38" i="1"/>
  <c r="BH38" i="1"/>
  <c r="BI38" i="1"/>
  <c r="BL38" i="1"/>
  <c r="BN38" i="1"/>
  <c r="BO38" i="1"/>
  <c r="BD39" i="1"/>
  <c r="BE39" i="1"/>
  <c r="BG39" i="1"/>
  <c r="BH39" i="1"/>
  <c r="BI39" i="1"/>
  <c r="BL39" i="1"/>
  <c r="BN39" i="1"/>
  <c r="BO39" i="1"/>
  <c r="BD40" i="1"/>
  <c r="BE40" i="1"/>
  <c r="BG40" i="1"/>
  <c r="BH40" i="1"/>
  <c r="BI40" i="1"/>
  <c r="BL40" i="1"/>
  <c r="BN40" i="1"/>
  <c r="BO40" i="1"/>
  <c r="BD41" i="1"/>
  <c r="BE41" i="1"/>
  <c r="BG41" i="1"/>
  <c r="BH41" i="1"/>
  <c r="BI41" i="1"/>
  <c r="BL41" i="1"/>
  <c r="BN41" i="1"/>
  <c r="BO41" i="1"/>
  <c r="BD42" i="1"/>
  <c r="BE42" i="1"/>
  <c r="BG42" i="1"/>
  <c r="BH42" i="1"/>
  <c r="BI42" i="1"/>
  <c r="BL42" i="1"/>
  <c r="BN42" i="1"/>
  <c r="BO42" i="1"/>
  <c r="BD43" i="1"/>
  <c r="BE43" i="1"/>
  <c r="BG43" i="1"/>
  <c r="BH43" i="1"/>
  <c r="BI43" i="1"/>
  <c r="BL43" i="1"/>
  <c r="BN43" i="1"/>
  <c r="BO43" i="1"/>
  <c r="BD44" i="1"/>
  <c r="BE44" i="1"/>
  <c r="BG44" i="1"/>
  <c r="BH44" i="1"/>
  <c r="BI44" i="1"/>
  <c r="BL44" i="1"/>
  <c r="BN44" i="1"/>
  <c r="BO44" i="1"/>
  <c r="BD45" i="1"/>
  <c r="BE45" i="1"/>
  <c r="BG45" i="1"/>
  <c r="BH45" i="1"/>
  <c r="BI45" i="1"/>
  <c r="BL45" i="1"/>
  <c r="BN45" i="1"/>
  <c r="BO45" i="1"/>
  <c r="BD46" i="1"/>
  <c r="BE46" i="1"/>
  <c r="BG46" i="1"/>
  <c r="BH46" i="1"/>
  <c r="BI46" i="1"/>
  <c r="BL46" i="1"/>
  <c r="BN46" i="1"/>
  <c r="BO46" i="1"/>
  <c r="BD47" i="1"/>
  <c r="BE47" i="1"/>
  <c r="BG47" i="1"/>
  <c r="BH47" i="1"/>
  <c r="BI47" i="1"/>
  <c r="BL47" i="1"/>
  <c r="BN47" i="1"/>
  <c r="BO47" i="1"/>
  <c r="BD48" i="1"/>
  <c r="BE48" i="1"/>
  <c r="BG48" i="1"/>
  <c r="BH48" i="1"/>
  <c r="BI48" i="1"/>
  <c r="BL48" i="1"/>
  <c r="BN48" i="1"/>
  <c r="BO48" i="1"/>
  <c r="BD49" i="1"/>
  <c r="BE49" i="1"/>
  <c r="BG49" i="1"/>
  <c r="BH49" i="1"/>
  <c r="BI49" i="1"/>
  <c r="BL49" i="1"/>
  <c r="BN49" i="1"/>
  <c r="BO49" i="1"/>
  <c r="BD50" i="1"/>
  <c r="BE50" i="1"/>
  <c r="BG50" i="1"/>
  <c r="BH50" i="1"/>
  <c r="BI50" i="1"/>
  <c r="BL50" i="1"/>
  <c r="BN50" i="1"/>
  <c r="BO50" i="1"/>
  <c r="BD51" i="1"/>
  <c r="BE51" i="1"/>
  <c r="BG51" i="1"/>
  <c r="BH51" i="1"/>
  <c r="BI51" i="1"/>
  <c r="BL51" i="1"/>
  <c r="BN51" i="1"/>
  <c r="BO51" i="1"/>
  <c r="BD52" i="1"/>
  <c r="BE52" i="1"/>
  <c r="BG52" i="1"/>
  <c r="BH52" i="1"/>
  <c r="BI52" i="1"/>
  <c r="BL52" i="1"/>
  <c r="BN52" i="1"/>
  <c r="BO52" i="1"/>
  <c r="BD53" i="1"/>
  <c r="BE53" i="1"/>
  <c r="BG53" i="1"/>
  <c r="BH53" i="1"/>
  <c r="BI53" i="1"/>
  <c r="BL53" i="1"/>
  <c r="BN53" i="1"/>
  <c r="BO53" i="1"/>
  <c r="BD54" i="1"/>
  <c r="BE54" i="1"/>
  <c r="BG54" i="1"/>
  <c r="BH54" i="1"/>
  <c r="BI54" i="1"/>
  <c r="BL54" i="1"/>
  <c r="BN54" i="1"/>
  <c r="BO54" i="1"/>
  <c r="BD55" i="1"/>
  <c r="BE55" i="1"/>
  <c r="BG55" i="1"/>
  <c r="BH55" i="1"/>
  <c r="BI55" i="1"/>
  <c r="BL55" i="1"/>
  <c r="BN55" i="1"/>
  <c r="BO55" i="1"/>
  <c r="BD56" i="1"/>
  <c r="BE56" i="1"/>
  <c r="BG56" i="1"/>
  <c r="BH56" i="1"/>
  <c r="BI56" i="1"/>
  <c r="BL56" i="1"/>
  <c r="BN56" i="1"/>
  <c r="BO56" i="1"/>
  <c r="BD57" i="1"/>
  <c r="BE57" i="1"/>
  <c r="BG57" i="1"/>
  <c r="BH57" i="1"/>
  <c r="BI57" i="1"/>
  <c r="BL57" i="1"/>
  <c r="BN57" i="1"/>
  <c r="BO57" i="1"/>
  <c r="BD58" i="1"/>
  <c r="BE58" i="1"/>
  <c r="BG58" i="1"/>
  <c r="BH58" i="1"/>
  <c r="BI58" i="1"/>
  <c r="BL58" i="1"/>
  <c r="BN58" i="1"/>
  <c r="BO58" i="1"/>
  <c r="BD59" i="1"/>
  <c r="BE59" i="1"/>
  <c r="BG59" i="1"/>
  <c r="BH59" i="1"/>
  <c r="BI59" i="1"/>
  <c r="BL59" i="1"/>
  <c r="BN59" i="1"/>
  <c r="BO59" i="1"/>
  <c r="BD60" i="1"/>
  <c r="BE60" i="1"/>
  <c r="BG60" i="1"/>
  <c r="BH60" i="1"/>
  <c r="BI60" i="1"/>
  <c r="BL60" i="1"/>
  <c r="BN60" i="1"/>
  <c r="BO60" i="1"/>
  <c r="BD61" i="1"/>
  <c r="BE61" i="1"/>
  <c r="BG61" i="1"/>
  <c r="BH61" i="1"/>
  <c r="BI61" i="1"/>
  <c r="BL61" i="1"/>
  <c r="BN61" i="1"/>
  <c r="BO61" i="1"/>
  <c r="BD62" i="1"/>
  <c r="BE62" i="1"/>
  <c r="BG62" i="1"/>
  <c r="BH62" i="1"/>
  <c r="BI62" i="1"/>
  <c r="BL62" i="1"/>
  <c r="BN62" i="1"/>
  <c r="BO62" i="1"/>
  <c r="BD63" i="1"/>
  <c r="BE63" i="1"/>
  <c r="BG63" i="1"/>
  <c r="BH63" i="1"/>
  <c r="BI63" i="1"/>
  <c r="BL63" i="1"/>
  <c r="BN63" i="1"/>
  <c r="BO63" i="1"/>
  <c r="BD64" i="1"/>
  <c r="BE64" i="1"/>
  <c r="BG64" i="1"/>
  <c r="BH64" i="1"/>
  <c r="BI64" i="1"/>
  <c r="BL64" i="1"/>
  <c r="BN64" i="1"/>
  <c r="BO64" i="1"/>
  <c r="BD65" i="1"/>
  <c r="BE65" i="1"/>
  <c r="BG65" i="1"/>
  <c r="BH65" i="1"/>
  <c r="BI65" i="1"/>
  <c r="BL65" i="1"/>
  <c r="BN65" i="1"/>
  <c r="BO65" i="1"/>
  <c r="BD66" i="1"/>
  <c r="BE66" i="1"/>
  <c r="BG66" i="1"/>
  <c r="BH66" i="1"/>
  <c r="BI66" i="1"/>
  <c r="BL66" i="1"/>
  <c r="BN66" i="1"/>
  <c r="BO66" i="1"/>
  <c r="BD67" i="1"/>
  <c r="BE67" i="1"/>
  <c r="BG67" i="1"/>
  <c r="BH67" i="1"/>
  <c r="BI67" i="1"/>
  <c r="BL67" i="1"/>
  <c r="BN67" i="1"/>
  <c r="BO67" i="1"/>
  <c r="BD68" i="1"/>
  <c r="BE68" i="1"/>
  <c r="BG68" i="1"/>
  <c r="BH68" i="1"/>
  <c r="BI68" i="1"/>
  <c r="BL68" i="1"/>
  <c r="BN68" i="1"/>
  <c r="BO68" i="1"/>
  <c r="BD69" i="1"/>
  <c r="BE69" i="1"/>
  <c r="BG69" i="1"/>
  <c r="BH69" i="1"/>
  <c r="BI69" i="1"/>
  <c r="BL69" i="1"/>
  <c r="BN69" i="1"/>
  <c r="BO69" i="1"/>
  <c r="BD70" i="1"/>
  <c r="BE70" i="1"/>
  <c r="BG70" i="1"/>
  <c r="BH70" i="1"/>
  <c r="BI70" i="1"/>
  <c r="BL70" i="1"/>
  <c r="BN70" i="1"/>
  <c r="BO70" i="1"/>
  <c r="BD71" i="1"/>
  <c r="BE71" i="1"/>
  <c r="BG71" i="1"/>
  <c r="BH71" i="1"/>
  <c r="BI71" i="1"/>
  <c r="BL71" i="1"/>
  <c r="BN71" i="1"/>
  <c r="BO71" i="1"/>
  <c r="BD72" i="1"/>
  <c r="BE72" i="1"/>
  <c r="BG72" i="1"/>
  <c r="BH72" i="1"/>
  <c r="BI72" i="1"/>
  <c r="BL72" i="1"/>
  <c r="BN72" i="1"/>
  <c r="BO72" i="1"/>
  <c r="BD73" i="1"/>
  <c r="BE73" i="1"/>
  <c r="BG73" i="1"/>
  <c r="BH73" i="1"/>
  <c r="BI73" i="1"/>
  <c r="BL73" i="1"/>
  <c r="BN73" i="1"/>
  <c r="BO73" i="1"/>
  <c r="BD74" i="1"/>
  <c r="BE74" i="1"/>
  <c r="BG74" i="1"/>
  <c r="BH74" i="1"/>
  <c r="BI74" i="1"/>
  <c r="BL74" i="1"/>
  <c r="BN74" i="1"/>
  <c r="BO74" i="1"/>
  <c r="BD75" i="1"/>
  <c r="BE75" i="1"/>
  <c r="BG75" i="1"/>
  <c r="BH75" i="1"/>
  <c r="BI75" i="1"/>
  <c r="BL75" i="1"/>
  <c r="BN75" i="1"/>
  <c r="BO75" i="1"/>
  <c r="BD76" i="1"/>
  <c r="BE76" i="1"/>
  <c r="BG76" i="1"/>
  <c r="BH76" i="1"/>
  <c r="BI76" i="1"/>
  <c r="BL76" i="1"/>
  <c r="BN76" i="1"/>
  <c r="BO76" i="1"/>
  <c r="BD77" i="1"/>
  <c r="BE77" i="1"/>
  <c r="BG77" i="1"/>
  <c r="BH77" i="1"/>
  <c r="BI77" i="1"/>
  <c r="BL77" i="1"/>
  <c r="BN77" i="1"/>
  <c r="BO77" i="1"/>
  <c r="BD78" i="1"/>
  <c r="BE78" i="1"/>
  <c r="BG78" i="1"/>
  <c r="BH78" i="1"/>
  <c r="BI78" i="1"/>
  <c r="BL78" i="1"/>
  <c r="BN78" i="1"/>
  <c r="BO78" i="1"/>
  <c r="BD79" i="1"/>
  <c r="BE79" i="1"/>
  <c r="BG79" i="1"/>
  <c r="BH79" i="1"/>
  <c r="BI79" i="1"/>
  <c r="BL79" i="1"/>
  <c r="BN79" i="1"/>
  <c r="BO79" i="1"/>
  <c r="BD80" i="1"/>
  <c r="BE80" i="1"/>
  <c r="BG80" i="1"/>
  <c r="BH80" i="1"/>
  <c r="BI80" i="1"/>
  <c r="BL80" i="1"/>
  <c r="BN80" i="1"/>
  <c r="BO80" i="1"/>
  <c r="BD81" i="1"/>
  <c r="BE81" i="1"/>
  <c r="BG81" i="1"/>
  <c r="BH81" i="1"/>
  <c r="BI81" i="1"/>
  <c r="BL81" i="1"/>
  <c r="BN81" i="1"/>
  <c r="BO81" i="1"/>
  <c r="BD82" i="1"/>
  <c r="BE82" i="1"/>
  <c r="BG82" i="1"/>
  <c r="BH82" i="1"/>
  <c r="BI82" i="1"/>
  <c r="BL82" i="1"/>
  <c r="BN82" i="1"/>
  <c r="BO82" i="1"/>
  <c r="BP82" i="1" l="1"/>
  <c r="BP80" i="1"/>
  <c r="BP74" i="1"/>
  <c r="BP67" i="1"/>
  <c r="BJ43" i="1"/>
  <c r="BJ40" i="1"/>
  <c r="BJ41" i="1"/>
  <c r="BF61" i="1"/>
  <c r="BM56" i="1"/>
  <c r="BM50" i="1"/>
  <c r="BM48" i="1"/>
  <c r="BM44" i="1"/>
  <c r="BF41" i="1"/>
  <c r="BM32" i="1"/>
  <c r="BM29" i="1"/>
  <c r="BP73" i="1"/>
  <c r="BF28" i="1"/>
  <c r="BM26" i="1"/>
  <c r="BM61" i="1"/>
  <c r="BJ39" i="1"/>
  <c r="BJ33" i="1"/>
  <c r="BJ20" i="1"/>
  <c r="BF73" i="1"/>
  <c r="BF65" i="1"/>
  <c r="BM64" i="1"/>
  <c r="BF37" i="1"/>
  <c r="BF20" i="1"/>
  <c r="BF13" i="1"/>
  <c r="BP50" i="1"/>
  <c r="BP10" i="1"/>
  <c r="BJ80" i="1"/>
  <c r="BJ72" i="1"/>
  <c r="BP35" i="1"/>
  <c r="BP30" i="1"/>
  <c r="BP26" i="1"/>
  <c r="BP24" i="1"/>
  <c r="BP18" i="1"/>
  <c r="BP17" i="1"/>
  <c r="BP14" i="1"/>
  <c r="BP13" i="1"/>
  <c r="BK59" i="1"/>
  <c r="BK56" i="1"/>
  <c r="BK8" i="1"/>
  <c r="BK3" i="1"/>
  <c r="BP62" i="1"/>
  <c r="BF52" i="1"/>
  <c r="BM8" i="1"/>
  <c r="BM36" i="1"/>
  <c r="BP49" i="1"/>
  <c r="BP40" i="1"/>
  <c r="BP38" i="1"/>
  <c r="BP37" i="1"/>
  <c r="BJ73" i="1"/>
  <c r="BJ68" i="1"/>
  <c r="BM43" i="1"/>
  <c r="BM37" i="1"/>
  <c r="BF36" i="1"/>
  <c r="BJ28" i="1"/>
  <c r="BJ25" i="1"/>
  <c r="BJ24" i="1"/>
  <c r="BP6" i="1"/>
  <c r="BP4" i="1"/>
  <c r="BM82" i="1"/>
  <c r="BK80" i="1"/>
  <c r="BK78" i="1"/>
  <c r="BK76" i="1"/>
  <c r="BK75" i="1"/>
  <c r="BK68" i="1"/>
  <c r="BP51" i="1"/>
  <c r="BP47" i="1"/>
  <c r="BP43" i="1"/>
  <c r="BM34" i="1"/>
  <c r="BF80" i="1"/>
  <c r="BF77" i="1"/>
  <c r="BJ60" i="1"/>
  <c r="BJ57" i="1"/>
  <c r="BJ56" i="1"/>
  <c r="BM33" i="1"/>
  <c r="BF29" i="1"/>
  <c r="BJ9" i="1"/>
  <c r="BJ8" i="1"/>
  <c r="BJ7" i="1"/>
  <c r="BJ6" i="1"/>
  <c r="BJ4" i="1"/>
  <c r="BP63" i="1"/>
  <c r="BP61" i="1"/>
  <c r="BM60" i="1"/>
  <c r="BF58" i="1"/>
  <c r="BM52" i="1"/>
  <c r="BK43" i="1"/>
  <c r="BF68" i="1"/>
  <c r="BM68" i="1"/>
  <c r="BF21" i="1"/>
  <c r="BM21" i="1"/>
  <c r="BM58" i="1"/>
  <c r="BJ36" i="1"/>
  <c r="BK36" i="1"/>
  <c r="BJ81" i="1"/>
  <c r="BP70" i="1"/>
  <c r="BP69" i="1"/>
  <c r="BK62" i="1"/>
  <c r="BP58" i="1"/>
  <c r="BP46" i="1"/>
  <c r="BP45" i="1"/>
  <c r="BP44" i="1"/>
  <c r="BM40" i="1"/>
  <c r="BM39" i="1"/>
  <c r="BP33" i="1"/>
  <c r="BM31" i="1"/>
  <c r="BP21" i="1"/>
  <c r="BM20" i="1"/>
  <c r="BK17" i="1"/>
  <c r="BJ79" i="1"/>
  <c r="BJ76" i="1"/>
  <c r="BF64" i="1"/>
  <c r="BF56" i="1"/>
  <c r="BM55" i="1"/>
  <c r="BJ49" i="1"/>
  <c r="BJ48" i="1"/>
  <c r="BP42" i="1"/>
  <c r="BP41" i="1"/>
  <c r="BP39" i="1"/>
  <c r="BP32" i="1"/>
  <c r="BP31" i="1"/>
  <c r="BM18" i="1"/>
  <c r="BM16" i="1"/>
  <c r="BK11" i="1"/>
  <c r="BM80" i="1"/>
  <c r="BM77" i="1"/>
  <c r="BJ70" i="1"/>
  <c r="BP66" i="1"/>
  <c r="BP64" i="1"/>
  <c r="BK60" i="1"/>
  <c r="BP54" i="1"/>
  <c r="BP52" i="1"/>
  <c r="BK49" i="1"/>
  <c r="BJ47" i="1"/>
  <c r="BJ46" i="1"/>
  <c r="BP36" i="1"/>
  <c r="BK28" i="1"/>
  <c r="BP19" i="1"/>
  <c r="BF12" i="1"/>
  <c r="BM11" i="1"/>
  <c r="BM10" i="1"/>
  <c r="BM9" i="1"/>
  <c r="BK4" i="1"/>
  <c r="BJ3" i="1"/>
  <c r="BM74" i="1"/>
  <c r="BK73" i="1"/>
  <c r="BK71" i="1"/>
  <c r="BF48" i="1"/>
  <c r="BK47" i="1"/>
  <c r="BJ32" i="1"/>
  <c r="BM27" i="1"/>
  <c r="BP11" i="1"/>
  <c r="BM5" i="1"/>
  <c r="BF4" i="1"/>
  <c r="BP78" i="1"/>
  <c r="BP76" i="1"/>
  <c r="BP75" i="1"/>
  <c r="BF72" i="1"/>
  <c r="BM71" i="1"/>
  <c r="BJ67" i="1"/>
  <c r="BJ65" i="1"/>
  <c r="BJ64" i="1"/>
  <c r="BP59" i="1"/>
  <c r="BM59" i="1"/>
  <c r="BJ55" i="1"/>
  <c r="BF45" i="1"/>
  <c r="BP34" i="1"/>
  <c r="BF34" i="1"/>
  <c r="BK32" i="1"/>
  <c r="BK31" i="1"/>
  <c r="BJ30" i="1"/>
  <c r="BM28" i="1"/>
  <c r="BM23" i="1"/>
  <c r="BK20" i="1"/>
  <c r="BJ17" i="1"/>
  <c r="BJ16" i="1"/>
  <c r="BP9" i="1"/>
  <c r="BP8" i="1"/>
  <c r="BP3" i="1"/>
  <c r="BM3" i="1"/>
  <c r="BF66" i="1"/>
  <c r="BM66" i="1"/>
  <c r="BK35" i="1"/>
  <c r="BF76" i="1"/>
  <c r="BM76" i="1"/>
  <c r="BJ27" i="1"/>
  <c r="BK27" i="1"/>
  <c r="BK12" i="1"/>
  <c r="BJ44" i="1"/>
  <c r="BK44" i="1"/>
  <c r="BM45" i="1"/>
  <c r="BM69" i="1"/>
  <c r="BF69" i="1"/>
  <c r="BK52" i="1"/>
  <c r="BJ52" i="1"/>
  <c r="BK19" i="1"/>
  <c r="BF44" i="1"/>
  <c r="BF42" i="1"/>
  <c r="BM42" i="1"/>
  <c r="BP27" i="1"/>
  <c r="BM12" i="1"/>
  <c r="BM72" i="1"/>
  <c r="BM53" i="1"/>
  <c r="BF53" i="1"/>
  <c r="BK51" i="1"/>
  <c r="BP81" i="1"/>
  <c r="BK79" i="1"/>
  <c r="BJ78" i="1"/>
  <c r="BJ75" i="1"/>
  <c r="BP72" i="1"/>
  <c r="BK70" i="1"/>
  <c r="BM63" i="1"/>
  <c r="BP55" i="1"/>
  <c r="BM51" i="1"/>
  <c r="BK41" i="1"/>
  <c r="BF33" i="1"/>
  <c r="BJ31" i="1"/>
  <c r="BP28" i="1"/>
  <c r="BP25" i="1"/>
  <c r="BF24" i="1"/>
  <c r="BM19" i="1"/>
  <c r="BP12" i="1"/>
  <c r="BJ11" i="1"/>
  <c r="BK7" i="1"/>
  <c r="BK6" i="1"/>
  <c r="BF5" i="1"/>
  <c r="BM79" i="1"/>
  <c r="BP71" i="1"/>
  <c r="BM67" i="1"/>
  <c r="BK57" i="1"/>
  <c r="BP53" i="1"/>
  <c r="BF50" i="1"/>
  <c r="BF49" i="1"/>
  <c r="BK40" i="1"/>
  <c r="BK39" i="1"/>
  <c r="BJ38" i="1"/>
  <c r="BJ35" i="1"/>
  <c r="BF32" i="1"/>
  <c r="BK30" i="1"/>
  <c r="BM24" i="1"/>
  <c r="BP23" i="1"/>
  <c r="BP22" i="1"/>
  <c r="BF18" i="1"/>
  <c r="BF17" i="1"/>
  <c r="BJ15" i="1"/>
  <c r="BJ14" i="1"/>
  <c r="BF8" i="1"/>
  <c r="BM7" i="1"/>
  <c r="BP79" i="1"/>
  <c r="BM75" i="1"/>
  <c r="BK65" i="1"/>
  <c r="BF57" i="1"/>
  <c r="BK48" i="1"/>
  <c r="BF40" i="1"/>
  <c r="BK38" i="1"/>
  <c r="BK16" i="1"/>
  <c r="BK15" i="1"/>
  <c r="BK14" i="1"/>
  <c r="BP7" i="1"/>
  <c r="BP5" i="1"/>
  <c r="BK81" i="1"/>
  <c r="BP77" i="1"/>
  <c r="BF74" i="1"/>
  <c r="BK67" i="1"/>
  <c r="BK64" i="1"/>
  <c r="BJ63" i="1"/>
  <c r="BP60" i="1"/>
  <c r="BF60" i="1"/>
  <c r="BP57" i="1"/>
  <c r="BK55" i="1"/>
  <c r="BJ54" i="1"/>
  <c r="BJ51" i="1"/>
  <c r="BP48" i="1"/>
  <c r="BK46" i="1"/>
  <c r="BM35" i="1"/>
  <c r="BK25" i="1"/>
  <c r="BP20" i="1"/>
  <c r="BJ19" i="1"/>
  <c r="BP16" i="1"/>
  <c r="BF16" i="1"/>
  <c r="BM15" i="1"/>
  <c r="BJ12" i="1"/>
  <c r="BF10" i="1"/>
  <c r="BK9" i="1"/>
  <c r="BM4" i="1"/>
  <c r="BF82" i="1"/>
  <c r="BF81" i="1"/>
  <c r="BK72" i="1"/>
  <c r="BJ71" i="1"/>
  <c r="BP68" i="1"/>
  <c r="BP65" i="1"/>
  <c r="BK63" i="1"/>
  <c r="BJ62" i="1"/>
  <c r="BJ59" i="1"/>
  <c r="BP56" i="1"/>
  <c r="BK54" i="1"/>
  <c r="BM47" i="1"/>
  <c r="BP29" i="1"/>
  <c r="BF26" i="1"/>
  <c r="BF25" i="1"/>
  <c r="BJ23" i="1"/>
  <c r="BJ22" i="1"/>
  <c r="BP15" i="1"/>
  <c r="BM13" i="1"/>
  <c r="BF9" i="1"/>
  <c r="BK33" i="1"/>
  <c r="BK24" i="1"/>
  <c r="BK23" i="1"/>
  <c r="BK22" i="1"/>
  <c r="BM22" i="1"/>
  <c r="BF22" i="1"/>
  <c r="BJ37" i="1"/>
  <c r="BK37" i="1"/>
  <c r="BM81" i="1"/>
  <c r="BJ77" i="1"/>
  <c r="BK77" i="1"/>
  <c r="BM73" i="1"/>
  <c r="BJ69" i="1"/>
  <c r="BK69" i="1"/>
  <c r="BM65" i="1"/>
  <c r="BJ61" i="1"/>
  <c r="BK61" i="1"/>
  <c r="BM57" i="1"/>
  <c r="BJ53" i="1"/>
  <c r="BK53" i="1"/>
  <c r="BM49" i="1"/>
  <c r="BJ45" i="1"/>
  <c r="BK45" i="1"/>
  <c r="BM41" i="1"/>
  <c r="BJ26" i="1"/>
  <c r="BK26" i="1"/>
  <c r="BJ13" i="1"/>
  <c r="BK13" i="1"/>
  <c r="BJ34" i="1"/>
  <c r="BK34" i="1"/>
  <c r="BM30" i="1"/>
  <c r="BF30" i="1"/>
  <c r="BJ10" i="1"/>
  <c r="BK10" i="1"/>
  <c r="BM6" i="1"/>
  <c r="BF6" i="1"/>
  <c r="BJ82" i="1"/>
  <c r="BK82" i="1"/>
  <c r="BJ74" i="1"/>
  <c r="BK74" i="1"/>
  <c r="BJ66" i="1"/>
  <c r="BK66" i="1"/>
  <c r="BJ58" i="1"/>
  <c r="BK58" i="1"/>
  <c r="BJ50" i="1"/>
  <c r="BK50" i="1"/>
  <c r="BJ42" i="1"/>
  <c r="BK42" i="1"/>
  <c r="BM38" i="1"/>
  <c r="BF38" i="1"/>
  <c r="BM78" i="1"/>
  <c r="BF78" i="1"/>
  <c r="BM70" i="1"/>
  <c r="BF70" i="1"/>
  <c r="BM62" i="1"/>
  <c r="BF62" i="1"/>
  <c r="BM54" i="1"/>
  <c r="BF54" i="1"/>
  <c r="BM46" i="1"/>
  <c r="BF46" i="1"/>
  <c r="BM17" i="1"/>
  <c r="BJ21" i="1"/>
  <c r="BK21" i="1"/>
  <c r="BM14" i="1"/>
  <c r="BF14" i="1"/>
  <c r="BJ18" i="1"/>
  <c r="BK18" i="1"/>
  <c r="BJ5" i="1"/>
  <c r="BK5" i="1"/>
  <c r="BJ29" i="1"/>
  <c r="BK29" i="1"/>
  <c r="BM25" i="1"/>
  <c r="BF79" i="1"/>
  <c r="BF71" i="1"/>
  <c r="BF63" i="1"/>
  <c r="BF55" i="1"/>
  <c r="BF47" i="1"/>
  <c r="BF39" i="1"/>
  <c r="BF31" i="1"/>
  <c r="BF23" i="1"/>
  <c r="BF15" i="1"/>
  <c r="BF7" i="1"/>
  <c r="BF75" i="1"/>
  <c r="BF67" i="1"/>
  <c r="BF59" i="1"/>
  <c r="BF51" i="1"/>
  <c r="BF43" i="1"/>
  <c r="BF35" i="1"/>
  <c r="BF27" i="1"/>
  <c r="BF19" i="1"/>
  <c r="BF11" i="1"/>
  <c r="BF3" i="1"/>
  <c r="E15" i="2" l="1"/>
  <c r="E16" i="2"/>
  <c r="C4" i="5" l="1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11" i="5" a="1"/>
  <c r="C11" i="5" s="1"/>
  <c r="C12" i="5" a="1"/>
  <c r="C12" i="5" s="1"/>
  <c r="C28" i="5" a="1"/>
  <c r="C28" i="5" s="1"/>
  <c r="C29" i="5" a="1"/>
  <c r="C29" i="5" s="1"/>
  <c r="C30" i="5" a="1"/>
  <c r="C30" i="5" s="1"/>
  <c r="D29" i="5"/>
  <c r="H29" i="5"/>
  <c r="D30" i="5"/>
  <c r="H30" i="5"/>
  <c r="D28" i="5"/>
  <c r="H28" i="5"/>
  <c r="P28" i="5"/>
  <c r="Q28" i="5" a="1"/>
  <c r="Q28" i="5" s="1"/>
  <c r="T28" i="5" a="1"/>
  <c r="T28" i="5" s="1"/>
  <c r="P29" i="5"/>
  <c r="Q29" i="5" a="1"/>
  <c r="Q29" i="5" s="1"/>
  <c r="T29" i="5" a="1"/>
  <c r="T29" i="5" s="1"/>
  <c r="P30" i="5"/>
  <c r="Q30" i="5" a="1"/>
  <c r="Q30" i="5" s="1"/>
  <c r="T30" i="5" a="1"/>
  <c r="T30" i="5" s="1"/>
  <c r="C26" i="5" a="1"/>
  <c r="C26" i="5" s="1"/>
  <c r="D26" i="5"/>
  <c r="H26" i="5"/>
  <c r="P26" i="5"/>
  <c r="Q26" i="5" a="1"/>
  <c r="Q26" i="5" s="1"/>
  <c r="T26" i="5" a="1"/>
  <c r="T26" i="5" s="1"/>
  <c r="C27" i="5" a="1"/>
  <c r="C27" i="5" s="1"/>
  <c r="D27" i="5"/>
  <c r="H27" i="5"/>
  <c r="P27" i="5"/>
  <c r="Q27" i="5" a="1"/>
  <c r="Q27" i="5" s="1"/>
  <c r="T27" i="5" a="1"/>
  <c r="T27" i="5" s="1"/>
  <c r="C25" i="5" a="1"/>
  <c r="C25" i="5" s="1"/>
  <c r="D25" i="5"/>
  <c r="H25" i="5"/>
  <c r="P25" i="5"/>
  <c r="Q25" i="5" a="1"/>
  <c r="Q25" i="5" s="1"/>
  <c r="T25" i="5" a="1"/>
  <c r="T25" i="5" s="1"/>
  <c r="E29" i="5"/>
  <c r="M28" i="5"/>
  <c r="I29" i="5"/>
  <c r="V29" i="5" l="1"/>
  <c r="S29" i="5"/>
  <c r="G29" i="5"/>
  <c r="B29" i="5"/>
  <c r="B28" i="5"/>
  <c r="B26" i="5"/>
  <c r="R28" i="5"/>
  <c r="E28" i="5"/>
  <c r="G28" i="5" s="1"/>
  <c r="V30" i="5"/>
  <c r="S30" i="5"/>
  <c r="B30" i="5"/>
  <c r="I28" i="5"/>
  <c r="K28" i="5" s="1"/>
  <c r="K29" i="5"/>
  <c r="J29" i="5"/>
  <c r="M29" i="5"/>
  <c r="I30" i="5"/>
  <c r="K30" i="5" s="1"/>
  <c r="L28" i="5"/>
  <c r="N28" i="5" s="1"/>
  <c r="L29" i="5"/>
  <c r="I27" i="5"/>
  <c r="J27" i="5" s="1"/>
  <c r="I26" i="5"/>
  <c r="K26" i="5" s="1"/>
  <c r="I25" i="5"/>
  <c r="J25" i="5" s="1"/>
  <c r="E25" i="5"/>
  <c r="G25" i="5" s="1"/>
  <c r="E27" i="5"/>
  <c r="G27" i="5" s="1"/>
  <c r="M27" i="5"/>
  <c r="L27" i="5"/>
  <c r="M25" i="5"/>
  <c r="L25" i="5"/>
  <c r="M26" i="5"/>
  <c r="L26" i="5"/>
  <c r="M30" i="5"/>
  <c r="L30" i="5"/>
  <c r="R30" i="5"/>
  <c r="E30" i="5"/>
  <c r="F30" i="5" s="1"/>
  <c r="E26" i="5"/>
  <c r="G26" i="5" s="1"/>
  <c r="V28" i="5"/>
  <c r="S28" i="5"/>
  <c r="R29" i="5"/>
  <c r="F29" i="5"/>
  <c r="U30" i="5"/>
  <c r="U29" i="5"/>
  <c r="U28" i="5"/>
  <c r="S26" i="5"/>
  <c r="S25" i="5"/>
  <c r="R27" i="5"/>
  <c r="B25" i="5"/>
  <c r="V27" i="5"/>
  <c r="S27" i="5"/>
  <c r="B27" i="5"/>
  <c r="V26" i="5"/>
  <c r="R26" i="5"/>
  <c r="U27" i="5"/>
  <c r="U26" i="5"/>
  <c r="V25" i="5"/>
  <c r="R25" i="5"/>
  <c r="U25" i="5"/>
  <c r="O25" i="5" l="1"/>
  <c r="F27" i="5"/>
  <c r="N26" i="5"/>
  <c r="O27" i="5"/>
  <c r="F28" i="5"/>
  <c r="N25" i="5"/>
  <c r="N27" i="5"/>
  <c r="G30" i="5"/>
  <c r="N30" i="5"/>
  <c r="O29" i="5"/>
  <c r="K25" i="5"/>
  <c r="J28" i="5"/>
  <c r="J30" i="5"/>
  <c r="J26" i="5"/>
  <c r="K27" i="5"/>
  <c r="O28" i="5"/>
  <c r="F25" i="5"/>
  <c r="F26" i="5"/>
  <c r="O26" i="5"/>
  <c r="N29" i="5"/>
  <c r="O30" i="5"/>
  <c r="V13" i="35" l="1"/>
  <c r="U13" i="35"/>
  <c r="T13" i="35"/>
  <c r="S13" i="35"/>
  <c r="R13" i="35"/>
  <c r="Q13" i="35"/>
  <c r="K13" i="35"/>
  <c r="I13" i="35"/>
  <c r="H13" i="35"/>
  <c r="E13" i="35"/>
  <c r="C13" i="35"/>
  <c r="AC48" i="35"/>
  <c r="M13" i="35" l="1"/>
  <c r="J13" i="35"/>
  <c r="W13" i="35"/>
  <c r="L13" i="35"/>
  <c r="N13" i="35" l="1"/>
  <c r="O13" i="35"/>
  <c r="F13" i="35"/>
  <c r="D13" i="35"/>
  <c r="P13" i="35" l="1"/>
  <c r="AC13" i="35"/>
  <c r="G13" i="35"/>
  <c r="V4" i="35"/>
  <c r="V57" i="35"/>
  <c r="V56" i="35"/>
  <c r="V55" i="35"/>
  <c r="V54" i="35"/>
  <c r="V53" i="35"/>
  <c r="V52" i="35"/>
  <c r="V51" i="35"/>
  <c r="V50" i="35"/>
  <c r="V46" i="35"/>
  <c r="V45" i="35"/>
  <c r="V44" i="35" s="1"/>
  <c r="V48" i="35"/>
  <c r="V43" i="35"/>
  <c r="V42" i="35"/>
  <c r="V41" i="35"/>
  <c r="V40" i="35" s="1"/>
  <c r="V39" i="35"/>
  <c r="V38" i="35"/>
  <c r="V36" i="35"/>
  <c r="V34" i="35"/>
  <c r="V33" i="35"/>
  <c r="V32" i="35"/>
  <c r="V31" i="35"/>
  <c r="V30" i="35"/>
  <c r="V28" i="35"/>
  <c r="V27" i="35"/>
  <c r="V25" i="35"/>
  <c r="V24" i="35"/>
  <c r="V23" i="35"/>
  <c r="V21" i="35"/>
  <c r="V20" i="35"/>
  <c r="V19" i="35"/>
  <c r="V16" i="35"/>
  <c r="V15" i="35"/>
  <c r="V12" i="35"/>
  <c r="V11" i="35"/>
  <c r="V10" i="35"/>
  <c r="V9" i="35" s="1"/>
  <c r="V8" i="35"/>
  <c r="V7" i="35"/>
  <c r="V6" i="35"/>
  <c r="U57" i="35"/>
  <c r="U56" i="35"/>
  <c r="U55" i="35"/>
  <c r="U54" i="35"/>
  <c r="U53" i="35"/>
  <c r="U52" i="35"/>
  <c r="U51" i="35"/>
  <c r="U50" i="35"/>
  <c r="U46" i="35"/>
  <c r="U45" i="35"/>
  <c r="U44" i="35" s="1"/>
  <c r="U48" i="35"/>
  <c r="U43" i="35"/>
  <c r="U42" i="35"/>
  <c r="U41" i="35"/>
  <c r="U40" i="35" s="1"/>
  <c r="U39" i="35"/>
  <c r="U38" i="35"/>
  <c r="U36" i="35"/>
  <c r="U34" i="35"/>
  <c r="U33" i="35"/>
  <c r="U32" i="35"/>
  <c r="U31" i="35"/>
  <c r="U30" i="35"/>
  <c r="U28" i="35"/>
  <c r="U27" i="35"/>
  <c r="U25" i="35"/>
  <c r="U24" i="35"/>
  <c r="U23" i="35"/>
  <c r="U21" i="35"/>
  <c r="U20" i="35"/>
  <c r="U19" i="35"/>
  <c r="U16" i="35"/>
  <c r="U15" i="35"/>
  <c r="U12" i="35"/>
  <c r="U11" i="35"/>
  <c r="U10" i="35"/>
  <c r="U9" i="35" s="1"/>
  <c r="U8" i="35"/>
  <c r="U7" i="35"/>
  <c r="U6" i="35"/>
  <c r="U4" i="35"/>
  <c r="T57" i="35"/>
  <c r="T56" i="35"/>
  <c r="T55" i="35"/>
  <c r="T54" i="35"/>
  <c r="T53" i="35"/>
  <c r="T52" i="35"/>
  <c r="T51" i="35"/>
  <c r="T50" i="35"/>
  <c r="T46" i="35"/>
  <c r="T45" i="35"/>
  <c r="T44" i="35" s="1"/>
  <c r="T48" i="35"/>
  <c r="T43" i="35"/>
  <c r="T42" i="35"/>
  <c r="T41" i="35"/>
  <c r="T40" i="35" s="1"/>
  <c r="T39" i="35"/>
  <c r="T38" i="35"/>
  <c r="T36" i="35"/>
  <c r="T34" i="35"/>
  <c r="T33" i="35"/>
  <c r="T32" i="35"/>
  <c r="T31" i="35"/>
  <c r="T30" i="35"/>
  <c r="T28" i="35"/>
  <c r="T27" i="35"/>
  <c r="T25" i="35"/>
  <c r="T24" i="35"/>
  <c r="T23" i="35"/>
  <c r="T21" i="35"/>
  <c r="T20" i="35"/>
  <c r="T19" i="35"/>
  <c r="T16" i="35"/>
  <c r="T15" i="35"/>
  <c r="T12" i="35"/>
  <c r="T11" i="35"/>
  <c r="T10" i="35"/>
  <c r="T9" i="35" s="1"/>
  <c r="T8" i="35"/>
  <c r="T7" i="35"/>
  <c r="T6" i="35"/>
  <c r="R57" i="35"/>
  <c r="R56" i="35"/>
  <c r="R55" i="35"/>
  <c r="R54" i="35"/>
  <c r="R53" i="35"/>
  <c r="R52" i="35"/>
  <c r="R51" i="35"/>
  <c r="R50" i="35"/>
  <c r="R46" i="35"/>
  <c r="R45" i="35"/>
  <c r="R48" i="35"/>
  <c r="R43" i="35"/>
  <c r="R42" i="35"/>
  <c r="R41" i="35"/>
  <c r="R39" i="35"/>
  <c r="R38" i="35"/>
  <c r="R36" i="35"/>
  <c r="R34" i="35"/>
  <c r="R33" i="35"/>
  <c r="R32" i="35"/>
  <c r="R31" i="35"/>
  <c r="R30" i="35"/>
  <c r="R28" i="35"/>
  <c r="R27" i="35"/>
  <c r="R25" i="35"/>
  <c r="R24" i="35"/>
  <c r="R23" i="35"/>
  <c r="R21" i="35"/>
  <c r="R20" i="35"/>
  <c r="R19" i="35"/>
  <c r="R16" i="35"/>
  <c r="R15" i="35"/>
  <c r="R12" i="35"/>
  <c r="R11" i="35"/>
  <c r="R10" i="35"/>
  <c r="R9" i="35" s="1"/>
  <c r="R8" i="35"/>
  <c r="R7" i="35"/>
  <c r="R6" i="35"/>
  <c r="R4" i="35"/>
  <c r="T4" i="35"/>
  <c r="S57" i="35"/>
  <c r="S56" i="35"/>
  <c r="S55" i="35"/>
  <c r="S54" i="35"/>
  <c r="S53" i="35"/>
  <c r="S52" i="35"/>
  <c r="S51" i="35"/>
  <c r="S50" i="35"/>
  <c r="S48" i="35"/>
  <c r="S46" i="35"/>
  <c r="S45" i="35"/>
  <c r="S44" i="35" s="1"/>
  <c r="S43" i="35"/>
  <c r="S42" i="35"/>
  <c r="S41" i="35"/>
  <c r="S40" i="35" s="1"/>
  <c r="S39" i="35"/>
  <c r="S38" i="35"/>
  <c r="S36" i="35"/>
  <c r="S34" i="35"/>
  <c r="S33" i="35"/>
  <c r="S32" i="35"/>
  <c r="S31" i="35"/>
  <c r="S30" i="35"/>
  <c r="S28" i="35"/>
  <c r="S27" i="35"/>
  <c r="S25" i="35"/>
  <c r="S24" i="35"/>
  <c r="S23" i="35"/>
  <c r="S21" i="35"/>
  <c r="S20" i="35"/>
  <c r="S19" i="35"/>
  <c r="S16" i="35"/>
  <c r="S15" i="35"/>
  <c r="S12" i="35"/>
  <c r="S11" i="35"/>
  <c r="S10" i="35"/>
  <c r="S9" i="35" s="1"/>
  <c r="S8" i="35"/>
  <c r="S7" i="35"/>
  <c r="S6" i="35"/>
  <c r="S4" i="35"/>
  <c r="Q57" i="35"/>
  <c r="Q56" i="35"/>
  <c r="Q55" i="35"/>
  <c r="Q54" i="35"/>
  <c r="Q53" i="35"/>
  <c r="Q52" i="35"/>
  <c r="Q51" i="35"/>
  <c r="Q50" i="35"/>
  <c r="Q46" i="35"/>
  <c r="Q45" i="35"/>
  <c r="Q44" i="35" s="1"/>
  <c r="Q48" i="35"/>
  <c r="Q43" i="35"/>
  <c r="Q42" i="35"/>
  <c r="Q41" i="35"/>
  <c r="Q40" i="35" s="1"/>
  <c r="Q39" i="35"/>
  <c r="Q38" i="35"/>
  <c r="Q36" i="35"/>
  <c r="Q34" i="35"/>
  <c r="Q33" i="35"/>
  <c r="Q32" i="35"/>
  <c r="Q31" i="35"/>
  <c r="Q30" i="35"/>
  <c r="Q28" i="35"/>
  <c r="Q27" i="35"/>
  <c r="Q25" i="35"/>
  <c r="Q24" i="35"/>
  <c r="Q23" i="35"/>
  <c r="Q21" i="35"/>
  <c r="Q20" i="35"/>
  <c r="Q19" i="35"/>
  <c r="Q16" i="35"/>
  <c r="Q15" i="35"/>
  <c r="Q12" i="35"/>
  <c r="Q11" i="35"/>
  <c r="Q10" i="35"/>
  <c r="Q9" i="35" s="1"/>
  <c r="Q8" i="35"/>
  <c r="Q7" i="35"/>
  <c r="Q6" i="35"/>
  <c r="Q4" i="35"/>
  <c r="AA38" i="35"/>
  <c r="Z38" i="35"/>
  <c r="Y38" i="35"/>
  <c r="X38" i="35"/>
  <c r="K38" i="35"/>
  <c r="I38" i="35"/>
  <c r="H38" i="35"/>
  <c r="E38" i="35"/>
  <c r="C38" i="35"/>
  <c r="AA46" i="35"/>
  <c r="Z46" i="35"/>
  <c r="Y46" i="35"/>
  <c r="X46" i="35"/>
  <c r="K46" i="35"/>
  <c r="I46" i="35"/>
  <c r="H46" i="35"/>
  <c r="E46" i="35"/>
  <c r="C46" i="35"/>
  <c r="AA45" i="35"/>
  <c r="Z45" i="35"/>
  <c r="Y45" i="35"/>
  <c r="X45" i="35"/>
  <c r="K45" i="35"/>
  <c r="I45" i="35"/>
  <c r="H45" i="35"/>
  <c r="E45" i="35"/>
  <c r="C45" i="35"/>
  <c r="AA43" i="35"/>
  <c r="Z43" i="35"/>
  <c r="Y43" i="35"/>
  <c r="X43" i="35"/>
  <c r="K43" i="35"/>
  <c r="I43" i="35"/>
  <c r="H43" i="35"/>
  <c r="E43" i="35"/>
  <c r="C43" i="35"/>
  <c r="Z44" i="35" l="1"/>
  <c r="AA44" i="35"/>
  <c r="AD13" i="35"/>
  <c r="R40" i="35"/>
  <c r="Y44" i="35"/>
  <c r="X44" i="35"/>
  <c r="I44" i="35"/>
  <c r="C44" i="35"/>
  <c r="K44" i="35"/>
  <c r="E44" i="35"/>
  <c r="W10" i="35"/>
  <c r="W9" i="35" s="1"/>
  <c r="M45" i="35"/>
  <c r="M46" i="35"/>
  <c r="H44" i="35"/>
  <c r="R44" i="35"/>
  <c r="W12" i="35"/>
  <c r="W11" i="35"/>
  <c r="W46" i="35"/>
  <c r="J46" i="35"/>
  <c r="M38" i="35"/>
  <c r="M43" i="35"/>
  <c r="J38" i="35"/>
  <c r="W38" i="35"/>
  <c r="J45" i="35"/>
  <c r="L38" i="35"/>
  <c r="L46" i="35"/>
  <c r="W45" i="35"/>
  <c r="J43" i="35"/>
  <c r="L45" i="35"/>
  <c r="W43" i="35"/>
  <c r="L43" i="35"/>
  <c r="CD3" i="32"/>
  <c r="J44" i="35" l="1"/>
  <c r="M44" i="35"/>
  <c r="L44" i="35"/>
  <c r="W44" i="35"/>
  <c r="N38" i="35" l="1"/>
  <c r="N46" i="35"/>
  <c r="F46" i="35"/>
  <c r="G46" i="35" s="1"/>
  <c r="D46" i="35"/>
  <c r="O45" i="35"/>
  <c r="N45" i="35"/>
  <c r="F43" i="35"/>
  <c r="G43" i="35" s="1"/>
  <c r="D43" i="35"/>
  <c r="O43" i="35"/>
  <c r="F38" i="35"/>
  <c r="G38" i="35" s="1"/>
  <c r="D38" i="35"/>
  <c r="N43" i="35"/>
  <c r="F45" i="35"/>
  <c r="D45" i="35"/>
  <c r="O38" i="35"/>
  <c r="O46" i="35"/>
  <c r="P46" i="35" l="1"/>
  <c r="D44" i="35"/>
  <c r="O44" i="35"/>
  <c r="P43" i="35"/>
  <c r="N44" i="35"/>
  <c r="P45" i="35"/>
  <c r="AC45" i="35"/>
  <c r="AC43" i="35"/>
  <c r="AC46" i="35"/>
  <c r="AD46" i="35" s="1"/>
  <c r="AC38" i="35"/>
  <c r="F44" i="35"/>
  <c r="G45" i="35"/>
  <c r="G44" i="35" s="1"/>
  <c r="P38" i="35"/>
  <c r="AC31" i="35"/>
  <c r="C24" i="35"/>
  <c r="E24" i="35"/>
  <c r="H24" i="35"/>
  <c r="I24" i="35"/>
  <c r="K24" i="35"/>
  <c r="W24" i="35"/>
  <c r="AC44" i="35" l="1"/>
  <c r="AD38" i="35"/>
  <c r="AD45" i="35"/>
  <c r="P44" i="35"/>
  <c r="AD43" i="35"/>
  <c r="L24" i="35"/>
  <c r="M24" i="35"/>
  <c r="J24" i="35"/>
  <c r="O24" i="35"/>
  <c r="AD44" i="35" l="1"/>
  <c r="N24" i="35"/>
  <c r="P24" i="35" s="1"/>
  <c r="F24" i="35"/>
  <c r="G24" i="35" s="1"/>
  <c r="D24" i="35"/>
  <c r="AC28" i="35" l="1"/>
  <c r="AC32" i="35"/>
  <c r="AC33" i="35"/>
  <c r="AC34" i="35"/>
  <c r="AC23" i="35"/>
  <c r="AC24" i="35"/>
  <c r="AD24" i="35" s="1"/>
  <c r="T4" i="5" l="1" a="1"/>
  <c r="T4" i="5" s="1"/>
  <c r="AC4" i="5" s="1"/>
  <c r="T5" i="5" a="1"/>
  <c r="T5" i="5" s="1"/>
  <c r="AC5" i="5" s="1"/>
  <c r="T6" i="5" a="1"/>
  <c r="T6" i="5" s="1"/>
  <c r="AC6" i="5" s="1"/>
  <c r="T7" i="5" a="1"/>
  <c r="T7" i="5" s="1"/>
  <c r="AC7" i="5" s="1"/>
  <c r="T8" i="5" a="1"/>
  <c r="T8" i="5" s="1"/>
  <c r="AC8" i="5" s="1"/>
  <c r="T9" i="5" a="1"/>
  <c r="T9" i="5" s="1"/>
  <c r="AC9" i="5" s="1"/>
  <c r="T10" i="5" a="1"/>
  <c r="T10" i="5" s="1"/>
  <c r="AC10" i="5" s="1"/>
  <c r="T11" i="5" a="1"/>
  <c r="T11" i="5" s="1"/>
  <c r="AC11" i="5" s="1"/>
  <c r="T12" i="5" a="1"/>
  <c r="T12" i="5" s="1"/>
  <c r="AC12" i="5" s="1"/>
  <c r="T13" i="5" a="1"/>
  <c r="T13" i="5" s="1"/>
  <c r="AC13" i="5" s="1"/>
  <c r="T14" i="5" a="1"/>
  <c r="T14" i="5" s="1"/>
  <c r="AC14" i="5" s="1"/>
  <c r="T15" i="5" a="1"/>
  <c r="T15" i="5" s="1"/>
  <c r="AC15" i="5" s="1"/>
  <c r="T16" i="5" a="1"/>
  <c r="T16" i="5" s="1"/>
  <c r="AC16" i="5" s="1"/>
  <c r="T17" i="5" a="1"/>
  <c r="T17" i="5" s="1"/>
  <c r="AC17" i="5" s="1"/>
  <c r="T18" i="5" a="1"/>
  <c r="T18" i="5" s="1"/>
  <c r="AC18" i="5" s="1"/>
  <c r="T19" i="5" a="1"/>
  <c r="T19" i="5" s="1"/>
  <c r="AC19" i="5" s="1"/>
  <c r="T20" i="5" a="1"/>
  <c r="T20" i="5" s="1"/>
  <c r="AC20" i="5" s="1"/>
  <c r="T21" i="5" a="1"/>
  <c r="T21" i="5" s="1"/>
  <c r="AC21" i="5" s="1"/>
  <c r="T22" i="5" a="1"/>
  <c r="T22" i="5" s="1"/>
  <c r="AC22" i="5" s="1"/>
  <c r="T23" i="5" a="1"/>
  <c r="T23" i="5" s="1"/>
  <c r="AC23" i="5" s="1"/>
  <c r="T24" i="5" a="1"/>
  <c r="T24" i="5" s="1"/>
  <c r="AC24" i="5" s="1"/>
  <c r="T3" i="5" a="1"/>
  <c r="T3" i="5" s="1"/>
  <c r="AC3" i="5" s="1"/>
  <c r="H3" i="5"/>
  <c r="P3" i="5"/>
  <c r="Q3" i="5" a="1"/>
  <c r="Q3" i="5" s="1"/>
  <c r="W3" i="5"/>
  <c r="X3" i="5"/>
  <c r="Y3" i="5"/>
  <c r="AC31" i="5" l="1"/>
  <c r="Z3" i="5"/>
  <c r="AA3" i="5" s="1"/>
  <c r="U3" i="5"/>
  <c r="V3" i="5"/>
  <c r="R3" i="5"/>
  <c r="S3" i="5"/>
  <c r="E12" i="5" l="1"/>
  <c r="AE12" i="5" s="1"/>
  <c r="E18" i="5"/>
  <c r="AE18" i="5" s="1"/>
  <c r="E15" i="5"/>
  <c r="AE15" i="5" s="1"/>
  <c r="E23" i="5"/>
  <c r="AE23" i="5" s="1"/>
  <c r="E4" i="5"/>
  <c r="AE4" i="5" s="1"/>
  <c r="E3" i="5"/>
  <c r="AE3" i="5" s="1"/>
  <c r="L3" i="5"/>
  <c r="I3" i="5"/>
  <c r="E11" i="5"/>
  <c r="AE11" i="5" s="1"/>
  <c r="E6" i="5"/>
  <c r="AE6" i="5" s="1"/>
  <c r="E5" i="5"/>
  <c r="AE5" i="5" s="1"/>
  <c r="E19" i="5"/>
  <c r="AE19" i="5" s="1"/>
  <c r="E20" i="5"/>
  <c r="AE20" i="5" s="1"/>
  <c r="E8" i="5"/>
  <c r="AE8" i="5" s="1"/>
  <c r="M3" i="5"/>
  <c r="E13" i="5"/>
  <c r="AE13" i="5" s="1"/>
  <c r="E7" i="5"/>
  <c r="AE7" i="5" s="1"/>
  <c r="E9" i="5"/>
  <c r="AE9" i="5" s="1"/>
  <c r="E16" i="5"/>
  <c r="AE16" i="5" s="1"/>
  <c r="E24" i="5"/>
  <c r="AE24" i="5" s="1"/>
  <c r="E10" i="5"/>
  <c r="AE10" i="5" s="1"/>
  <c r="E21" i="5"/>
  <c r="AE21" i="5" s="1"/>
  <c r="E17" i="5"/>
  <c r="AE17" i="5" s="1"/>
  <c r="E22" i="5"/>
  <c r="AE22" i="5" s="1"/>
  <c r="E14" i="5"/>
  <c r="AE14" i="5" s="1"/>
  <c r="O3" i="5" l="1"/>
  <c r="K3" i="5"/>
  <c r="J3" i="5"/>
  <c r="N3" i="5"/>
  <c r="AA48" i="35"/>
  <c r="Z48" i="35"/>
  <c r="Y48" i="35"/>
  <c r="X48" i="35"/>
  <c r="K48" i="35"/>
  <c r="I48" i="35"/>
  <c r="H48" i="35"/>
  <c r="E48" i="35"/>
  <c r="C48" i="35"/>
  <c r="C36" i="35"/>
  <c r="C39" i="35"/>
  <c r="C37" i="35" s="1"/>
  <c r="C41" i="35"/>
  <c r="C42" i="35"/>
  <c r="C50" i="35"/>
  <c r="C51" i="35"/>
  <c r="C52" i="35"/>
  <c r="C53" i="35"/>
  <c r="C54" i="35"/>
  <c r="C55" i="35"/>
  <c r="C56" i="35"/>
  <c r="C57" i="35"/>
  <c r="C49" i="35" l="1"/>
  <c r="C47" i="35" s="1"/>
  <c r="C40" i="35"/>
  <c r="C35" i="35" s="1"/>
  <c r="N48" i="35"/>
  <c r="O48" i="35"/>
  <c r="F48" i="35"/>
  <c r="G48" i="35" s="1"/>
  <c r="D48" i="35"/>
  <c r="M48" i="35"/>
  <c r="W48" i="35"/>
  <c r="J48" i="35"/>
  <c r="L48" i="35"/>
  <c r="P48" i="35" l="1"/>
  <c r="AD48" i="35" s="1"/>
  <c r="AC21" i="35"/>
  <c r="C21" i="35"/>
  <c r="D21" i="35"/>
  <c r="E21" i="35"/>
  <c r="F21" i="35"/>
  <c r="H21" i="35"/>
  <c r="I21" i="35"/>
  <c r="K21" i="35"/>
  <c r="N21" i="35"/>
  <c r="O21" i="35"/>
  <c r="C16" i="35"/>
  <c r="E16" i="35"/>
  <c r="H16" i="35"/>
  <c r="I16" i="35"/>
  <c r="K16" i="35"/>
  <c r="W16" i="35" l="1"/>
  <c r="W21" i="35"/>
  <c r="P21" i="35"/>
  <c r="AD21" i="35" s="1"/>
  <c r="J16" i="35"/>
  <c r="J21" i="35"/>
  <c r="M21" i="35"/>
  <c r="G21" i="35"/>
  <c r="L21" i="35"/>
  <c r="M16" i="35"/>
  <c r="L16" i="35"/>
  <c r="N16" i="35" l="1"/>
  <c r="O16" i="35"/>
  <c r="F16" i="35"/>
  <c r="G16" i="35" s="1"/>
  <c r="D16" i="35"/>
  <c r="P16" i="35" l="1"/>
  <c r="AC15" i="35"/>
  <c r="AC16" i="35"/>
  <c r="AD16" i="35" s="1"/>
  <c r="AB49" i="35" l="1"/>
  <c r="AB40" i="35"/>
  <c r="AB37" i="35"/>
  <c r="AB29" i="35"/>
  <c r="AB26" i="35"/>
  <c r="AB22" i="35"/>
  <c r="AB18" i="35"/>
  <c r="AB14" i="35"/>
  <c r="AB9" i="35"/>
  <c r="AB5" i="35"/>
  <c r="AC52" i="35"/>
  <c r="AC53" i="35"/>
  <c r="AC54" i="35"/>
  <c r="AC55" i="35"/>
  <c r="AC56" i="35"/>
  <c r="AC57" i="35"/>
  <c r="AC4" i="35"/>
  <c r="BO2" i="1"/>
  <c r="BE2" i="1"/>
  <c r="BN2" i="1"/>
  <c r="BD2" i="1"/>
  <c r="BP2" i="1" l="1"/>
  <c r="AC12" i="35"/>
  <c r="AC27" i="35"/>
  <c r="AC39" i="35"/>
  <c r="AC37" i="35" s="1"/>
  <c r="AC11" i="35"/>
  <c r="AC6" i="35"/>
  <c r="AC25" i="35"/>
  <c r="AC22" i="35" s="1"/>
  <c r="AC8" i="35"/>
  <c r="AC10" i="35"/>
  <c r="AC14" i="35"/>
  <c r="AC7" i="35"/>
  <c r="AC42" i="35"/>
  <c r="AC41" i="35"/>
  <c r="AC50" i="35"/>
  <c r="AC51" i="35"/>
  <c r="AC30" i="35"/>
  <c r="AC19" i="35"/>
  <c r="AC20" i="35"/>
  <c r="AB17" i="35"/>
  <c r="AB3" i="35"/>
  <c r="AC40" i="35" l="1"/>
  <c r="AC35" i="35" s="1"/>
  <c r="AC49" i="35"/>
  <c r="AC47" i="35" s="1"/>
  <c r="AC29" i="35"/>
  <c r="AC18" i="35"/>
  <c r="AC26" i="35"/>
  <c r="AC9" i="35"/>
  <c r="AC5" i="35"/>
  <c r="AB58" i="35"/>
  <c r="AC3" i="35" l="1"/>
  <c r="AC17" i="35"/>
  <c r="AC58" i="35" l="1"/>
  <c r="C32" i="35"/>
  <c r="E32" i="35"/>
  <c r="H32" i="35"/>
  <c r="I32" i="35"/>
  <c r="K32" i="35"/>
  <c r="X32" i="35"/>
  <c r="Y32" i="35"/>
  <c r="Z32" i="35"/>
  <c r="AA32" i="35"/>
  <c r="W32" i="35" l="1"/>
  <c r="J32" i="35"/>
  <c r="M32" i="35"/>
  <c r="L32" i="35"/>
  <c r="F32" i="35" l="1"/>
  <c r="G32" i="35" s="1"/>
  <c r="D32" i="35"/>
  <c r="N32" i="35"/>
  <c r="O32" i="35"/>
  <c r="P32" i="35" l="1"/>
  <c r="AD32" i="35" s="1"/>
  <c r="E39" i="35" l="1"/>
  <c r="H39" i="35"/>
  <c r="I39" i="35"/>
  <c r="K39" i="35"/>
  <c r="X39" i="35"/>
  <c r="Y39" i="35"/>
  <c r="Z39" i="35"/>
  <c r="AA39" i="35"/>
  <c r="W39" i="35" l="1"/>
  <c r="J39" i="35"/>
  <c r="M39" i="35"/>
  <c r="L39" i="35"/>
  <c r="N39" i="35" l="1"/>
  <c r="O39" i="35"/>
  <c r="F39" i="35"/>
  <c r="G39" i="35" s="1"/>
  <c r="D39" i="35"/>
  <c r="P39" i="35" l="1"/>
  <c r="AD39" i="35" s="1"/>
  <c r="E5" i="2" l="1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F15" i="2"/>
  <c r="F16" i="2"/>
  <c r="E17" i="2"/>
  <c r="F17" i="2"/>
  <c r="E18" i="2"/>
  <c r="F18" i="2"/>
  <c r="E19" i="2"/>
  <c r="F19" i="2"/>
  <c r="E20" i="2"/>
  <c r="F20" i="2"/>
  <c r="E21" i="2"/>
  <c r="F21" i="2"/>
  <c r="F5" i="2"/>
  <c r="G12" i="2" l="1"/>
  <c r="H12" i="2"/>
  <c r="G18" i="2"/>
  <c r="H18" i="2"/>
  <c r="G20" i="2"/>
  <c r="H20" i="2"/>
  <c r="G21" i="2"/>
  <c r="H21" i="2"/>
  <c r="G10" i="2"/>
  <c r="H10" i="2"/>
  <c r="G15" i="2"/>
  <c r="H15" i="2"/>
  <c r="G7" i="2"/>
  <c r="H7" i="2"/>
  <c r="G11" i="2"/>
  <c r="H11" i="2"/>
  <c r="G13" i="2"/>
  <c r="H13" i="2"/>
  <c r="G14" i="2"/>
  <c r="H14" i="2"/>
  <c r="G17" i="2"/>
  <c r="H17" i="2"/>
  <c r="G19" i="2"/>
  <c r="H19" i="2"/>
  <c r="G8" i="2"/>
  <c r="H8" i="2"/>
  <c r="G6" i="2"/>
  <c r="H6" i="2"/>
  <c r="G5" i="2"/>
  <c r="H5" i="2"/>
  <c r="G9" i="2"/>
  <c r="H9" i="2"/>
  <c r="G16" i="2"/>
  <c r="H16" i="2"/>
  <c r="C30" i="35" l="1"/>
  <c r="C28" i="35"/>
  <c r="D28" i="35"/>
  <c r="E28" i="35"/>
  <c r="F28" i="35"/>
  <c r="H28" i="35"/>
  <c r="I28" i="35"/>
  <c r="K28" i="35"/>
  <c r="N28" i="35"/>
  <c r="O28" i="35"/>
  <c r="X28" i="35"/>
  <c r="Y28" i="35"/>
  <c r="Z28" i="35"/>
  <c r="AA28" i="35"/>
  <c r="J28" i="35" l="1"/>
  <c r="W28" i="35"/>
  <c r="P28" i="35"/>
  <c r="AD28" i="35" s="1"/>
  <c r="G28" i="35"/>
  <c r="M28" i="35"/>
  <c r="L28" i="35"/>
  <c r="AA4" i="35" l="1"/>
  <c r="Z4" i="35"/>
  <c r="Y4" i="35"/>
  <c r="X4" i="35"/>
  <c r="O4" i="35"/>
  <c r="N4" i="35"/>
  <c r="K4" i="35"/>
  <c r="I4" i="35"/>
  <c r="H4" i="35"/>
  <c r="F4" i="35"/>
  <c r="E4" i="35"/>
  <c r="D4" i="35"/>
  <c r="C4" i="35"/>
  <c r="E41" i="35"/>
  <c r="H41" i="35"/>
  <c r="I41" i="35"/>
  <c r="K41" i="35"/>
  <c r="X41" i="35"/>
  <c r="Y41" i="35"/>
  <c r="Z41" i="35"/>
  <c r="AA41" i="35"/>
  <c r="W4" i="35" l="1"/>
  <c r="P4" i="35"/>
  <c r="J4" i="35"/>
  <c r="G4" i="35"/>
  <c r="M4" i="35"/>
  <c r="L4" i="35"/>
  <c r="M41" i="35"/>
  <c r="W41" i="35"/>
  <c r="J41" i="35"/>
  <c r="L41" i="35"/>
  <c r="N41" i="35" l="1"/>
  <c r="F41" i="35"/>
  <c r="D41" i="35"/>
  <c r="O41" i="35"/>
  <c r="G41" i="35" l="1"/>
  <c r="P41" i="35"/>
  <c r="AD41" i="35" l="1"/>
  <c r="BO13" i="32"/>
  <c r="C8" i="35"/>
  <c r="D8" i="35"/>
  <c r="E8" i="35"/>
  <c r="F8" i="35"/>
  <c r="H8" i="35"/>
  <c r="I8" i="35"/>
  <c r="K8" i="35"/>
  <c r="N8" i="35"/>
  <c r="O8" i="35"/>
  <c r="AA57" i="35"/>
  <c r="Z57" i="35"/>
  <c r="Y57" i="35"/>
  <c r="X57" i="35"/>
  <c r="AA56" i="35"/>
  <c r="Z56" i="35"/>
  <c r="Y56" i="35"/>
  <c r="X56" i="35"/>
  <c r="AA55" i="35"/>
  <c r="Z55" i="35"/>
  <c r="Y55" i="35"/>
  <c r="X55" i="35"/>
  <c r="AA54" i="35"/>
  <c r="Z54" i="35"/>
  <c r="Y54" i="35"/>
  <c r="X54" i="35"/>
  <c r="AA53" i="35"/>
  <c r="Z53" i="35"/>
  <c r="Y53" i="35"/>
  <c r="X53" i="35"/>
  <c r="AA52" i="35"/>
  <c r="Z52" i="35"/>
  <c r="Y52" i="35"/>
  <c r="X52" i="35"/>
  <c r="AA51" i="35"/>
  <c r="Z51" i="35"/>
  <c r="Y51" i="35"/>
  <c r="X51" i="35"/>
  <c r="AA50" i="35"/>
  <c r="Z50" i="35"/>
  <c r="Y50" i="35"/>
  <c r="X50" i="35"/>
  <c r="AA42" i="35"/>
  <c r="AA40" i="35" s="1"/>
  <c r="Z42" i="35"/>
  <c r="Z40" i="35" s="1"/>
  <c r="Y42" i="35"/>
  <c r="Y40" i="35" s="1"/>
  <c r="X42" i="35"/>
  <c r="X40" i="35" s="1"/>
  <c r="X36" i="35"/>
  <c r="AA36" i="35"/>
  <c r="Z36" i="35"/>
  <c r="Y36" i="35"/>
  <c r="X31" i="35"/>
  <c r="Y31" i="35"/>
  <c r="Z31" i="35"/>
  <c r="AA31" i="35"/>
  <c r="X33" i="35"/>
  <c r="Y33" i="35"/>
  <c r="Z33" i="35"/>
  <c r="AA33" i="35"/>
  <c r="X34" i="35"/>
  <c r="Y34" i="35"/>
  <c r="Z34" i="35"/>
  <c r="AA34" i="35"/>
  <c r="AA30" i="35"/>
  <c r="Z30" i="35"/>
  <c r="Y30" i="35"/>
  <c r="X30" i="35"/>
  <c r="C34" i="35"/>
  <c r="E34" i="35"/>
  <c r="H34" i="35"/>
  <c r="I34" i="35"/>
  <c r="K34" i="35"/>
  <c r="C6" i="35"/>
  <c r="E6" i="35"/>
  <c r="H6" i="35"/>
  <c r="I6" i="35"/>
  <c r="K6" i="35"/>
  <c r="C10" i="35"/>
  <c r="E10" i="35"/>
  <c r="H10" i="35"/>
  <c r="I10" i="35"/>
  <c r="K10" i="35"/>
  <c r="X37" i="35" l="1"/>
  <c r="X35" i="35" s="1"/>
  <c r="Y37" i="35"/>
  <c r="Y35" i="35" s="1"/>
  <c r="Z37" i="35"/>
  <c r="Z35" i="35" s="1"/>
  <c r="AA37" i="35"/>
  <c r="AA35" i="35" s="1"/>
  <c r="Z49" i="35"/>
  <c r="Z47" i="35" s="1"/>
  <c r="Y49" i="35"/>
  <c r="Y47" i="35" s="1"/>
  <c r="Z29" i="35"/>
  <c r="X29" i="35"/>
  <c r="AA49" i="35"/>
  <c r="AA47" i="35" s="1"/>
  <c r="AA29" i="35"/>
  <c r="X49" i="35"/>
  <c r="X47" i="35" s="1"/>
  <c r="Y29" i="35"/>
  <c r="W8" i="35"/>
  <c r="J8" i="35"/>
  <c r="P8" i="35"/>
  <c r="AD8" i="35" s="1"/>
  <c r="G8" i="35"/>
  <c r="J34" i="35"/>
  <c r="M8" i="35"/>
  <c r="W34" i="35"/>
  <c r="L8" i="35"/>
  <c r="M34" i="35"/>
  <c r="L34" i="35"/>
  <c r="M6" i="35"/>
  <c r="W6" i="35"/>
  <c r="J6" i="35"/>
  <c r="L6" i="35"/>
  <c r="J10" i="35"/>
  <c r="M10" i="35"/>
  <c r="L10" i="35"/>
  <c r="F10" i="35" l="1"/>
  <c r="D10" i="35"/>
  <c r="F6" i="35"/>
  <c r="G6" i="35" s="1"/>
  <c r="D6" i="35"/>
  <c r="N10" i="35"/>
  <c r="N34" i="35"/>
  <c r="N6" i="35"/>
  <c r="O10" i="35"/>
  <c r="O34" i="35"/>
  <c r="O6" i="35"/>
  <c r="F34" i="35"/>
  <c r="G34" i="35" s="1"/>
  <c r="D34" i="35"/>
  <c r="G10" i="35" l="1"/>
  <c r="P34" i="35"/>
  <c r="AD34" i="35" s="1"/>
  <c r="P6" i="35"/>
  <c r="P10" i="35"/>
  <c r="BL13" i="32"/>
  <c r="AD10" i="35" l="1"/>
  <c r="AD6" i="35"/>
  <c r="Q6" i="5" a="1"/>
  <c r="Q6" i="5" s="1"/>
  <c r="Q24" i="5" l="1" a="1"/>
  <c r="Q24" i="5" s="1"/>
  <c r="P24" i="5"/>
  <c r="H24" i="5"/>
  <c r="D24" i="5"/>
  <c r="C24" i="5" a="1"/>
  <c r="C24" i="5" s="1"/>
  <c r="Q23" i="5" a="1"/>
  <c r="Q23" i="5" s="1"/>
  <c r="P23" i="5"/>
  <c r="H23" i="5"/>
  <c r="D23" i="5"/>
  <c r="C23" i="5" a="1"/>
  <c r="C23" i="5" s="1"/>
  <c r="Q22" i="5" a="1"/>
  <c r="Q22" i="5" s="1"/>
  <c r="P22" i="5"/>
  <c r="H22" i="5"/>
  <c r="D22" i="5"/>
  <c r="C22" i="5" a="1"/>
  <c r="C22" i="5" s="1"/>
  <c r="Q21" i="5" a="1"/>
  <c r="Q21" i="5" s="1"/>
  <c r="P21" i="5"/>
  <c r="H21" i="5"/>
  <c r="D21" i="5"/>
  <c r="C21" i="5" a="1"/>
  <c r="C21" i="5" s="1"/>
  <c r="Q20" i="5" a="1"/>
  <c r="Q20" i="5" s="1"/>
  <c r="P20" i="5"/>
  <c r="H20" i="5"/>
  <c r="D20" i="5"/>
  <c r="C20" i="5" a="1"/>
  <c r="C20" i="5" s="1"/>
  <c r="Q19" i="5" a="1"/>
  <c r="Q19" i="5" s="1"/>
  <c r="P19" i="5"/>
  <c r="H19" i="5"/>
  <c r="D19" i="5"/>
  <c r="C19" i="5" a="1"/>
  <c r="C19" i="5" s="1"/>
  <c r="Q18" i="5" a="1"/>
  <c r="Q18" i="5" s="1"/>
  <c r="P18" i="5"/>
  <c r="H18" i="5"/>
  <c r="D18" i="5"/>
  <c r="C18" i="5" a="1"/>
  <c r="C18" i="5" s="1"/>
  <c r="Q17" i="5" a="1"/>
  <c r="Q17" i="5" s="1"/>
  <c r="P17" i="5"/>
  <c r="H17" i="5"/>
  <c r="D17" i="5"/>
  <c r="C17" i="5" a="1"/>
  <c r="C17" i="5" s="1"/>
  <c r="Q16" i="5" a="1"/>
  <c r="Q16" i="5" s="1"/>
  <c r="P16" i="5"/>
  <c r="H16" i="5"/>
  <c r="D16" i="5"/>
  <c r="C16" i="5" a="1"/>
  <c r="C16" i="5" s="1"/>
  <c r="Q15" i="5" a="1"/>
  <c r="Q15" i="5" s="1"/>
  <c r="P15" i="5"/>
  <c r="H15" i="5"/>
  <c r="D15" i="5"/>
  <c r="C15" i="5" a="1"/>
  <c r="C15" i="5" s="1"/>
  <c r="Q14" i="5" a="1"/>
  <c r="Q14" i="5" s="1"/>
  <c r="P14" i="5"/>
  <c r="H14" i="5"/>
  <c r="D14" i="5"/>
  <c r="C14" i="5" a="1"/>
  <c r="C14" i="5" s="1"/>
  <c r="Q13" i="5" a="1"/>
  <c r="Q13" i="5" s="1"/>
  <c r="P13" i="5"/>
  <c r="H13" i="5"/>
  <c r="D13" i="5"/>
  <c r="C13" i="5" a="1"/>
  <c r="C13" i="5" s="1"/>
  <c r="Q12" i="5" a="1"/>
  <c r="Q12" i="5" s="1"/>
  <c r="P12" i="5"/>
  <c r="H12" i="5"/>
  <c r="D12" i="5"/>
  <c r="Q11" i="5" a="1"/>
  <c r="Q11" i="5" s="1"/>
  <c r="P11" i="5"/>
  <c r="H11" i="5"/>
  <c r="D11" i="5"/>
  <c r="Q10" i="5" a="1"/>
  <c r="Q10" i="5" s="1"/>
  <c r="P10" i="5"/>
  <c r="H10" i="5"/>
  <c r="D10" i="5"/>
  <c r="Q9" i="5" a="1"/>
  <c r="Q9" i="5" s="1"/>
  <c r="P9" i="5"/>
  <c r="H9" i="5"/>
  <c r="D9" i="5"/>
  <c r="Q8" i="5" a="1"/>
  <c r="Q8" i="5" s="1"/>
  <c r="P8" i="5"/>
  <c r="H8" i="5"/>
  <c r="D8" i="5"/>
  <c r="Q7" i="5" a="1"/>
  <c r="Q7" i="5" s="1"/>
  <c r="P7" i="5"/>
  <c r="H7" i="5"/>
  <c r="D7" i="5"/>
  <c r="P6" i="5"/>
  <c r="H6" i="5"/>
  <c r="D6" i="5"/>
  <c r="Q5" i="5" a="1"/>
  <c r="Q5" i="5" s="1"/>
  <c r="P5" i="5"/>
  <c r="H5" i="5"/>
  <c r="D5" i="5"/>
  <c r="Q4" i="5" a="1"/>
  <c r="Q4" i="5" s="1"/>
  <c r="P4" i="5"/>
  <c r="H4" i="5"/>
  <c r="D4" i="5"/>
  <c r="D3" i="5"/>
  <c r="C3" i="5" a="1"/>
  <c r="C3" i="5" s="1"/>
  <c r="S7" i="5" l="1"/>
  <c r="F3" i="5"/>
  <c r="G3" i="5"/>
  <c r="D31" i="5"/>
  <c r="H31" i="5"/>
  <c r="I24" i="5" l="1"/>
  <c r="I23" i="5"/>
  <c r="I9" i="5"/>
  <c r="I7" i="5"/>
  <c r="I18" i="5"/>
  <c r="I10" i="5"/>
  <c r="I21" i="5"/>
  <c r="I16" i="5"/>
  <c r="I11" i="5"/>
  <c r="I4" i="5"/>
  <c r="I14" i="5"/>
  <c r="I8" i="5"/>
  <c r="L7" i="5"/>
  <c r="I22" i="5"/>
  <c r="M7" i="5"/>
  <c r="I15" i="5"/>
  <c r="I20" i="5"/>
  <c r="I12" i="5"/>
  <c r="I13" i="5"/>
  <c r="I6" i="5"/>
  <c r="I5" i="5"/>
  <c r="I19" i="5"/>
  <c r="I17" i="5"/>
  <c r="M18" i="5"/>
  <c r="L18" i="5"/>
  <c r="L9" i="5"/>
  <c r="M9" i="5"/>
  <c r="L16" i="5"/>
  <c r="L11" i="5"/>
  <c r="M16" i="5"/>
  <c r="M11" i="5"/>
  <c r="L24" i="5"/>
  <c r="M24" i="5"/>
  <c r="M23" i="5"/>
  <c r="M21" i="5"/>
  <c r="M22" i="5"/>
  <c r="L6" i="5"/>
  <c r="L5" i="5"/>
  <c r="L19" i="5"/>
  <c r="M6" i="5"/>
  <c r="M5" i="5"/>
  <c r="M19" i="5"/>
  <c r="M17" i="5"/>
  <c r="L10" i="5"/>
  <c r="M10" i="5"/>
  <c r="L23" i="5"/>
  <c r="L21" i="5"/>
  <c r="L14" i="5"/>
  <c r="L17" i="5"/>
  <c r="M14" i="5"/>
  <c r="L8" i="5"/>
  <c r="L22" i="5"/>
  <c r="L15" i="5"/>
  <c r="L20" i="5"/>
  <c r="M8" i="5"/>
  <c r="M15" i="5"/>
  <c r="M20" i="5"/>
  <c r="M4" i="5"/>
  <c r="L12" i="5"/>
  <c r="L4" i="5"/>
  <c r="M12" i="5"/>
  <c r="L13" i="5"/>
  <c r="M13" i="5"/>
  <c r="O57" i="35"/>
  <c r="N57" i="35"/>
  <c r="K57" i="35"/>
  <c r="I57" i="35"/>
  <c r="H57" i="35"/>
  <c r="F57" i="35"/>
  <c r="E57" i="35"/>
  <c r="O56" i="35"/>
  <c r="N56" i="35"/>
  <c r="K56" i="35"/>
  <c r="I56" i="35"/>
  <c r="H56" i="35"/>
  <c r="F56" i="35"/>
  <c r="E56" i="35"/>
  <c r="O55" i="35"/>
  <c r="N55" i="35"/>
  <c r="K55" i="35"/>
  <c r="I55" i="35"/>
  <c r="H55" i="35"/>
  <c r="F55" i="35"/>
  <c r="E55" i="35"/>
  <c r="K54" i="35"/>
  <c r="I54" i="35"/>
  <c r="H54" i="35"/>
  <c r="E54" i="35"/>
  <c r="O53" i="35"/>
  <c r="N53" i="35"/>
  <c r="K53" i="35"/>
  <c r="I53" i="35"/>
  <c r="H53" i="35"/>
  <c r="F53" i="35"/>
  <c r="E53" i="35"/>
  <c r="O52" i="35"/>
  <c r="N52" i="35"/>
  <c r="K52" i="35"/>
  <c r="I52" i="35"/>
  <c r="H52" i="35"/>
  <c r="F52" i="35"/>
  <c r="E52" i="35"/>
  <c r="K51" i="35"/>
  <c r="I51" i="35"/>
  <c r="H51" i="35"/>
  <c r="E51" i="35"/>
  <c r="K50" i="35"/>
  <c r="I50" i="35"/>
  <c r="H50" i="35"/>
  <c r="E50" i="35"/>
  <c r="O42" i="35"/>
  <c r="O40" i="35" s="1"/>
  <c r="N42" i="35"/>
  <c r="N40" i="35" s="1"/>
  <c r="K42" i="35"/>
  <c r="K40" i="35" s="1"/>
  <c r="I42" i="35"/>
  <c r="I40" i="35" s="1"/>
  <c r="H42" i="35"/>
  <c r="H40" i="35" s="1"/>
  <c r="F42" i="35"/>
  <c r="F40" i="35" s="1"/>
  <c r="E42" i="35"/>
  <c r="E40" i="35" s="1"/>
  <c r="O36" i="35"/>
  <c r="N36" i="35"/>
  <c r="K36" i="35"/>
  <c r="I36" i="35"/>
  <c r="H36" i="35"/>
  <c r="F36" i="35"/>
  <c r="E36" i="35"/>
  <c r="O33" i="35"/>
  <c r="N33" i="35"/>
  <c r="K33" i="35"/>
  <c r="I33" i="35"/>
  <c r="H33" i="35"/>
  <c r="F33" i="35"/>
  <c r="E33" i="35"/>
  <c r="O31" i="35"/>
  <c r="N31" i="35"/>
  <c r="K31" i="35"/>
  <c r="I31" i="35"/>
  <c r="H31" i="35"/>
  <c r="F31" i="35"/>
  <c r="E31" i="35"/>
  <c r="O30" i="35"/>
  <c r="N30" i="35"/>
  <c r="K30" i="35"/>
  <c r="I30" i="35"/>
  <c r="H30" i="35"/>
  <c r="F30" i="35"/>
  <c r="E30" i="35"/>
  <c r="K15" i="35"/>
  <c r="I15" i="35"/>
  <c r="H15" i="35"/>
  <c r="E15" i="35"/>
  <c r="K20" i="35"/>
  <c r="I20" i="35"/>
  <c r="H20" i="35"/>
  <c r="E20" i="35"/>
  <c r="K19" i="35"/>
  <c r="I19" i="35"/>
  <c r="H19" i="35"/>
  <c r="E19" i="35"/>
  <c r="K12" i="35"/>
  <c r="I12" i="35"/>
  <c r="H12" i="35"/>
  <c r="E12" i="35"/>
  <c r="K11" i="35"/>
  <c r="I11" i="35"/>
  <c r="H11" i="35"/>
  <c r="E11" i="35"/>
  <c r="K27" i="35"/>
  <c r="K26" i="35" s="1"/>
  <c r="I27" i="35"/>
  <c r="I26" i="35" s="1"/>
  <c r="H27" i="35"/>
  <c r="H26" i="35" s="1"/>
  <c r="E27" i="35"/>
  <c r="E26" i="35" s="1"/>
  <c r="K25" i="35"/>
  <c r="I25" i="35"/>
  <c r="H25" i="35"/>
  <c r="E25" i="35"/>
  <c r="K23" i="35"/>
  <c r="I23" i="35"/>
  <c r="H23" i="35"/>
  <c r="E23" i="35"/>
  <c r="K7" i="35"/>
  <c r="I7" i="35"/>
  <c r="H7" i="35"/>
  <c r="E7" i="35"/>
  <c r="E5" i="35" s="1"/>
  <c r="I9" i="35" l="1"/>
  <c r="K9" i="35"/>
  <c r="E9" i="35"/>
  <c r="H9" i="35"/>
  <c r="E49" i="35"/>
  <c r="E47" i="35" s="1"/>
  <c r="H37" i="35"/>
  <c r="H35" i="35" s="1"/>
  <c r="E37" i="35"/>
  <c r="E35" i="35" s="1"/>
  <c r="I37" i="35"/>
  <c r="I35" i="35" s="1"/>
  <c r="K37" i="35"/>
  <c r="K35" i="35" s="1"/>
  <c r="K18" i="35"/>
  <c r="I18" i="35"/>
  <c r="E18" i="35"/>
  <c r="H18" i="35"/>
  <c r="E14" i="35"/>
  <c r="H14" i="35"/>
  <c r="I14" i="35"/>
  <c r="K14" i="35"/>
  <c r="AE31" i="5"/>
  <c r="E22" i="35"/>
  <c r="I22" i="35"/>
  <c r="K22" i="35"/>
  <c r="H22" i="35"/>
  <c r="E31" i="5"/>
  <c r="E29" i="35"/>
  <c r="K5" i="35"/>
  <c r="I29" i="35"/>
  <c r="I5" i="35"/>
  <c r="H29" i="35"/>
  <c r="K29" i="35"/>
  <c r="H5" i="35"/>
  <c r="K17" i="35" l="1"/>
  <c r="H3" i="35"/>
  <c r="I3" i="35"/>
  <c r="E3" i="35"/>
  <c r="K3" i="35"/>
  <c r="H17" i="35"/>
  <c r="I17" i="35"/>
  <c r="E17" i="35"/>
  <c r="D33" i="35"/>
  <c r="C33" i="35"/>
  <c r="D30" i="35"/>
  <c r="BL6" i="32"/>
  <c r="BL7" i="32" s="1"/>
  <c r="F51" i="35"/>
  <c r="BO15" i="32"/>
  <c r="EC13" i="32"/>
  <c r="EC15" i="32" s="1"/>
  <c r="EB13" i="32"/>
  <c r="EB15" i="32" s="1"/>
  <c r="EA13" i="32"/>
  <c r="EA15" i="32" s="1"/>
  <c r="DZ13" i="32"/>
  <c r="DZ15" i="32" s="1"/>
  <c r="DY13" i="32"/>
  <c r="DY15" i="32" s="1"/>
  <c r="DX13" i="32"/>
  <c r="DX15" i="32" s="1"/>
  <c r="DW13" i="32"/>
  <c r="DW15" i="32" s="1"/>
  <c r="DV13" i="32"/>
  <c r="DV15" i="32" s="1"/>
  <c r="DU13" i="32"/>
  <c r="DU15" i="32" s="1"/>
  <c r="DT13" i="32"/>
  <c r="DT15" i="32" s="1"/>
  <c r="DS13" i="32"/>
  <c r="DS15" i="32" s="1"/>
  <c r="DR13" i="32"/>
  <c r="DR15" i="32" s="1"/>
  <c r="DQ13" i="32"/>
  <c r="DQ15" i="32" s="1"/>
  <c r="DP13" i="32"/>
  <c r="DP15" i="32" s="1"/>
  <c r="DO13" i="32"/>
  <c r="DO15" i="32" s="1"/>
  <c r="DN13" i="32"/>
  <c r="DN15" i="32" s="1"/>
  <c r="DM13" i="32"/>
  <c r="DM15" i="32" s="1"/>
  <c r="DL13" i="32"/>
  <c r="DL15" i="32" s="1"/>
  <c r="DK13" i="32"/>
  <c r="DK15" i="32" s="1"/>
  <c r="DJ13" i="32"/>
  <c r="DJ15" i="32" s="1"/>
  <c r="DI13" i="32"/>
  <c r="DI15" i="32" s="1"/>
  <c r="DH13" i="32"/>
  <c r="DH15" i="32" s="1"/>
  <c r="DG13" i="32"/>
  <c r="DG15" i="32" s="1"/>
  <c r="DF13" i="32"/>
  <c r="DF15" i="32" s="1"/>
  <c r="DE13" i="32"/>
  <c r="DE15" i="32" s="1"/>
  <c r="DD13" i="32"/>
  <c r="DD15" i="32" s="1"/>
  <c r="DC13" i="32"/>
  <c r="DC15" i="32" s="1"/>
  <c r="DB13" i="32"/>
  <c r="DB15" i="32" s="1"/>
  <c r="DA13" i="32"/>
  <c r="DA15" i="32" s="1"/>
  <c r="CZ13" i="32"/>
  <c r="CZ15" i="32" s="1"/>
  <c r="CY13" i="32"/>
  <c r="CY15" i="32" s="1"/>
  <c r="CX13" i="32"/>
  <c r="CX15" i="32" s="1"/>
  <c r="CW13" i="32"/>
  <c r="CW15" i="32" s="1"/>
  <c r="CV13" i="32"/>
  <c r="CV15" i="32" s="1"/>
  <c r="CU13" i="32"/>
  <c r="CU15" i="32" s="1"/>
  <c r="CT13" i="32"/>
  <c r="CT15" i="32" s="1"/>
  <c r="CS13" i="32"/>
  <c r="CS15" i="32" s="1"/>
  <c r="CR13" i="32"/>
  <c r="CR15" i="32" s="1"/>
  <c r="CQ13" i="32"/>
  <c r="CQ15" i="32" s="1"/>
  <c r="CP13" i="32"/>
  <c r="CP15" i="32" s="1"/>
  <c r="CO13" i="32"/>
  <c r="CO15" i="32" s="1"/>
  <c r="CN13" i="32"/>
  <c r="CN15" i="32" s="1"/>
  <c r="CM13" i="32"/>
  <c r="CM15" i="32" s="1"/>
  <c r="CL13" i="32"/>
  <c r="CL15" i="32" s="1"/>
  <c r="CK13" i="32"/>
  <c r="CK15" i="32" s="1"/>
  <c r="CJ13" i="32"/>
  <c r="CJ15" i="32" s="1"/>
  <c r="CI13" i="32"/>
  <c r="CI15" i="32" s="1"/>
  <c r="CH13" i="32"/>
  <c r="CH15" i="32" s="1"/>
  <c r="CG13" i="32"/>
  <c r="CG15" i="32" s="1"/>
  <c r="CF13" i="32"/>
  <c r="CF15" i="32" s="1"/>
  <c r="CE13" i="32"/>
  <c r="CE15" i="32" s="1"/>
  <c r="CD13" i="32"/>
  <c r="CD15" i="32" s="1"/>
  <c r="CC13" i="32"/>
  <c r="CC15" i="32" s="1"/>
  <c r="CB13" i="32"/>
  <c r="CB15" i="32" s="1"/>
  <c r="CA13" i="32"/>
  <c r="CA15" i="32" s="1"/>
  <c r="BZ13" i="32"/>
  <c r="BZ15" i="32" s="1"/>
  <c r="BY13" i="32"/>
  <c r="BY15" i="32" s="1"/>
  <c r="BX13" i="32"/>
  <c r="BX15" i="32" s="1"/>
  <c r="BW13" i="32"/>
  <c r="BW15" i="32" s="1"/>
  <c r="BV13" i="32"/>
  <c r="BV15" i="32" s="1"/>
  <c r="BU13" i="32"/>
  <c r="BU15" i="32" s="1"/>
  <c r="BT13" i="32"/>
  <c r="BT15" i="32" s="1"/>
  <c r="BS13" i="32"/>
  <c r="BS15" i="32" s="1"/>
  <c r="BR13" i="32"/>
  <c r="BR15" i="32" s="1"/>
  <c r="BQ13" i="32"/>
  <c r="BQ15" i="32" s="1"/>
  <c r="BP13" i="32"/>
  <c r="BP15" i="32" s="1"/>
  <c r="BN13" i="32"/>
  <c r="BN15" i="32" s="1"/>
  <c r="BM13" i="32"/>
  <c r="BM15" i="32" s="1"/>
  <c r="BL15" i="32"/>
  <c r="BK13" i="32"/>
  <c r="BK15" i="32" s="1"/>
  <c r="BJ13" i="32"/>
  <c r="BJ15" i="32" s="1"/>
  <c r="BI13" i="32"/>
  <c r="BI15" i="32" s="1"/>
  <c r="BH13" i="32"/>
  <c r="BH15" i="32" s="1"/>
  <c r="BG13" i="32"/>
  <c r="BG15" i="32" s="1"/>
  <c r="BF13" i="32"/>
  <c r="BF15" i="32" s="1"/>
  <c r="BD13" i="32"/>
  <c r="BC13" i="32"/>
  <c r="BB13" i="32"/>
  <c r="BA13" i="32"/>
  <c r="AZ13" i="32"/>
  <c r="AY13" i="32"/>
  <c r="AX13" i="32"/>
  <c r="AW13" i="32"/>
  <c r="AW7" i="32" s="1"/>
  <c r="AV13" i="32"/>
  <c r="AU13" i="32"/>
  <c r="AT13" i="32"/>
  <c r="AS13" i="32"/>
  <c r="AR13" i="32"/>
  <c r="AQ13" i="32"/>
  <c r="AQ7" i="32" s="1"/>
  <c r="AP13" i="32"/>
  <c r="AO13" i="32"/>
  <c r="AN13" i="32"/>
  <c r="AM13" i="32"/>
  <c r="AL13" i="32"/>
  <c r="AK13" i="32"/>
  <c r="AK7" i="32" s="1"/>
  <c r="AJ13" i="32"/>
  <c r="AI13" i="32"/>
  <c r="AH13" i="32"/>
  <c r="AG13" i="32"/>
  <c r="Z13" i="32"/>
  <c r="Z7" i="32" s="1"/>
  <c r="Y13" i="32"/>
  <c r="N13" i="32"/>
  <c r="N7" i="32" s="1"/>
  <c r="M13" i="32"/>
  <c r="EC9" i="32"/>
  <c r="EC17" i="32" s="1"/>
  <c r="EB9" i="32"/>
  <c r="EB17" i="32" s="1"/>
  <c r="EA9" i="32"/>
  <c r="EA17" i="32" s="1"/>
  <c r="DZ9" i="32"/>
  <c r="DZ17" i="32" s="1"/>
  <c r="DY9" i="32"/>
  <c r="DY17" i="32" s="1"/>
  <c r="DX9" i="32"/>
  <c r="DX17" i="32" s="1"/>
  <c r="DW9" i="32"/>
  <c r="DW17" i="32" s="1"/>
  <c r="DV9" i="32"/>
  <c r="DV17" i="32" s="1"/>
  <c r="DU9" i="32"/>
  <c r="DU17" i="32" s="1"/>
  <c r="DT9" i="32"/>
  <c r="DT17" i="32" s="1"/>
  <c r="DS9" i="32"/>
  <c r="DS17" i="32" s="1"/>
  <c r="DR9" i="32"/>
  <c r="DR17" i="32" s="1"/>
  <c r="DQ9" i="32"/>
  <c r="DQ17" i="32" s="1"/>
  <c r="DP9" i="32"/>
  <c r="DP17" i="32" s="1"/>
  <c r="DO9" i="32"/>
  <c r="DO17" i="32" s="1"/>
  <c r="DN9" i="32"/>
  <c r="DN17" i="32" s="1"/>
  <c r="DM9" i="32"/>
  <c r="DM17" i="32" s="1"/>
  <c r="DL9" i="32"/>
  <c r="DL17" i="32" s="1"/>
  <c r="DK9" i="32"/>
  <c r="DK17" i="32" s="1"/>
  <c r="DJ9" i="32"/>
  <c r="DJ17" i="32" s="1"/>
  <c r="DI9" i="32"/>
  <c r="DI17" i="32" s="1"/>
  <c r="DH9" i="32"/>
  <c r="DH17" i="32" s="1"/>
  <c r="DG9" i="32"/>
  <c r="DG17" i="32" s="1"/>
  <c r="DF9" i="32"/>
  <c r="DF17" i="32" s="1"/>
  <c r="DE9" i="32"/>
  <c r="DE17" i="32" s="1"/>
  <c r="DD9" i="32"/>
  <c r="DD17" i="32" s="1"/>
  <c r="DC9" i="32"/>
  <c r="DC17" i="32" s="1"/>
  <c r="DB9" i="32"/>
  <c r="DB17" i="32" s="1"/>
  <c r="DA9" i="32"/>
  <c r="DA17" i="32" s="1"/>
  <c r="CZ9" i="32"/>
  <c r="CZ17" i="32" s="1"/>
  <c r="CY9" i="32"/>
  <c r="CY17" i="32" s="1"/>
  <c r="CX9" i="32"/>
  <c r="CX17" i="32" s="1"/>
  <c r="CW9" i="32"/>
  <c r="CW17" i="32" s="1"/>
  <c r="CV9" i="32"/>
  <c r="CV17" i="32" s="1"/>
  <c r="CU9" i="32"/>
  <c r="CU17" i="32" s="1"/>
  <c r="CT9" i="32"/>
  <c r="CT17" i="32" s="1"/>
  <c r="CS9" i="32"/>
  <c r="CS17" i="32" s="1"/>
  <c r="CR9" i="32"/>
  <c r="CR17" i="32" s="1"/>
  <c r="CQ9" i="32"/>
  <c r="CQ17" i="32" s="1"/>
  <c r="CP9" i="32"/>
  <c r="CP17" i="32" s="1"/>
  <c r="CO9" i="32"/>
  <c r="CO17" i="32" s="1"/>
  <c r="CN9" i="32"/>
  <c r="CN17" i="32" s="1"/>
  <c r="CM9" i="32"/>
  <c r="CM17" i="32" s="1"/>
  <c r="CL9" i="32"/>
  <c r="CL17" i="32" s="1"/>
  <c r="CK9" i="32"/>
  <c r="CK17" i="32" s="1"/>
  <c r="CJ9" i="32"/>
  <c r="CJ17" i="32" s="1"/>
  <c r="CI9" i="32"/>
  <c r="CI17" i="32" s="1"/>
  <c r="CH9" i="32"/>
  <c r="CH17" i="32" s="1"/>
  <c r="CG9" i="32"/>
  <c r="CG17" i="32" s="1"/>
  <c r="CF9" i="32"/>
  <c r="CF17" i="32" s="1"/>
  <c r="CE9" i="32"/>
  <c r="CE17" i="32" s="1"/>
  <c r="CD9" i="32"/>
  <c r="CD17" i="32" s="1"/>
  <c r="CC9" i="32"/>
  <c r="CC17" i="32" s="1"/>
  <c r="CB9" i="32"/>
  <c r="CB17" i="32" s="1"/>
  <c r="CA9" i="32"/>
  <c r="CA17" i="32" s="1"/>
  <c r="BZ9" i="32"/>
  <c r="BZ17" i="32" s="1"/>
  <c r="BY9" i="32"/>
  <c r="BY17" i="32" s="1"/>
  <c r="BX9" i="32"/>
  <c r="BX17" i="32" s="1"/>
  <c r="BW9" i="32"/>
  <c r="BW17" i="32" s="1"/>
  <c r="BV9" i="32"/>
  <c r="BV17" i="32" s="1"/>
  <c r="BU9" i="32"/>
  <c r="BU17" i="32" s="1"/>
  <c r="BT9" i="32"/>
  <c r="BT17" i="32" s="1"/>
  <c r="BS9" i="32"/>
  <c r="BS17" i="32" s="1"/>
  <c r="BR9" i="32"/>
  <c r="BR17" i="32" s="1"/>
  <c r="BQ9" i="32"/>
  <c r="BQ17" i="32" s="1"/>
  <c r="BP9" i="32"/>
  <c r="BP17" i="32" s="1"/>
  <c r="BO9" i="32"/>
  <c r="BO17" i="32" s="1"/>
  <c r="BN9" i="32"/>
  <c r="BN17" i="32" s="1"/>
  <c r="BM9" i="32"/>
  <c r="BM17" i="32" s="1"/>
  <c r="BL9" i="32"/>
  <c r="BL17" i="32" s="1"/>
  <c r="BK9" i="32"/>
  <c r="BK17" i="32" s="1"/>
  <c r="BJ9" i="32"/>
  <c r="BJ17" i="32" s="1"/>
  <c r="BI9" i="32"/>
  <c r="BI17" i="32" s="1"/>
  <c r="BH9" i="32"/>
  <c r="BH17" i="32" s="1"/>
  <c r="BG9" i="32"/>
  <c r="BG17" i="32" s="1"/>
  <c r="BF9" i="32"/>
  <c r="BF17" i="32" s="1"/>
  <c r="BE9" i="32"/>
  <c r="BE17" i="32" s="1"/>
  <c r="BD9" i="32"/>
  <c r="BC9" i="32"/>
  <c r="BB9" i="32"/>
  <c r="BB19" i="32" s="1"/>
  <c r="BA9" i="32"/>
  <c r="BA19" i="32" s="1"/>
  <c r="AZ9" i="32"/>
  <c r="AZ19" i="32" s="1"/>
  <c r="AY9" i="32"/>
  <c r="AY19" i="32" s="1"/>
  <c r="AX9" i="32"/>
  <c r="AX19" i="32" s="1"/>
  <c r="AW9" i="32"/>
  <c r="AW19" i="32" s="1"/>
  <c r="AV9" i="32"/>
  <c r="AV19" i="32" s="1"/>
  <c r="AU9" i="32"/>
  <c r="AU19" i="32" s="1"/>
  <c r="AT9" i="32"/>
  <c r="AT19" i="32" s="1"/>
  <c r="AS9" i="32"/>
  <c r="AS19" i="32" s="1"/>
  <c r="AR9" i="32"/>
  <c r="AR19" i="32" s="1"/>
  <c r="AQ9" i="32"/>
  <c r="AQ19" i="32" s="1"/>
  <c r="AP9" i="32"/>
  <c r="AP19" i="32" s="1"/>
  <c r="AO9" i="32"/>
  <c r="AO19" i="32" s="1"/>
  <c r="AN9" i="32"/>
  <c r="AN19" i="32" s="1"/>
  <c r="AM9" i="32"/>
  <c r="AM19" i="32" s="1"/>
  <c r="AL9" i="32"/>
  <c r="AL19" i="32" s="1"/>
  <c r="AK9" i="32"/>
  <c r="AK19" i="32" s="1"/>
  <c r="AJ9" i="32"/>
  <c r="AJ19" i="32" s="1"/>
  <c r="AI9" i="32"/>
  <c r="AI19" i="32" s="1"/>
  <c r="AH9" i="32"/>
  <c r="AH19" i="32" s="1"/>
  <c r="AG9" i="32"/>
  <c r="AG19" i="32" s="1"/>
  <c r="AF9" i="32"/>
  <c r="AF19" i="32" s="1"/>
  <c r="AE9" i="32"/>
  <c r="AE19" i="32" s="1"/>
  <c r="AD9" i="32"/>
  <c r="AD19" i="32" s="1"/>
  <c r="AC9" i="32"/>
  <c r="AC19" i="32" s="1"/>
  <c r="AB9" i="32"/>
  <c r="AB19" i="32" s="1"/>
  <c r="AA9" i="32"/>
  <c r="AA19" i="32" s="1"/>
  <c r="Z9" i="32"/>
  <c r="Z19" i="32" s="1"/>
  <c r="Y9" i="32"/>
  <c r="Y19" i="32" s="1"/>
  <c r="X9" i="32"/>
  <c r="X19" i="32" s="1"/>
  <c r="W9" i="32"/>
  <c r="W19" i="32" s="1"/>
  <c r="V9" i="32"/>
  <c r="V19" i="32" s="1"/>
  <c r="U9" i="32"/>
  <c r="U19" i="32" s="1"/>
  <c r="T9" i="32"/>
  <c r="T19" i="32" s="1"/>
  <c r="S9" i="32"/>
  <c r="S19" i="32" s="1"/>
  <c r="R9" i="32"/>
  <c r="R19" i="32" s="1"/>
  <c r="Q9" i="32"/>
  <c r="Q19" i="32" s="1"/>
  <c r="P9" i="32"/>
  <c r="P19" i="32" s="1"/>
  <c r="O9" i="32"/>
  <c r="O19" i="32" s="1"/>
  <c r="N9" i="32"/>
  <c r="N19" i="32" s="1"/>
  <c r="M9" i="32"/>
  <c r="M19" i="32" s="1"/>
  <c r="L9" i="32"/>
  <c r="L19" i="32" s="1"/>
  <c r="K9" i="32"/>
  <c r="K19" i="32" s="1"/>
  <c r="J9" i="32"/>
  <c r="J19" i="32" s="1"/>
  <c r="I9" i="32"/>
  <c r="H9" i="32"/>
  <c r="G9" i="32"/>
  <c r="F9" i="32"/>
  <c r="E9" i="32"/>
  <c r="D9" i="32"/>
  <c r="DY7" i="32"/>
  <c r="DX7" i="32"/>
  <c r="DU7" i="32"/>
  <c r="DS7" i="32"/>
  <c r="DM7" i="32"/>
  <c r="DL7" i="32"/>
  <c r="DI7" i="32"/>
  <c r="DG7" i="32"/>
  <c r="DA7" i="32"/>
  <c r="CZ7" i="32"/>
  <c r="CW7" i="32"/>
  <c r="CU7" i="32"/>
  <c r="CO7" i="32"/>
  <c r="CN7" i="32"/>
  <c r="CK7" i="32"/>
  <c r="CI7" i="32"/>
  <c r="BQ7" i="32"/>
  <c r="BK7" i="32"/>
  <c r="BB7" i="32"/>
  <c r="BA7" i="32"/>
  <c r="AZ7" i="32"/>
  <c r="AV7" i="32"/>
  <c r="AU7" i="32"/>
  <c r="AP7" i="32"/>
  <c r="AO7" i="32"/>
  <c r="AN7" i="32"/>
  <c r="AJ7" i="32"/>
  <c r="AI7" i="32"/>
  <c r="EC6" i="32"/>
  <c r="EC7" i="32" s="1"/>
  <c r="EB6" i="32"/>
  <c r="EB7" i="32" s="1"/>
  <c r="EA6" i="32"/>
  <c r="EA7" i="32" s="1"/>
  <c r="DZ6" i="32"/>
  <c r="DZ7" i="32" s="1"/>
  <c r="DY6" i="32"/>
  <c r="DX6" i="32"/>
  <c r="DW6" i="32"/>
  <c r="DW7" i="32" s="1"/>
  <c r="DV6" i="32"/>
  <c r="DV7" i="32" s="1"/>
  <c r="DU6" i="32"/>
  <c r="DT6" i="32"/>
  <c r="DT7" i="32" s="1"/>
  <c r="DS6" i="32"/>
  <c r="DR6" i="32"/>
  <c r="DR7" i="32" s="1"/>
  <c r="DQ6" i="32"/>
  <c r="DQ7" i="32" s="1"/>
  <c r="DP6" i="32"/>
  <c r="DP7" i="32" s="1"/>
  <c r="DO6" i="32"/>
  <c r="DO7" i="32" s="1"/>
  <c r="DN6" i="32"/>
  <c r="DN7" i="32" s="1"/>
  <c r="DM6" i="32"/>
  <c r="DL6" i="32"/>
  <c r="DK6" i="32"/>
  <c r="DK7" i="32" s="1"/>
  <c r="DJ6" i="32"/>
  <c r="DJ7" i="32" s="1"/>
  <c r="DI6" i="32"/>
  <c r="DH6" i="32"/>
  <c r="DH7" i="32" s="1"/>
  <c r="DG6" i="32"/>
  <c r="DF6" i="32"/>
  <c r="DF7" i="32" s="1"/>
  <c r="DE6" i="32"/>
  <c r="DE7" i="32" s="1"/>
  <c r="DD6" i="32"/>
  <c r="DD7" i="32" s="1"/>
  <c r="DC6" i="32"/>
  <c r="DC7" i="32" s="1"/>
  <c r="DB6" i="32"/>
  <c r="DB7" i="32" s="1"/>
  <c r="DA6" i="32"/>
  <c r="CZ6" i="32"/>
  <c r="CY6" i="32"/>
  <c r="CY7" i="32" s="1"/>
  <c r="CX6" i="32"/>
  <c r="CX7" i="32" s="1"/>
  <c r="CW6" i="32"/>
  <c r="CV6" i="32"/>
  <c r="CV7" i="32" s="1"/>
  <c r="CU6" i="32"/>
  <c r="CT6" i="32"/>
  <c r="CT7" i="32" s="1"/>
  <c r="CS6" i="32"/>
  <c r="CS7" i="32" s="1"/>
  <c r="CR6" i="32"/>
  <c r="CR7" i="32" s="1"/>
  <c r="CQ6" i="32"/>
  <c r="CQ7" i="32" s="1"/>
  <c r="CP6" i="32"/>
  <c r="CP7" i="32" s="1"/>
  <c r="CO6" i="32"/>
  <c r="CN6" i="32"/>
  <c r="CM6" i="32"/>
  <c r="CM7" i="32" s="1"/>
  <c r="CL6" i="32"/>
  <c r="CL7" i="32" s="1"/>
  <c r="CK6" i="32"/>
  <c r="CJ6" i="32"/>
  <c r="CJ7" i="32" s="1"/>
  <c r="CI6" i="32"/>
  <c r="CH6" i="32"/>
  <c r="CH7" i="32" s="1"/>
  <c r="CG6" i="32"/>
  <c r="CG7" i="32" s="1"/>
  <c r="CF6" i="32"/>
  <c r="CF7" i="32" s="1"/>
  <c r="CE6" i="32"/>
  <c r="CE7" i="32" s="1"/>
  <c r="CD6" i="32"/>
  <c r="CD7" i="32" s="1"/>
  <c r="CC6" i="32"/>
  <c r="CC7" i="32" s="1"/>
  <c r="CB6" i="32"/>
  <c r="CB7" i="32" s="1"/>
  <c r="CA6" i="32"/>
  <c r="CA7" i="32" s="1"/>
  <c r="BZ6" i="32"/>
  <c r="BZ7" i="32" s="1"/>
  <c r="BY6" i="32"/>
  <c r="BY7" i="32" s="1"/>
  <c r="BX6" i="32"/>
  <c r="BX7" i="32" s="1"/>
  <c r="BW6" i="32"/>
  <c r="BW7" i="32" s="1"/>
  <c r="BV6" i="32"/>
  <c r="BV7" i="32" s="1"/>
  <c r="BU6" i="32"/>
  <c r="BU7" i="32" s="1"/>
  <c r="BT6" i="32"/>
  <c r="BT7" i="32" s="1"/>
  <c r="BS6" i="32"/>
  <c r="BS7" i="32" s="1"/>
  <c r="BR6" i="32"/>
  <c r="BR7" i="32" s="1"/>
  <c r="BQ6" i="32"/>
  <c r="BP6" i="32"/>
  <c r="BP7" i="32" s="1"/>
  <c r="BO6" i="32"/>
  <c r="BO7" i="32" s="1"/>
  <c r="BN6" i="32"/>
  <c r="BN7" i="32" s="1"/>
  <c r="BM6" i="32"/>
  <c r="BM7" i="32" s="1"/>
  <c r="BK6" i="32"/>
  <c r="BJ6" i="32"/>
  <c r="BJ7" i="32" s="1"/>
  <c r="BI6" i="32"/>
  <c r="BI7" i="32" s="1"/>
  <c r="BH6" i="32"/>
  <c r="BH7" i="32" s="1"/>
  <c r="BG6" i="32"/>
  <c r="BG7" i="32" s="1"/>
  <c r="BF6" i="32"/>
  <c r="BE6" i="32"/>
  <c r="BD6" i="32"/>
  <c r="BC6" i="32"/>
  <c r="BB6" i="32"/>
  <c r="BA6" i="32"/>
  <c r="AZ6" i="32"/>
  <c r="AY6" i="32"/>
  <c r="AX6" i="32"/>
  <c r="AW6" i="32"/>
  <c r="AV6" i="32"/>
  <c r="AU6" i="32"/>
  <c r="AT6" i="32"/>
  <c r="AS6" i="32"/>
  <c r="AR6" i="32"/>
  <c r="AQ6" i="32"/>
  <c r="AP6" i="32"/>
  <c r="AO6" i="32"/>
  <c r="AN6" i="32"/>
  <c r="AM6" i="32"/>
  <c r="AL6" i="32"/>
  <c r="AK6" i="32"/>
  <c r="AJ6" i="32"/>
  <c r="AI6" i="32"/>
  <c r="AH6" i="32"/>
  <c r="AG6" i="32"/>
  <c r="S6" i="32"/>
  <c r="R6" i="32"/>
  <c r="Q6" i="32"/>
  <c r="P6" i="32"/>
  <c r="O6" i="32"/>
  <c r="N6" i="32"/>
  <c r="M6" i="32"/>
  <c r="L6" i="32"/>
  <c r="K6" i="32"/>
  <c r="J6" i="32"/>
  <c r="I6" i="32"/>
  <c r="H6" i="32"/>
  <c r="EC4" i="32"/>
  <c r="EB4" i="32"/>
  <c r="EA4" i="32"/>
  <c r="DZ4" i="32"/>
  <c r="DY4" i="32"/>
  <c r="DX4" i="32"/>
  <c r="DW4" i="32"/>
  <c r="DW3" i="32" s="1"/>
  <c r="DW21" i="32" s="1"/>
  <c r="DW23" i="32" s="1"/>
  <c r="DV4" i="32"/>
  <c r="DV3" i="32" s="1"/>
  <c r="DV21" i="32" s="1"/>
  <c r="DV23" i="32" s="1"/>
  <c r="DU4" i="32"/>
  <c r="DT4" i="32"/>
  <c r="DS4" i="32"/>
  <c r="DS3" i="32" s="1"/>
  <c r="DS21" i="32" s="1"/>
  <c r="DS23" i="32" s="1"/>
  <c r="DR4" i="32"/>
  <c r="DQ4" i="32"/>
  <c r="DP4" i="32"/>
  <c r="DO4" i="32"/>
  <c r="DN4" i="32"/>
  <c r="DM4" i="32"/>
  <c r="DL4" i="32"/>
  <c r="DK4" i="32"/>
  <c r="DK3" i="32" s="1"/>
  <c r="DK21" i="32" s="1"/>
  <c r="DK23" i="32" s="1"/>
  <c r="DJ4" i="32"/>
  <c r="DJ3" i="32" s="1"/>
  <c r="DJ21" i="32" s="1"/>
  <c r="DJ23" i="32" s="1"/>
  <c r="DI4" i="32"/>
  <c r="DH4" i="32"/>
  <c r="DG4" i="32"/>
  <c r="DG3" i="32" s="1"/>
  <c r="DG21" i="32" s="1"/>
  <c r="DG23" i="32" s="1"/>
  <c r="DF4" i="32"/>
  <c r="DE4" i="32"/>
  <c r="DD4" i="32"/>
  <c r="DC4" i="32"/>
  <c r="DB4" i="32"/>
  <c r="DA4" i="32"/>
  <c r="CZ4" i="32"/>
  <c r="CY4" i="32"/>
  <c r="CY3" i="32" s="1"/>
  <c r="CY21" i="32" s="1"/>
  <c r="CY23" i="32" s="1"/>
  <c r="CX4" i="32"/>
  <c r="CX3" i="32" s="1"/>
  <c r="CX21" i="32" s="1"/>
  <c r="CX23" i="32" s="1"/>
  <c r="CW4" i="32"/>
  <c r="CV4" i="32"/>
  <c r="CU4" i="32"/>
  <c r="CU3" i="32" s="1"/>
  <c r="CU21" i="32" s="1"/>
  <c r="CU23" i="32" s="1"/>
  <c r="CT4" i="32"/>
  <c r="CS4" i="32"/>
  <c r="CR4" i="32"/>
  <c r="CQ4" i="32"/>
  <c r="CP4" i="32"/>
  <c r="CO4" i="32"/>
  <c r="CN4" i="32"/>
  <c r="CM4" i="32"/>
  <c r="CM3" i="32" s="1"/>
  <c r="CM21" i="32" s="1"/>
  <c r="CM23" i="32" s="1"/>
  <c r="CL4" i="32"/>
  <c r="CL3" i="32" s="1"/>
  <c r="CL21" i="32" s="1"/>
  <c r="CL23" i="32" s="1"/>
  <c r="CK4" i="32"/>
  <c r="CJ4" i="32"/>
  <c r="CI4" i="32"/>
  <c r="CI3" i="32" s="1"/>
  <c r="CI21" i="32" s="1"/>
  <c r="CI23" i="32" s="1"/>
  <c r="CH4" i="32"/>
  <c r="CG4" i="32"/>
  <c r="CF4" i="32"/>
  <c r="CE4" i="32"/>
  <c r="CD4" i="32"/>
  <c r="CC4" i="32"/>
  <c r="CB4" i="32"/>
  <c r="CA4" i="32"/>
  <c r="CA3" i="32" s="1"/>
  <c r="CA21" i="32" s="1"/>
  <c r="CA23" i="32" s="1"/>
  <c r="BZ4" i="32"/>
  <c r="BZ3" i="32" s="1"/>
  <c r="BZ21" i="32" s="1"/>
  <c r="BZ23" i="32" s="1"/>
  <c r="BY4" i="32"/>
  <c r="BX4" i="32"/>
  <c r="BW4" i="32"/>
  <c r="BW3" i="32" s="1"/>
  <c r="BW21" i="32" s="1"/>
  <c r="BW23" i="32" s="1"/>
  <c r="BV4" i="32"/>
  <c r="BU4" i="32"/>
  <c r="BT4" i="32"/>
  <c r="BS4" i="32"/>
  <c r="BR4" i="32"/>
  <c r="BQ4" i="32"/>
  <c r="BP4" i="32"/>
  <c r="BO4" i="32"/>
  <c r="BO3" i="32" s="1"/>
  <c r="BO21" i="32" s="1"/>
  <c r="BO23" i="32" s="1"/>
  <c r="BN4" i="32"/>
  <c r="BN3" i="32" s="1"/>
  <c r="BN21" i="32" s="1"/>
  <c r="BN23" i="32" s="1"/>
  <c r="BM4" i="32"/>
  <c r="BL4" i="32"/>
  <c r="BK4" i="32"/>
  <c r="BK3" i="32" s="1"/>
  <c r="BK21" i="32" s="1"/>
  <c r="BK23" i="32" s="1"/>
  <c r="BJ4" i="32"/>
  <c r="BI4" i="32"/>
  <c r="BH4" i="32"/>
  <c r="BH3" i="32" s="1"/>
  <c r="BH21" i="32" s="1"/>
  <c r="BH23" i="32" s="1"/>
  <c r="BG4" i="32"/>
  <c r="BE4" i="32"/>
  <c r="BD4" i="32"/>
  <c r="BC4" i="32"/>
  <c r="BB4" i="32"/>
  <c r="BB3" i="32" s="1"/>
  <c r="BA4" i="32"/>
  <c r="BA3" i="32" s="1"/>
  <c r="BA21" i="32" s="1"/>
  <c r="AZ4" i="32"/>
  <c r="AY4" i="32"/>
  <c r="AX4" i="32"/>
  <c r="AX3" i="32" s="1"/>
  <c r="AX21" i="32" s="1"/>
  <c r="AW4" i="32"/>
  <c r="AV4" i="32"/>
  <c r="AV3" i="32" s="1"/>
  <c r="AV21" i="32" s="1"/>
  <c r="AU4" i="32"/>
  <c r="AT4" i="32"/>
  <c r="AS4" i="32"/>
  <c r="AR4" i="32"/>
  <c r="AQ4" i="32"/>
  <c r="AP4" i="32"/>
  <c r="AP3" i="32" s="1"/>
  <c r="AO4" i="32"/>
  <c r="AO3" i="32" s="1"/>
  <c r="AO21" i="32" s="1"/>
  <c r="AN4" i="32"/>
  <c r="AM4" i="32"/>
  <c r="EC3" i="32"/>
  <c r="EC21" i="32" s="1"/>
  <c r="EC23" i="32" s="1"/>
  <c r="EB3" i="32"/>
  <c r="EB21" i="32" s="1"/>
  <c r="EB23" i="32" s="1"/>
  <c r="EA3" i="32"/>
  <c r="EA21" i="32" s="1"/>
  <c r="EA23" i="32" s="1"/>
  <c r="DZ3" i="32"/>
  <c r="DZ21" i="32" s="1"/>
  <c r="DZ23" i="32" s="1"/>
  <c r="DY3" i="32"/>
  <c r="DY21" i="32" s="1"/>
  <c r="DY23" i="32" s="1"/>
  <c r="DX3" i="32"/>
  <c r="DX21" i="32" s="1"/>
  <c r="DX23" i="32" s="1"/>
  <c r="DU3" i="32"/>
  <c r="DU21" i="32" s="1"/>
  <c r="DU23" i="32" s="1"/>
  <c r="DT3" i="32"/>
  <c r="DT21" i="32" s="1"/>
  <c r="DT23" i="32" s="1"/>
  <c r="DR3" i="32"/>
  <c r="DR21" i="32" s="1"/>
  <c r="DR23" i="32" s="1"/>
  <c r="DQ3" i="32"/>
  <c r="DQ21" i="32" s="1"/>
  <c r="DQ23" i="32" s="1"/>
  <c r="DP3" i="32"/>
  <c r="DP21" i="32" s="1"/>
  <c r="DP23" i="32" s="1"/>
  <c r="DO3" i="32"/>
  <c r="DO21" i="32" s="1"/>
  <c r="DO23" i="32" s="1"/>
  <c r="DN3" i="32"/>
  <c r="DN21" i="32" s="1"/>
  <c r="DN23" i="32" s="1"/>
  <c r="DM3" i="32"/>
  <c r="DM21" i="32" s="1"/>
  <c r="DM23" i="32" s="1"/>
  <c r="DL3" i="32"/>
  <c r="DL21" i="32" s="1"/>
  <c r="DL23" i="32" s="1"/>
  <c r="DI3" i="32"/>
  <c r="DI21" i="32" s="1"/>
  <c r="DI23" i="32" s="1"/>
  <c r="DH3" i="32"/>
  <c r="DH21" i="32" s="1"/>
  <c r="DH23" i="32" s="1"/>
  <c r="DF3" i="32"/>
  <c r="DF21" i="32" s="1"/>
  <c r="DF23" i="32" s="1"/>
  <c r="DE3" i="32"/>
  <c r="DE21" i="32" s="1"/>
  <c r="DE23" i="32" s="1"/>
  <c r="DD3" i="32"/>
  <c r="DD21" i="32" s="1"/>
  <c r="DD23" i="32" s="1"/>
  <c r="DC3" i="32"/>
  <c r="DC21" i="32" s="1"/>
  <c r="DC23" i="32" s="1"/>
  <c r="DB3" i="32"/>
  <c r="DB21" i="32" s="1"/>
  <c r="DB23" i="32" s="1"/>
  <c r="DA3" i="32"/>
  <c r="DA21" i="32" s="1"/>
  <c r="DA23" i="32" s="1"/>
  <c r="CZ3" i="32"/>
  <c r="CZ21" i="32" s="1"/>
  <c r="CZ23" i="32" s="1"/>
  <c r="CW3" i="32"/>
  <c r="CW21" i="32" s="1"/>
  <c r="CW23" i="32" s="1"/>
  <c r="CV3" i="32"/>
  <c r="CV21" i="32" s="1"/>
  <c r="CV23" i="32" s="1"/>
  <c r="CT3" i="32"/>
  <c r="CT21" i="32" s="1"/>
  <c r="CT23" i="32" s="1"/>
  <c r="CS3" i="32"/>
  <c r="CS21" i="32" s="1"/>
  <c r="CS23" i="32" s="1"/>
  <c r="CR3" i="32"/>
  <c r="CR21" i="32" s="1"/>
  <c r="CR23" i="32" s="1"/>
  <c r="CQ3" i="32"/>
  <c r="CQ21" i="32" s="1"/>
  <c r="CQ23" i="32" s="1"/>
  <c r="CP3" i="32"/>
  <c r="CP21" i="32" s="1"/>
  <c r="CP23" i="32" s="1"/>
  <c r="CO3" i="32"/>
  <c r="CO21" i="32" s="1"/>
  <c r="CO23" i="32" s="1"/>
  <c r="CN3" i="32"/>
  <c r="CN21" i="32" s="1"/>
  <c r="CN23" i="32" s="1"/>
  <c r="CK3" i="32"/>
  <c r="CK21" i="32" s="1"/>
  <c r="CK23" i="32" s="1"/>
  <c r="CJ3" i="32"/>
  <c r="CJ21" i="32" s="1"/>
  <c r="CJ23" i="32" s="1"/>
  <c r="CH3" i="32"/>
  <c r="CH21" i="32" s="1"/>
  <c r="CH23" i="32" s="1"/>
  <c r="CG3" i="32"/>
  <c r="CG21" i="32" s="1"/>
  <c r="CG23" i="32" s="1"/>
  <c r="CF3" i="32"/>
  <c r="CF23" i="32" s="1"/>
  <c r="CE3" i="32"/>
  <c r="CE23" i="32" s="1"/>
  <c r="CD23" i="32"/>
  <c r="CC3" i="32"/>
  <c r="CC21" i="32" s="1"/>
  <c r="CC23" i="32" s="1"/>
  <c r="CB3" i="32"/>
  <c r="CB21" i="32" s="1"/>
  <c r="CB23" i="32" s="1"/>
  <c r="BY3" i="32"/>
  <c r="BY21" i="32" s="1"/>
  <c r="BY23" i="32" s="1"/>
  <c r="BX3" i="32"/>
  <c r="BX21" i="32" s="1"/>
  <c r="BX23" i="32" s="1"/>
  <c r="BV3" i="32"/>
  <c r="BV21" i="32" s="1"/>
  <c r="BV23" i="32" s="1"/>
  <c r="BU3" i="32"/>
  <c r="BU21" i="32" s="1"/>
  <c r="BU23" i="32" s="1"/>
  <c r="BT3" i="32"/>
  <c r="BT21" i="32" s="1"/>
  <c r="BT23" i="32" s="1"/>
  <c r="BS3" i="32"/>
  <c r="BS21" i="32" s="1"/>
  <c r="BS23" i="32" s="1"/>
  <c r="BR3" i="32"/>
  <c r="BR21" i="32" s="1"/>
  <c r="BR23" i="32" s="1"/>
  <c r="BQ3" i="32"/>
  <c r="BQ21" i="32" s="1"/>
  <c r="BQ23" i="32" s="1"/>
  <c r="BP3" i="32"/>
  <c r="BP21" i="32" s="1"/>
  <c r="BP23" i="32" s="1"/>
  <c r="BM3" i="32"/>
  <c r="BM21" i="32" s="1"/>
  <c r="BM23" i="32" s="1"/>
  <c r="BL3" i="32"/>
  <c r="BL21" i="32" s="1"/>
  <c r="BL23" i="32" s="1"/>
  <c r="BJ3" i="32"/>
  <c r="BJ21" i="32" s="1"/>
  <c r="BJ23" i="32" s="1"/>
  <c r="BI3" i="32"/>
  <c r="BI21" i="32" s="1"/>
  <c r="BI23" i="32" s="1"/>
  <c r="BG3" i="32"/>
  <c r="BG21" i="32" s="1"/>
  <c r="BG23" i="32" s="1"/>
  <c r="BF3" i="32"/>
  <c r="BF21" i="32" s="1"/>
  <c r="BF23" i="32" s="1"/>
  <c r="BE3" i="32"/>
  <c r="BE21" i="32" s="1"/>
  <c r="BE23" i="32" s="1"/>
  <c r="BD3" i="32"/>
  <c r="BD21" i="32" s="1"/>
  <c r="BD23" i="32" s="1"/>
  <c r="BC3" i="32"/>
  <c r="BC21" i="32" s="1"/>
  <c r="BC23" i="32" s="1"/>
  <c r="AZ3" i="32"/>
  <c r="G13" i="32" s="1"/>
  <c r="AY3" i="32"/>
  <c r="AY21" i="32" s="1"/>
  <c r="AW3" i="32"/>
  <c r="AW21" i="32" s="1"/>
  <c r="AU3" i="32"/>
  <c r="AU21" i="32" s="1"/>
  <c r="AT3" i="32"/>
  <c r="AT21" i="32" s="1"/>
  <c r="AS3" i="32"/>
  <c r="AS21" i="32" s="1"/>
  <c r="AR3" i="32"/>
  <c r="AR21" i="32" s="1"/>
  <c r="AQ3" i="32"/>
  <c r="AQ21" i="32" s="1"/>
  <c r="AN3" i="32"/>
  <c r="AN21" i="32" s="1"/>
  <c r="AM3" i="32"/>
  <c r="AM21" i="32" s="1"/>
  <c r="AL3" i="32"/>
  <c r="AL21" i="32" s="1"/>
  <c r="AK3" i="32"/>
  <c r="AK21" i="32" s="1"/>
  <c r="AJ3" i="32"/>
  <c r="AJ21" i="32" s="1"/>
  <c r="AI3" i="32"/>
  <c r="AI21" i="32" s="1"/>
  <c r="AH3" i="32"/>
  <c r="AH21" i="32" s="1"/>
  <c r="AG3" i="32"/>
  <c r="AG21" i="32" s="1"/>
  <c r="AF3" i="32"/>
  <c r="AF21" i="32" s="1"/>
  <c r="AE3" i="32"/>
  <c r="AE21" i="32" s="1"/>
  <c r="AD3" i="32"/>
  <c r="AD21" i="32" s="1"/>
  <c r="AC3" i="32"/>
  <c r="AC21" i="32" s="1"/>
  <c r="AB3" i="32"/>
  <c r="AB21" i="32" s="1"/>
  <c r="AA3" i="32"/>
  <c r="AA21" i="32" s="1"/>
  <c r="Z3" i="32"/>
  <c r="Z21" i="32" s="1"/>
  <c r="Y3" i="32"/>
  <c r="Y21" i="32" s="1"/>
  <c r="X3" i="32"/>
  <c r="X21" i="32" s="1"/>
  <c r="W3" i="32"/>
  <c r="W21" i="32" s="1"/>
  <c r="V3" i="32"/>
  <c r="V21" i="32" s="1"/>
  <c r="U3" i="32"/>
  <c r="U21" i="32" s="1"/>
  <c r="T3" i="32"/>
  <c r="T21" i="32" s="1"/>
  <c r="S3" i="32"/>
  <c r="S21" i="32" s="1"/>
  <c r="R3" i="32"/>
  <c r="R21" i="32" s="1"/>
  <c r="Q3" i="32"/>
  <c r="Q21" i="32" s="1"/>
  <c r="P3" i="32"/>
  <c r="P21" i="32" s="1"/>
  <c r="O3" i="32"/>
  <c r="O21" i="32" s="1"/>
  <c r="N3" i="32"/>
  <c r="N21" i="32" s="1"/>
  <c r="M3" i="32"/>
  <c r="M21" i="32" s="1"/>
  <c r="L3" i="32"/>
  <c r="L21" i="32" s="1"/>
  <c r="K3" i="32"/>
  <c r="K21" i="32" s="1"/>
  <c r="J3" i="32"/>
  <c r="J21" i="32" s="1"/>
  <c r="I3" i="32"/>
  <c r="I21" i="32" s="1"/>
  <c r="H3" i="32"/>
  <c r="H21" i="32" s="1"/>
  <c r="G3" i="32"/>
  <c r="G21" i="32" s="1"/>
  <c r="F3" i="32"/>
  <c r="F21" i="32" s="1"/>
  <c r="E3" i="32"/>
  <c r="E21" i="32" s="1"/>
  <c r="D3" i="32"/>
  <c r="D21" i="32" s="1"/>
  <c r="V13" i="32"/>
  <c r="D1" i="32"/>
  <c r="E1" i="32" s="1"/>
  <c r="F1" i="32" s="1"/>
  <c r="G1" i="32" s="1"/>
  <c r="H1" i="32" s="1"/>
  <c r="I1" i="32" s="1"/>
  <c r="J1" i="32" s="1"/>
  <c r="K1" i="32" s="1"/>
  <c r="L1" i="32" s="1"/>
  <c r="M1" i="32" s="1"/>
  <c r="N1" i="32" s="1"/>
  <c r="O1" i="32" s="1"/>
  <c r="P1" i="32" s="1"/>
  <c r="Q1" i="32" s="1"/>
  <c r="R1" i="32" s="1"/>
  <c r="S1" i="32" s="1"/>
  <c r="T1" i="32" s="1"/>
  <c r="U1" i="32" s="1"/>
  <c r="V1" i="32" s="1"/>
  <c r="W1" i="32" s="1"/>
  <c r="X1" i="32" s="1"/>
  <c r="Y1" i="32" s="1"/>
  <c r="Z1" i="32" s="1"/>
  <c r="AA1" i="32" s="1"/>
  <c r="AB1" i="32" s="1"/>
  <c r="AC1" i="32" s="1"/>
  <c r="AD1" i="32" s="1"/>
  <c r="AE1" i="32" s="1"/>
  <c r="AF1" i="32" s="1"/>
  <c r="AG1" i="32" s="1"/>
  <c r="AH1" i="32" s="1"/>
  <c r="AI1" i="32" s="1"/>
  <c r="AJ1" i="32" s="1"/>
  <c r="AK1" i="32" s="1"/>
  <c r="AL1" i="32" s="1"/>
  <c r="AM1" i="32" s="1"/>
  <c r="AN1" i="32" s="1"/>
  <c r="AO1" i="32" s="1"/>
  <c r="AP1" i="32" s="1"/>
  <c r="AQ1" i="32" s="1"/>
  <c r="AR1" i="32" s="1"/>
  <c r="AS1" i="32" s="1"/>
  <c r="AT1" i="32" s="1"/>
  <c r="AU1" i="32" s="1"/>
  <c r="AV1" i="32" s="1"/>
  <c r="AW1" i="32" s="1"/>
  <c r="AX1" i="32" s="1"/>
  <c r="AY1" i="32" s="1"/>
  <c r="AZ1" i="32" s="1"/>
  <c r="BA1" i="32" s="1"/>
  <c r="BB1" i="32" s="1"/>
  <c r="BC1" i="32" s="1"/>
  <c r="BD1" i="32" s="1"/>
  <c r="BE1" i="32" s="1"/>
  <c r="BF1" i="32" s="1"/>
  <c r="BG1" i="32" s="1"/>
  <c r="BH1" i="32" s="1"/>
  <c r="BI1" i="32" s="1"/>
  <c r="BJ1" i="32" s="1"/>
  <c r="BK1" i="32" s="1"/>
  <c r="BL1" i="32" s="1"/>
  <c r="BM1" i="32" s="1"/>
  <c r="BN1" i="32" s="1"/>
  <c r="BO1" i="32" s="1"/>
  <c r="BP1" i="32" s="1"/>
  <c r="BQ1" i="32" s="1"/>
  <c r="BR1" i="32" s="1"/>
  <c r="BS1" i="32" s="1"/>
  <c r="BT1" i="32" s="1"/>
  <c r="BU1" i="32" s="1"/>
  <c r="BV1" i="32" s="1"/>
  <c r="BW1" i="32" s="1"/>
  <c r="BX1" i="32" s="1"/>
  <c r="BY1" i="32" s="1"/>
  <c r="BZ1" i="32" s="1"/>
  <c r="CA1" i="32" s="1"/>
  <c r="CB1" i="32" s="1"/>
  <c r="CC1" i="32" s="1"/>
  <c r="CD1" i="32" s="1"/>
  <c r="CE1" i="32" s="1"/>
  <c r="CF1" i="32" s="1"/>
  <c r="CG1" i="32" s="1"/>
  <c r="CH1" i="32" s="1"/>
  <c r="CI1" i="32" s="1"/>
  <c r="CJ1" i="32" s="1"/>
  <c r="CK1" i="32" s="1"/>
  <c r="CL1" i="32" s="1"/>
  <c r="CM1" i="32" s="1"/>
  <c r="CN1" i="32" s="1"/>
  <c r="CO1" i="32" s="1"/>
  <c r="CP1" i="32" s="1"/>
  <c r="CQ1" i="32" s="1"/>
  <c r="CR1" i="32" s="1"/>
  <c r="CS1" i="32" s="1"/>
  <c r="CT1" i="32" s="1"/>
  <c r="CU1" i="32" s="1"/>
  <c r="CV1" i="32" s="1"/>
  <c r="CW1" i="32" s="1"/>
  <c r="CX1" i="32" s="1"/>
  <c r="CY1" i="32" s="1"/>
  <c r="CZ1" i="32" s="1"/>
  <c r="DA1" i="32" s="1"/>
  <c r="DB1" i="32" s="1"/>
  <c r="DC1" i="32" s="1"/>
  <c r="DD1" i="32" s="1"/>
  <c r="DE1" i="32" s="1"/>
  <c r="DF1" i="32" s="1"/>
  <c r="DG1" i="32" s="1"/>
  <c r="DH1" i="32" s="1"/>
  <c r="DI1" i="32" s="1"/>
  <c r="DJ1" i="32" s="1"/>
  <c r="DK1" i="32" s="1"/>
  <c r="DL1" i="32" s="1"/>
  <c r="DM1" i="32" s="1"/>
  <c r="DN1" i="32" s="1"/>
  <c r="DO1" i="32" s="1"/>
  <c r="DP1" i="32" s="1"/>
  <c r="DQ1" i="32" s="1"/>
  <c r="DR1" i="32" s="1"/>
  <c r="DS1" i="32" s="1"/>
  <c r="DT1" i="32" s="1"/>
  <c r="DU1" i="32" s="1"/>
  <c r="DV1" i="32" s="1"/>
  <c r="DW1" i="32" s="1"/>
  <c r="DX1" i="32" s="1"/>
  <c r="DY1" i="32" s="1"/>
  <c r="DZ1" i="32" s="1"/>
  <c r="EA1" i="32" s="1"/>
  <c r="EB1" i="32" s="1"/>
  <c r="C1" i="32"/>
  <c r="AK17" i="32" l="1"/>
  <c r="AW17" i="32"/>
  <c r="AS17" i="32"/>
  <c r="BC17" i="32"/>
  <c r="AH17" i="32"/>
  <c r="AN17" i="32"/>
  <c r="AT17" i="32"/>
  <c r="AM17" i="32"/>
  <c r="AH7" i="32"/>
  <c r="AI17" i="32"/>
  <c r="AO17" i="32"/>
  <c r="AU17" i="32"/>
  <c r="BA17" i="32"/>
  <c r="AY17" i="32"/>
  <c r="AZ17" i="32"/>
  <c r="AT7" i="32"/>
  <c r="AJ17" i="32"/>
  <c r="AV17" i="32"/>
  <c r="AL17" i="32"/>
  <c r="AR17" i="32"/>
  <c r="BD17" i="32"/>
  <c r="AM7" i="32"/>
  <c r="AS7" i="32"/>
  <c r="AY7" i="32"/>
  <c r="AQ17" i="32"/>
  <c r="O51" i="35"/>
  <c r="F7" i="35"/>
  <c r="F25" i="35"/>
  <c r="F11" i="35"/>
  <c r="F20" i="35"/>
  <c r="O7" i="35"/>
  <c r="F12" i="35"/>
  <c r="F15" i="35"/>
  <c r="F27" i="35"/>
  <c r="F26" i="35" s="1"/>
  <c r="O50" i="35"/>
  <c r="F37" i="35"/>
  <c r="F35" i="35" s="1"/>
  <c r="F50" i="35"/>
  <c r="F49" i="35" s="1"/>
  <c r="F47" i="35" s="1"/>
  <c r="N51" i="35"/>
  <c r="N7" i="35"/>
  <c r="N50" i="35"/>
  <c r="N25" i="35"/>
  <c r="N19" i="35"/>
  <c r="N20" i="35"/>
  <c r="N11" i="35"/>
  <c r="N12" i="35"/>
  <c r="N23" i="35"/>
  <c r="N15" i="35"/>
  <c r="N27" i="35"/>
  <c r="N26" i="35" s="1"/>
  <c r="N54" i="35"/>
  <c r="F29" i="35"/>
  <c r="O25" i="35"/>
  <c r="O19" i="35"/>
  <c r="O20" i="35"/>
  <c r="O11" i="35"/>
  <c r="O12" i="35"/>
  <c r="O23" i="35"/>
  <c r="O15" i="35"/>
  <c r="O27" i="35"/>
  <c r="O26" i="35" s="1"/>
  <c r="O54" i="35"/>
  <c r="F19" i="35"/>
  <c r="F23" i="35"/>
  <c r="F54" i="35"/>
  <c r="M30" i="35"/>
  <c r="J33" i="35"/>
  <c r="L33" i="35"/>
  <c r="P30" i="35"/>
  <c r="AD30" i="35" s="1"/>
  <c r="W30" i="35"/>
  <c r="P33" i="35"/>
  <c r="AD33" i="35" s="1"/>
  <c r="W33" i="35"/>
  <c r="L30" i="35"/>
  <c r="J30" i="35"/>
  <c r="G33" i="35"/>
  <c r="G30" i="35"/>
  <c r="M33" i="35"/>
  <c r="AX17" i="32"/>
  <c r="AP21" i="32"/>
  <c r="AP17" i="32"/>
  <c r="BB17" i="32"/>
  <c r="BB21" i="32"/>
  <c r="B3" i="32"/>
  <c r="AL7" i="32"/>
  <c r="AX7" i="32"/>
  <c r="K13" i="32"/>
  <c r="K7" i="32" s="1"/>
  <c r="W13" i="32"/>
  <c r="W7" i="32" s="1"/>
  <c r="C3" i="32"/>
  <c r="L13" i="32"/>
  <c r="X13" i="32"/>
  <c r="Y7" i="32" s="1"/>
  <c r="F7" i="32"/>
  <c r="O13" i="32"/>
  <c r="O7" i="32" s="1"/>
  <c r="AA13" i="32"/>
  <c r="AA7" i="32" s="1"/>
  <c r="G7" i="32"/>
  <c r="P13" i="32"/>
  <c r="P7" i="32" s="1"/>
  <c r="AB13" i="32"/>
  <c r="AB7" i="32" s="1"/>
  <c r="E7" i="32"/>
  <c r="AR7" i="32"/>
  <c r="E13" i="32"/>
  <c r="Q13" i="32"/>
  <c r="Q7" i="32" s="1"/>
  <c r="AC13" i="32"/>
  <c r="F13" i="32"/>
  <c r="R13" i="32"/>
  <c r="AD13" i="32"/>
  <c r="AD7" i="32" s="1"/>
  <c r="AZ21" i="32"/>
  <c r="S13" i="32"/>
  <c r="AE13" i="32"/>
  <c r="AE7" i="32" s="1"/>
  <c r="H13" i="32"/>
  <c r="H7" i="32" s="1"/>
  <c r="T13" i="32"/>
  <c r="T7" i="32" s="1"/>
  <c r="AF13" i="32"/>
  <c r="I13" i="32"/>
  <c r="I7" i="32" s="1"/>
  <c r="U13" i="32"/>
  <c r="J13" i="32"/>
  <c r="O9" i="35" l="1"/>
  <c r="F9" i="35"/>
  <c r="N9" i="35"/>
  <c r="N37" i="35"/>
  <c r="N35" i="35" s="1"/>
  <c r="O37" i="35"/>
  <c r="O35" i="35" s="1"/>
  <c r="F18" i="35"/>
  <c r="N18" i="35"/>
  <c r="O18" i="35"/>
  <c r="N14" i="35"/>
  <c r="F14" i="35"/>
  <c r="O14" i="35"/>
  <c r="F22" i="35"/>
  <c r="O22" i="35"/>
  <c r="N22" i="35"/>
  <c r="N29" i="35"/>
  <c r="O29" i="35"/>
  <c r="F5" i="35"/>
  <c r="O5" i="35"/>
  <c r="N5" i="35"/>
  <c r="U7" i="32"/>
  <c r="S7" i="32"/>
  <c r="AG7" i="32"/>
  <c r="AF7" i="32"/>
  <c r="R7" i="32"/>
  <c r="X7" i="32"/>
  <c r="V7" i="32"/>
  <c r="J7" i="32"/>
  <c r="AC7" i="32"/>
  <c r="L7" i="32"/>
  <c r="M7" i="32"/>
  <c r="O3" i="35" l="1"/>
  <c r="N3" i="35"/>
  <c r="F3" i="35"/>
  <c r="F17" i="35"/>
  <c r="O17" i="35"/>
  <c r="N17" i="35"/>
  <c r="F58" i="35" l="1"/>
  <c r="D36" i="35" l="1"/>
  <c r="D42" i="35"/>
  <c r="D40" i="35" s="1"/>
  <c r="J42" i="35" l="1"/>
  <c r="J40" i="35" s="1"/>
  <c r="J36" i="35"/>
  <c r="G36" i="35"/>
  <c r="M36" i="35"/>
  <c r="P36" i="35"/>
  <c r="W36" i="35"/>
  <c r="L36" i="35"/>
  <c r="W42" i="35"/>
  <c r="W40" i="35" s="1"/>
  <c r="P42" i="35"/>
  <c r="M42" i="35"/>
  <c r="M40" i="35" s="1"/>
  <c r="G42" i="35"/>
  <c r="G40" i="35" s="1"/>
  <c r="L42" i="35"/>
  <c r="L40" i="35" s="1"/>
  <c r="AD42" i="35" l="1"/>
  <c r="P40" i="35"/>
  <c r="AD40" i="35" s="1"/>
  <c r="S49" i="35"/>
  <c r="S47" i="35" s="1"/>
  <c r="S14" i="35"/>
  <c r="S26" i="35"/>
  <c r="S5" i="35"/>
  <c r="Q14" i="35"/>
  <c r="R14" i="35"/>
  <c r="R18" i="35"/>
  <c r="R26" i="35"/>
  <c r="R5" i="35"/>
  <c r="Q49" i="35"/>
  <c r="Q47" i="35" s="1"/>
  <c r="Q18" i="35"/>
  <c r="Q26" i="35"/>
  <c r="Q22" i="35"/>
  <c r="Q5" i="35"/>
  <c r="Q3" i="35" s="1"/>
  <c r="R49" i="35" l="1"/>
  <c r="R47" i="35" s="1"/>
  <c r="R3" i="35"/>
  <c r="S3" i="35"/>
  <c r="S37" i="35"/>
  <c r="S35" i="35" s="1"/>
  <c r="S18" i="35"/>
  <c r="S29" i="35"/>
  <c r="R37" i="35"/>
  <c r="R35" i="35" s="1"/>
  <c r="S22" i="35"/>
  <c r="R22" i="35"/>
  <c r="R17" i="35" s="1"/>
  <c r="R29" i="35"/>
  <c r="Q37" i="35"/>
  <c r="Q35" i="35" s="1"/>
  <c r="Q29" i="35"/>
  <c r="Q17" i="35"/>
  <c r="V14" i="35"/>
  <c r="U14" i="35"/>
  <c r="T14" i="35"/>
  <c r="D15" i="35"/>
  <c r="D14" i="35" s="1"/>
  <c r="C15" i="35"/>
  <c r="C14" i="35" s="1"/>
  <c r="R58" i="35" l="1"/>
  <c r="S17" i="35"/>
  <c r="S58" i="35" s="1"/>
  <c r="Q58" i="35"/>
  <c r="J15" i="35"/>
  <c r="J14" i="35" s="1"/>
  <c r="P15" i="35"/>
  <c r="P14" i="35" s="1"/>
  <c r="AD14" i="35" s="1"/>
  <c r="M15" i="35"/>
  <c r="M14" i="35" s="1"/>
  <c r="W15" i="35"/>
  <c r="W14" i="35" s="1"/>
  <c r="G15" i="35"/>
  <c r="G14" i="35" s="1"/>
  <c r="L15" i="35"/>
  <c r="L14" i="35" s="1"/>
  <c r="AD15" i="35" l="1"/>
  <c r="V49" i="35"/>
  <c r="V47" i="35" s="1"/>
  <c r="V26" i="35"/>
  <c r="V22" i="35"/>
  <c r="V5" i="35"/>
  <c r="V3" i="35" s="1"/>
  <c r="U49" i="35"/>
  <c r="U47" i="35" s="1"/>
  <c r="U26" i="35"/>
  <c r="U22" i="35"/>
  <c r="U5" i="35"/>
  <c r="T49" i="35"/>
  <c r="T47" i="35" s="1"/>
  <c r="T26" i="35"/>
  <c r="T22" i="35"/>
  <c r="T5" i="35"/>
  <c r="T3" i="35" l="1"/>
  <c r="U18" i="35"/>
  <c r="U17" i="35" s="1"/>
  <c r="T37" i="35"/>
  <c r="T35" i="35" s="1"/>
  <c r="V37" i="35"/>
  <c r="V35" i="35" s="1"/>
  <c r="T29" i="35"/>
  <c r="V29" i="35"/>
  <c r="T18" i="35"/>
  <c r="T17" i="35" s="1"/>
  <c r="V18" i="35"/>
  <c r="V17" i="35" s="1"/>
  <c r="U37" i="35"/>
  <c r="U35" i="35" s="1"/>
  <c r="U29" i="35"/>
  <c r="U3" i="35"/>
  <c r="U58" i="35" l="1"/>
  <c r="V58" i="35"/>
  <c r="T58" i="35"/>
  <c r="C19" i="35"/>
  <c r="C20" i="35"/>
  <c r="C12" i="35"/>
  <c r="C18" i="35" l="1"/>
  <c r="M19" i="35"/>
  <c r="J19" i="35"/>
  <c r="L20" i="35"/>
  <c r="W20" i="35"/>
  <c r="W19" i="35"/>
  <c r="W18" i="35" s="1"/>
  <c r="M20" i="35"/>
  <c r="J20" i="35"/>
  <c r="L19" i="35"/>
  <c r="J12" i="35"/>
  <c r="M12" i="35"/>
  <c r="L12" i="35"/>
  <c r="L18" i="35" l="1"/>
  <c r="J18" i="35"/>
  <c r="M18" i="35"/>
  <c r="D20" i="35"/>
  <c r="G19" i="35"/>
  <c r="D19" i="35"/>
  <c r="G12" i="35"/>
  <c r="D12" i="35"/>
  <c r="D18" i="35" l="1"/>
  <c r="P20" i="35"/>
  <c r="AD20" i="35" s="1"/>
  <c r="P19" i="35"/>
  <c r="P12" i="35"/>
  <c r="AD12" i="35" s="1"/>
  <c r="G20" i="35"/>
  <c r="G18" i="35" s="1"/>
  <c r="AD19" i="35" l="1"/>
  <c r="P18" i="35"/>
  <c r="AD18" i="35" s="1"/>
  <c r="E3" i="33"/>
  <c r="E7" i="33"/>
  <c r="E6" i="33"/>
  <c r="J7" i="33" l="1"/>
  <c r="I7" i="33"/>
  <c r="F7" i="33"/>
  <c r="J3" i="33"/>
  <c r="K7" i="33" l="1"/>
  <c r="H7" i="33"/>
  <c r="G7" i="33"/>
  <c r="D57" i="35" l="1"/>
  <c r="D56" i="35"/>
  <c r="D55" i="35"/>
  <c r="D54" i="35"/>
  <c r="D53" i="35"/>
  <c r="D52" i="35"/>
  <c r="C31" i="35"/>
  <c r="C29" i="35" s="1"/>
  <c r="C11" i="35"/>
  <c r="C9" i="35" s="1"/>
  <c r="C27" i="35"/>
  <c r="C26" i="35" s="1"/>
  <c r="C25" i="35"/>
  <c r="C23" i="35"/>
  <c r="C7" i="35"/>
  <c r="C5" i="35" s="1"/>
  <c r="C22" i="35" l="1"/>
  <c r="C17" i="35" s="1"/>
  <c r="C3" i="35"/>
  <c r="D51" i="35"/>
  <c r="D7" i="35"/>
  <c r="D5" i="35" s="1"/>
  <c r="D27" i="35"/>
  <c r="D26" i="35" s="1"/>
  <c r="D23" i="35"/>
  <c r="D50" i="35"/>
  <c r="D11" i="35"/>
  <c r="D9" i="35" s="1"/>
  <c r="D25" i="35"/>
  <c r="D31" i="35"/>
  <c r="D49" i="35" l="1"/>
  <c r="D47" i="35" s="1"/>
  <c r="D37" i="35"/>
  <c r="D35" i="35" s="1"/>
  <c r="C58" i="35"/>
  <c r="D3" i="35"/>
  <c r="D22" i="35"/>
  <c r="D17" i="35" s="1"/>
  <c r="D29" i="35"/>
  <c r="D58" i="35" l="1"/>
  <c r="P31" i="35"/>
  <c r="AD31" i="35" s="1"/>
  <c r="G31" i="35"/>
  <c r="J31" i="35"/>
  <c r="M31" i="35"/>
  <c r="W31" i="35"/>
  <c r="L31" i="35"/>
  <c r="W29" i="35" l="1"/>
  <c r="L29" i="35"/>
  <c r="M29" i="35"/>
  <c r="G29" i="35"/>
  <c r="J29" i="35"/>
  <c r="P29" i="35" l="1"/>
  <c r="AD29" i="35" s="1"/>
  <c r="W37" i="35" l="1"/>
  <c r="W35" i="35" s="1"/>
  <c r="W51" i="35"/>
  <c r="W52" i="35"/>
  <c r="W53" i="35"/>
  <c r="W54" i="35"/>
  <c r="W55" i="35"/>
  <c r="W56" i="35"/>
  <c r="W57" i="35"/>
  <c r="W25" i="35"/>
  <c r="K49" i="35" l="1"/>
  <c r="K47" i="35" s="1"/>
  <c r="I49" i="35"/>
  <c r="I47" i="35" s="1"/>
  <c r="H49" i="35"/>
  <c r="H47" i="35" s="1"/>
  <c r="W50" i="35"/>
  <c r="W49" i="35" s="1"/>
  <c r="W47" i="35" s="1"/>
  <c r="J56" i="35"/>
  <c r="J54" i="35"/>
  <c r="J37" i="35"/>
  <c r="J35" i="35" s="1"/>
  <c r="M57" i="35"/>
  <c r="G57" i="35"/>
  <c r="J55" i="35"/>
  <c r="G53" i="35"/>
  <c r="L52" i="35"/>
  <c r="J50" i="35"/>
  <c r="L54" i="35"/>
  <c r="J57" i="35"/>
  <c r="G54" i="35"/>
  <c r="J51" i="35"/>
  <c r="P57" i="35"/>
  <c r="M54" i="35"/>
  <c r="M50" i="35"/>
  <c r="M55" i="35"/>
  <c r="M53" i="35"/>
  <c r="G55" i="35"/>
  <c r="M51" i="35"/>
  <c r="M37" i="35"/>
  <c r="M35" i="35" s="1"/>
  <c r="G27" i="35"/>
  <c r="G26" i="35" s="1"/>
  <c r="G11" i="35"/>
  <c r="G9" i="35" s="1"/>
  <c r="G51" i="35"/>
  <c r="G23" i="35"/>
  <c r="G7" i="35"/>
  <c r="P55" i="35"/>
  <c r="P53" i="35"/>
  <c r="J52" i="35"/>
  <c r="M56" i="35"/>
  <c r="P54" i="35"/>
  <c r="P56" i="35"/>
  <c r="G56" i="35"/>
  <c r="G52" i="35"/>
  <c r="L51" i="35"/>
  <c r="L57" i="35"/>
  <c r="J53" i="35"/>
  <c r="P52" i="35"/>
  <c r="L37" i="35"/>
  <c r="L35" i="35" s="1"/>
  <c r="L56" i="35"/>
  <c r="L50" i="35"/>
  <c r="L55" i="35"/>
  <c r="L53" i="35"/>
  <c r="M52" i="35"/>
  <c r="M11" i="35"/>
  <c r="M9" i="35" s="1"/>
  <c r="J27" i="35"/>
  <c r="J26" i="35" s="1"/>
  <c r="W27" i="35"/>
  <c r="W26" i="35" s="1"/>
  <c r="J25" i="35"/>
  <c r="J11" i="35"/>
  <c r="J9" i="35" s="1"/>
  <c r="M27" i="35"/>
  <c r="P25" i="35"/>
  <c r="AD25" i="35" s="1"/>
  <c r="W7" i="35"/>
  <c r="W5" i="35" s="1"/>
  <c r="W3" i="35" s="1"/>
  <c r="L27" i="35"/>
  <c r="L26" i="35" s="1"/>
  <c r="L25" i="35"/>
  <c r="G25" i="35"/>
  <c r="L11" i="35"/>
  <c r="L9" i="35" s="1"/>
  <c r="M25" i="35"/>
  <c r="W23" i="35"/>
  <c r="W22" i="35" s="1"/>
  <c r="L23" i="35"/>
  <c r="J7" i="35"/>
  <c r="J5" i="35" s="1"/>
  <c r="J23" i="35"/>
  <c r="M7" i="35"/>
  <c r="L7" i="35"/>
  <c r="M23" i="35"/>
  <c r="H58" i="35" l="1"/>
  <c r="K58" i="35"/>
  <c r="I58" i="35"/>
  <c r="E58" i="35"/>
  <c r="W17" i="35"/>
  <c r="G22" i="35"/>
  <c r="G17" i="35" s="1"/>
  <c r="M26" i="35"/>
  <c r="L22" i="35"/>
  <c r="L17" i="35" s="1"/>
  <c r="J22" i="35"/>
  <c r="J17" i="35" s="1"/>
  <c r="M22" i="35"/>
  <c r="J3" i="35"/>
  <c r="L49" i="35"/>
  <c r="L47" i="35" s="1"/>
  <c r="J49" i="35"/>
  <c r="J47" i="35" s="1"/>
  <c r="O49" i="35"/>
  <c r="O47" i="35" s="1"/>
  <c r="N49" i="35"/>
  <c r="N47" i="35" s="1"/>
  <c r="G50" i="35"/>
  <c r="G49" i="35" s="1"/>
  <c r="G47" i="35" s="1"/>
  <c r="M49" i="35"/>
  <c r="M47" i="35" s="1"/>
  <c r="P23" i="35"/>
  <c r="AD23" i="35" s="1"/>
  <c r="P27" i="35"/>
  <c r="AD27" i="35" s="1"/>
  <c r="P11" i="35"/>
  <c r="P7" i="35"/>
  <c r="P51" i="35"/>
  <c r="AD51" i="35" s="1"/>
  <c r="P50" i="35"/>
  <c r="AD50" i="35" s="1"/>
  <c r="AD11" i="35" l="1"/>
  <c r="P9" i="35"/>
  <c r="AD9" i="35" s="1"/>
  <c r="J58" i="35"/>
  <c r="O58" i="35"/>
  <c r="W58" i="35"/>
  <c r="G37" i="35"/>
  <c r="G35" i="35" s="1"/>
  <c r="P37" i="35"/>
  <c r="N58" i="35"/>
  <c r="AD7" i="35"/>
  <c r="P5" i="35"/>
  <c r="AD5" i="35" s="1"/>
  <c r="P22" i="35"/>
  <c r="AD22" i="35" s="1"/>
  <c r="P26" i="35"/>
  <c r="AD26" i="35" s="1"/>
  <c r="M17" i="35"/>
  <c r="P49" i="35"/>
  <c r="P2" i="1"/>
  <c r="AD37" i="35" l="1"/>
  <c r="AD35" i="35" s="1"/>
  <c r="P35" i="35"/>
  <c r="AD49" i="35"/>
  <c r="AD47" i="35" s="1"/>
  <c r="P47" i="35"/>
  <c r="P17" i="35"/>
  <c r="AD17" i="35" l="1"/>
  <c r="L22" i="2"/>
  <c r="G22" i="2"/>
  <c r="F22" i="2"/>
  <c r="E22" i="2"/>
  <c r="T157" i="33" a="1"/>
  <c r="T157" i="33" s="1"/>
  <c r="S157" i="33" a="1"/>
  <c r="S157" i="33" s="1"/>
  <c r="R157" i="33" a="1"/>
  <c r="R157" i="33" s="1"/>
  <c r="Q157" i="33" a="1"/>
  <c r="Q157" i="33" s="1"/>
  <c r="N157" i="33" a="1"/>
  <c r="N157" i="33" s="1"/>
  <c r="M157" i="33"/>
  <c r="E157" i="33"/>
  <c r="T156" i="33" a="1"/>
  <c r="T156" i="33" s="1"/>
  <c r="S156" i="33" a="1"/>
  <c r="S156" i="33" s="1"/>
  <c r="R156" i="33" a="1"/>
  <c r="R156" i="33" s="1"/>
  <c r="Q156" i="33" a="1"/>
  <c r="Q156" i="33" s="1"/>
  <c r="N156" i="33" a="1"/>
  <c r="N156" i="33" s="1"/>
  <c r="M156" i="33"/>
  <c r="J156" i="33"/>
  <c r="I156" i="33"/>
  <c r="F156" i="33"/>
  <c r="E156" i="33"/>
  <c r="T155" i="33" a="1"/>
  <c r="T155" i="33" s="1"/>
  <c r="S155" i="33" a="1"/>
  <c r="S155" i="33" s="1"/>
  <c r="R155" i="33" a="1"/>
  <c r="R155" i="33" s="1"/>
  <c r="Q155" i="33" a="1"/>
  <c r="Q155" i="33" s="1"/>
  <c r="N155" i="33" a="1"/>
  <c r="N155" i="33" s="1"/>
  <c r="M155" i="33"/>
  <c r="E155" i="33"/>
  <c r="T154" i="33" a="1"/>
  <c r="T154" i="33" s="1"/>
  <c r="S154" i="33" a="1"/>
  <c r="S154" i="33" s="1"/>
  <c r="R154" i="33" a="1"/>
  <c r="R154" i="33" s="1"/>
  <c r="Q154" i="33" a="1"/>
  <c r="Q154" i="33" s="1"/>
  <c r="N154" i="33" a="1"/>
  <c r="N154" i="33" s="1"/>
  <c r="M154" i="33"/>
  <c r="J154" i="33"/>
  <c r="I154" i="33"/>
  <c r="F154" i="33"/>
  <c r="E154" i="33"/>
  <c r="T153" i="33" a="1"/>
  <c r="T153" i="33" s="1"/>
  <c r="S153" i="33" a="1"/>
  <c r="S153" i="33" s="1"/>
  <c r="R153" i="33" a="1"/>
  <c r="R153" i="33" s="1"/>
  <c r="Q153" i="33" a="1"/>
  <c r="Q153" i="33" s="1"/>
  <c r="N153" i="33" a="1"/>
  <c r="N153" i="33" s="1"/>
  <c r="M153" i="33"/>
  <c r="E153" i="33"/>
  <c r="T152" i="33" a="1"/>
  <c r="T152" i="33" s="1"/>
  <c r="S152" i="33" a="1"/>
  <c r="S152" i="33" s="1"/>
  <c r="R152" i="33" a="1"/>
  <c r="R152" i="33" s="1"/>
  <c r="Q152" i="33" a="1"/>
  <c r="Q152" i="33" s="1"/>
  <c r="N152" i="33" a="1"/>
  <c r="N152" i="33" s="1"/>
  <c r="M152" i="33"/>
  <c r="E152" i="33"/>
  <c r="T151" i="33" a="1"/>
  <c r="T151" i="33" s="1"/>
  <c r="S151" i="33" a="1"/>
  <c r="S151" i="33" s="1"/>
  <c r="R151" i="33" a="1"/>
  <c r="R151" i="33" s="1"/>
  <c r="Q151" i="33" a="1"/>
  <c r="Q151" i="33" s="1"/>
  <c r="N151" i="33" a="1"/>
  <c r="N151" i="33" s="1"/>
  <c r="M151" i="33"/>
  <c r="E151" i="33"/>
  <c r="T150" i="33" a="1"/>
  <c r="T150" i="33" s="1"/>
  <c r="S150" i="33" a="1"/>
  <c r="S150" i="33" s="1"/>
  <c r="R150" i="33" a="1"/>
  <c r="R150" i="33" s="1"/>
  <c r="Q150" i="33" a="1"/>
  <c r="Q150" i="33" s="1"/>
  <c r="N150" i="33" a="1"/>
  <c r="N150" i="33" s="1"/>
  <c r="M150" i="33"/>
  <c r="E150" i="33"/>
  <c r="T149" i="33" a="1"/>
  <c r="T149" i="33" s="1"/>
  <c r="S149" i="33" a="1"/>
  <c r="S149" i="33" s="1"/>
  <c r="R149" i="33" a="1"/>
  <c r="R149" i="33" s="1"/>
  <c r="Q149" i="33" a="1"/>
  <c r="Q149" i="33" s="1"/>
  <c r="N149" i="33" a="1"/>
  <c r="N149" i="33" s="1"/>
  <c r="M149" i="33"/>
  <c r="E149" i="33"/>
  <c r="T148" i="33" a="1"/>
  <c r="T148" i="33" s="1"/>
  <c r="S148" i="33" a="1"/>
  <c r="S148" i="33" s="1"/>
  <c r="R148" i="33" a="1"/>
  <c r="R148" i="33" s="1"/>
  <c r="Q148" i="33" a="1"/>
  <c r="Q148" i="33" s="1"/>
  <c r="N148" i="33" a="1"/>
  <c r="N148" i="33" s="1"/>
  <c r="M148" i="33"/>
  <c r="E148" i="33"/>
  <c r="T147" i="33" a="1"/>
  <c r="T147" i="33" s="1"/>
  <c r="S147" i="33" a="1"/>
  <c r="S147" i="33" s="1"/>
  <c r="R147" i="33" a="1"/>
  <c r="R147" i="33" s="1"/>
  <c r="Q147" i="33" a="1"/>
  <c r="Q147" i="33" s="1"/>
  <c r="N147" i="33" a="1"/>
  <c r="N147" i="33" s="1"/>
  <c r="M147" i="33"/>
  <c r="J147" i="33"/>
  <c r="I147" i="33"/>
  <c r="F147" i="33"/>
  <c r="E147" i="33"/>
  <c r="T146" i="33" a="1"/>
  <c r="T146" i="33" s="1"/>
  <c r="S146" i="33" a="1"/>
  <c r="S146" i="33" s="1"/>
  <c r="R146" i="33" a="1"/>
  <c r="R146" i="33" s="1"/>
  <c r="Q146" i="33" a="1"/>
  <c r="Q146" i="33" s="1"/>
  <c r="N146" i="33" a="1"/>
  <c r="N146" i="33" s="1"/>
  <c r="M146" i="33"/>
  <c r="E146" i="33"/>
  <c r="T145" i="33" a="1"/>
  <c r="T145" i="33" s="1"/>
  <c r="S145" i="33" a="1"/>
  <c r="S145" i="33" s="1"/>
  <c r="R145" i="33" a="1"/>
  <c r="R145" i="33" s="1"/>
  <c r="Q145" i="33" a="1"/>
  <c r="Q145" i="33" s="1"/>
  <c r="N145" i="33" a="1"/>
  <c r="N145" i="33" s="1"/>
  <c r="M145" i="33"/>
  <c r="J145" i="33"/>
  <c r="I145" i="33"/>
  <c r="F145" i="33"/>
  <c r="E145" i="33"/>
  <c r="T144" i="33" a="1"/>
  <c r="T144" i="33" s="1"/>
  <c r="S144" i="33" a="1"/>
  <c r="S144" i="33" s="1"/>
  <c r="R144" i="33" a="1"/>
  <c r="R144" i="33" s="1"/>
  <c r="Q144" i="33" a="1"/>
  <c r="Q144" i="33" s="1"/>
  <c r="N144" i="33" a="1"/>
  <c r="N144" i="33" s="1"/>
  <c r="M144" i="33"/>
  <c r="E144" i="33"/>
  <c r="T143" i="33" a="1"/>
  <c r="T143" i="33" s="1"/>
  <c r="S143" i="33" a="1"/>
  <c r="S143" i="33" s="1"/>
  <c r="R143" i="33" a="1"/>
  <c r="R143" i="33" s="1"/>
  <c r="Q143" i="33" a="1"/>
  <c r="Q143" i="33" s="1"/>
  <c r="N143" i="33" a="1"/>
  <c r="N143" i="33" s="1"/>
  <c r="M143" i="33"/>
  <c r="J143" i="33"/>
  <c r="I143" i="33"/>
  <c r="F143" i="33"/>
  <c r="E143" i="33"/>
  <c r="T142" i="33" a="1"/>
  <c r="T142" i="33" s="1"/>
  <c r="S142" i="33" a="1"/>
  <c r="S142" i="33" s="1"/>
  <c r="R142" i="33" a="1"/>
  <c r="R142" i="33" s="1"/>
  <c r="Q142" i="33" a="1"/>
  <c r="Q142" i="33" s="1"/>
  <c r="N142" i="33" a="1"/>
  <c r="N142" i="33" s="1"/>
  <c r="M142" i="33"/>
  <c r="E142" i="33"/>
  <c r="T141" i="33" a="1"/>
  <c r="T141" i="33" s="1"/>
  <c r="S141" i="33" a="1"/>
  <c r="S141" i="33" s="1"/>
  <c r="R141" i="33" a="1"/>
  <c r="R141" i="33" s="1"/>
  <c r="Q141" i="33" a="1"/>
  <c r="Q141" i="33" s="1"/>
  <c r="N141" i="33" a="1"/>
  <c r="N141" i="33" s="1"/>
  <c r="M141" i="33"/>
  <c r="E141" i="33"/>
  <c r="T140" i="33" a="1"/>
  <c r="T140" i="33" s="1"/>
  <c r="S140" i="33" a="1"/>
  <c r="S140" i="33" s="1"/>
  <c r="R140" i="33" a="1"/>
  <c r="R140" i="33" s="1"/>
  <c r="Q140" i="33" a="1"/>
  <c r="Q140" i="33" s="1"/>
  <c r="N140" i="33" a="1"/>
  <c r="N140" i="33" s="1"/>
  <c r="M140" i="33"/>
  <c r="E140" i="33"/>
  <c r="T139" i="33" a="1"/>
  <c r="T139" i="33" s="1"/>
  <c r="S139" i="33" a="1"/>
  <c r="S139" i="33" s="1"/>
  <c r="R139" i="33" a="1"/>
  <c r="R139" i="33" s="1"/>
  <c r="Q139" i="33" a="1"/>
  <c r="Q139" i="33" s="1"/>
  <c r="N139" i="33" a="1"/>
  <c r="N139" i="33" s="1"/>
  <c r="M139" i="33"/>
  <c r="E139" i="33"/>
  <c r="T138" i="33" a="1"/>
  <c r="T138" i="33" s="1"/>
  <c r="S138" i="33" a="1"/>
  <c r="S138" i="33" s="1"/>
  <c r="R138" i="33" a="1"/>
  <c r="R138" i="33" s="1"/>
  <c r="Q138" i="33" a="1"/>
  <c r="Q138" i="33" s="1"/>
  <c r="N138" i="33" a="1"/>
  <c r="N138" i="33" s="1"/>
  <c r="M138" i="33"/>
  <c r="E138" i="33"/>
  <c r="T137" i="33" a="1"/>
  <c r="T137" i="33" s="1"/>
  <c r="S137" i="33" a="1"/>
  <c r="S137" i="33" s="1"/>
  <c r="R137" i="33" a="1"/>
  <c r="R137" i="33" s="1"/>
  <c r="Q137" i="33" a="1"/>
  <c r="Q137" i="33" s="1"/>
  <c r="N137" i="33" a="1"/>
  <c r="N137" i="33" s="1"/>
  <c r="M137" i="33"/>
  <c r="E137" i="33"/>
  <c r="T136" i="33" a="1"/>
  <c r="T136" i="33" s="1"/>
  <c r="S136" i="33" a="1"/>
  <c r="S136" i="33" s="1"/>
  <c r="R136" i="33" a="1"/>
  <c r="R136" i="33" s="1"/>
  <c r="Q136" i="33" a="1"/>
  <c r="Q136" i="33" s="1"/>
  <c r="N136" i="33" a="1"/>
  <c r="N136" i="33" s="1"/>
  <c r="M136" i="33"/>
  <c r="E136" i="33"/>
  <c r="T135" i="33" a="1"/>
  <c r="T135" i="33" s="1"/>
  <c r="S135" i="33" a="1"/>
  <c r="S135" i="33" s="1"/>
  <c r="R135" i="33" a="1"/>
  <c r="R135" i="33" s="1"/>
  <c r="Q135" i="33" a="1"/>
  <c r="Q135" i="33" s="1"/>
  <c r="N135" i="33" a="1"/>
  <c r="N135" i="33" s="1"/>
  <c r="M135" i="33"/>
  <c r="E135" i="33"/>
  <c r="T134" i="33" a="1"/>
  <c r="T134" i="33" s="1"/>
  <c r="S134" i="33" a="1"/>
  <c r="S134" i="33" s="1"/>
  <c r="R134" i="33" a="1"/>
  <c r="R134" i="33" s="1"/>
  <c r="Q134" i="33" a="1"/>
  <c r="Q134" i="33" s="1"/>
  <c r="N134" i="33" a="1"/>
  <c r="N134" i="33" s="1"/>
  <c r="M134" i="33"/>
  <c r="E134" i="33"/>
  <c r="T133" i="33" a="1"/>
  <c r="T133" i="33" s="1"/>
  <c r="S133" i="33" a="1"/>
  <c r="S133" i="33" s="1"/>
  <c r="R133" i="33" a="1"/>
  <c r="R133" i="33" s="1"/>
  <c r="Q133" i="33" a="1"/>
  <c r="Q133" i="33" s="1"/>
  <c r="N133" i="33" a="1"/>
  <c r="N133" i="33" s="1"/>
  <c r="M133" i="33"/>
  <c r="E133" i="33"/>
  <c r="T132" i="33" a="1"/>
  <c r="T132" i="33" s="1"/>
  <c r="S132" i="33" a="1"/>
  <c r="S132" i="33" s="1"/>
  <c r="R132" i="33" a="1"/>
  <c r="R132" i="33" s="1"/>
  <c r="Q132" i="33" a="1"/>
  <c r="Q132" i="33" s="1"/>
  <c r="N132" i="33" a="1"/>
  <c r="N132" i="33" s="1"/>
  <c r="M132" i="33"/>
  <c r="E132" i="33"/>
  <c r="T131" i="33" a="1"/>
  <c r="T131" i="33" s="1"/>
  <c r="S131" i="33" a="1"/>
  <c r="S131" i="33" s="1"/>
  <c r="R131" i="33" a="1"/>
  <c r="R131" i="33" s="1"/>
  <c r="Q131" i="33" a="1"/>
  <c r="Q131" i="33" s="1"/>
  <c r="N131" i="33" a="1"/>
  <c r="N131" i="33" s="1"/>
  <c r="M131" i="33"/>
  <c r="J131" i="33"/>
  <c r="I131" i="33"/>
  <c r="F131" i="33"/>
  <c r="E131" i="33"/>
  <c r="T130" i="33" a="1"/>
  <c r="T130" i="33" s="1"/>
  <c r="S130" i="33" a="1"/>
  <c r="S130" i="33" s="1"/>
  <c r="R130" i="33" a="1"/>
  <c r="R130" i="33" s="1"/>
  <c r="Q130" i="33" a="1"/>
  <c r="Q130" i="33" s="1"/>
  <c r="N130" i="33" a="1"/>
  <c r="N130" i="33" s="1"/>
  <c r="M130" i="33"/>
  <c r="E130" i="33"/>
  <c r="T129" i="33" a="1"/>
  <c r="T129" i="33" s="1"/>
  <c r="S129" i="33" a="1"/>
  <c r="S129" i="33" s="1"/>
  <c r="R129" i="33" a="1"/>
  <c r="R129" i="33" s="1"/>
  <c r="Q129" i="33" a="1"/>
  <c r="Q129" i="33" s="1"/>
  <c r="N129" i="33" a="1"/>
  <c r="N129" i="33" s="1"/>
  <c r="M129" i="33"/>
  <c r="E129" i="33"/>
  <c r="T128" i="33" a="1"/>
  <c r="T128" i="33" s="1"/>
  <c r="S128" i="33" a="1"/>
  <c r="S128" i="33" s="1"/>
  <c r="R128" i="33" a="1"/>
  <c r="R128" i="33" s="1"/>
  <c r="Q128" i="33" a="1"/>
  <c r="Q128" i="33" s="1"/>
  <c r="N128" i="33" a="1"/>
  <c r="N128" i="33" s="1"/>
  <c r="M128" i="33"/>
  <c r="E128" i="33"/>
  <c r="T127" i="33" a="1"/>
  <c r="T127" i="33" s="1"/>
  <c r="S127" i="33" a="1"/>
  <c r="S127" i="33" s="1"/>
  <c r="R127" i="33" a="1"/>
  <c r="R127" i="33" s="1"/>
  <c r="Q127" i="33" a="1"/>
  <c r="Q127" i="33" s="1"/>
  <c r="N127" i="33" a="1"/>
  <c r="N127" i="33" s="1"/>
  <c r="M127" i="33"/>
  <c r="J127" i="33"/>
  <c r="I127" i="33"/>
  <c r="F127" i="33"/>
  <c r="E127" i="33"/>
  <c r="T126" i="33" a="1"/>
  <c r="T126" i="33" s="1"/>
  <c r="S126" i="33" a="1"/>
  <c r="S126" i="33" s="1"/>
  <c r="R126" i="33" a="1"/>
  <c r="R126" i="33" s="1"/>
  <c r="Q126" i="33" a="1"/>
  <c r="Q126" i="33" s="1"/>
  <c r="N126" i="33" a="1"/>
  <c r="N126" i="33" s="1"/>
  <c r="M126" i="33"/>
  <c r="E126" i="33"/>
  <c r="T125" i="33" a="1"/>
  <c r="T125" i="33" s="1"/>
  <c r="S125" i="33" a="1"/>
  <c r="S125" i="33" s="1"/>
  <c r="R125" i="33" a="1"/>
  <c r="R125" i="33" s="1"/>
  <c r="Q125" i="33" a="1"/>
  <c r="Q125" i="33" s="1"/>
  <c r="N125" i="33" a="1"/>
  <c r="N125" i="33" s="1"/>
  <c r="M125" i="33"/>
  <c r="E125" i="33"/>
  <c r="T124" i="33" a="1"/>
  <c r="T124" i="33" s="1"/>
  <c r="S124" i="33" a="1"/>
  <c r="S124" i="33" s="1"/>
  <c r="R124" i="33" a="1"/>
  <c r="R124" i="33" s="1"/>
  <c r="Q124" i="33" a="1"/>
  <c r="Q124" i="33" s="1"/>
  <c r="N124" i="33" a="1"/>
  <c r="N124" i="33" s="1"/>
  <c r="M124" i="33"/>
  <c r="E124" i="33"/>
  <c r="T123" i="33" a="1"/>
  <c r="T123" i="33" s="1"/>
  <c r="S123" i="33" a="1"/>
  <c r="S123" i="33" s="1"/>
  <c r="R123" i="33" a="1"/>
  <c r="R123" i="33" s="1"/>
  <c r="Q123" i="33" a="1"/>
  <c r="Q123" i="33" s="1"/>
  <c r="N123" i="33" a="1"/>
  <c r="N123" i="33" s="1"/>
  <c r="M123" i="33"/>
  <c r="E123" i="33"/>
  <c r="T122" i="33" a="1"/>
  <c r="T122" i="33" s="1"/>
  <c r="S122" i="33" a="1"/>
  <c r="S122" i="33" s="1"/>
  <c r="R122" i="33" a="1"/>
  <c r="R122" i="33" s="1"/>
  <c r="Q122" i="33" a="1"/>
  <c r="Q122" i="33" s="1"/>
  <c r="N122" i="33" a="1"/>
  <c r="N122" i="33" s="1"/>
  <c r="M122" i="33"/>
  <c r="E122" i="33"/>
  <c r="T121" i="33" a="1"/>
  <c r="T121" i="33" s="1"/>
  <c r="S121" i="33" a="1"/>
  <c r="S121" i="33" s="1"/>
  <c r="R121" i="33" a="1"/>
  <c r="R121" i="33" s="1"/>
  <c r="Q121" i="33" a="1"/>
  <c r="Q121" i="33" s="1"/>
  <c r="N121" i="33" a="1"/>
  <c r="N121" i="33" s="1"/>
  <c r="M121" i="33"/>
  <c r="E121" i="33"/>
  <c r="T120" i="33" a="1"/>
  <c r="T120" i="33" s="1"/>
  <c r="S120" i="33" a="1"/>
  <c r="S120" i="33" s="1"/>
  <c r="R120" i="33" a="1"/>
  <c r="R120" i="33" s="1"/>
  <c r="Q120" i="33" a="1"/>
  <c r="Q120" i="33" s="1"/>
  <c r="N120" i="33" a="1"/>
  <c r="N120" i="33" s="1"/>
  <c r="M120" i="33"/>
  <c r="E120" i="33"/>
  <c r="T119" i="33" a="1"/>
  <c r="T119" i="33" s="1"/>
  <c r="S119" i="33" a="1"/>
  <c r="S119" i="33" s="1"/>
  <c r="R119" i="33" a="1"/>
  <c r="R119" i="33" s="1"/>
  <c r="Q119" i="33" a="1"/>
  <c r="Q119" i="33" s="1"/>
  <c r="N119" i="33" a="1"/>
  <c r="N119" i="33" s="1"/>
  <c r="M119" i="33"/>
  <c r="E119" i="33"/>
  <c r="T118" i="33" a="1"/>
  <c r="T118" i="33" s="1"/>
  <c r="S118" i="33" a="1"/>
  <c r="S118" i="33" s="1"/>
  <c r="R118" i="33" a="1"/>
  <c r="R118" i="33" s="1"/>
  <c r="Q118" i="33" a="1"/>
  <c r="Q118" i="33" s="1"/>
  <c r="N118" i="33" a="1"/>
  <c r="N118" i="33" s="1"/>
  <c r="M118" i="33"/>
  <c r="E118" i="33"/>
  <c r="T117" i="33" a="1"/>
  <c r="T117" i="33" s="1"/>
  <c r="S117" i="33" a="1"/>
  <c r="S117" i="33" s="1"/>
  <c r="R117" i="33" a="1"/>
  <c r="R117" i="33" s="1"/>
  <c r="Q117" i="33" a="1"/>
  <c r="Q117" i="33" s="1"/>
  <c r="N117" i="33" a="1"/>
  <c r="N117" i="33" s="1"/>
  <c r="M117" i="33"/>
  <c r="E117" i="33"/>
  <c r="T116" i="33" a="1"/>
  <c r="T116" i="33" s="1"/>
  <c r="S116" i="33" a="1"/>
  <c r="S116" i="33" s="1"/>
  <c r="R116" i="33" a="1"/>
  <c r="R116" i="33" s="1"/>
  <c r="Q116" i="33" a="1"/>
  <c r="Q116" i="33" s="1"/>
  <c r="N116" i="33" a="1"/>
  <c r="N116" i="33" s="1"/>
  <c r="M116" i="33"/>
  <c r="E116" i="33"/>
  <c r="T115" i="33" a="1"/>
  <c r="T115" i="33" s="1"/>
  <c r="S115" i="33" a="1"/>
  <c r="S115" i="33" s="1"/>
  <c r="R115" i="33" a="1"/>
  <c r="R115" i="33" s="1"/>
  <c r="Q115" i="33" a="1"/>
  <c r="Q115" i="33" s="1"/>
  <c r="N115" i="33" a="1"/>
  <c r="N115" i="33" s="1"/>
  <c r="M115" i="33"/>
  <c r="E115" i="33"/>
  <c r="T114" i="33" a="1"/>
  <c r="T114" i="33" s="1"/>
  <c r="S114" i="33" a="1"/>
  <c r="S114" i="33" s="1"/>
  <c r="R114" i="33" a="1"/>
  <c r="R114" i="33" s="1"/>
  <c r="Q114" i="33" a="1"/>
  <c r="Q114" i="33" s="1"/>
  <c r="N114" i="33" a="1"/>
  <c r="N114" i="33" s="1"/>
  <c r="M114" i="33"/>
  <c r="E114" i="33"/>
  <c r="T113" i="33" a="1"/>
  <c r="T113" i="33" s="1"/>
  <c r="S113" i="33" a="1"/>
  <c r="S113" i="33" s="1"/>
  <c r="R113" i="33" a="1"/>
  <c r="R113" i="33" s="1"/>
  <c r="Q113" i="33" a="1"/>
  <c r="Q113" i="33" s="1"/>
  <c r="N113" i="33" a="1"/>
  <c r="N113" i="33" s="1"/>
  <c r="M113" i="33"/>
  <c r="E113" i="33"/>
  <c r="T112" i="33" a="1"/>
  <c r="T112" i="33" s="1"/>
  <c r="S112" i="33" a="1"/>
  <c r="S112" i="33" s="1"/>
  <c r="R112" i="33" a="1"/>
  <c r="R112" i="33" s="1"/>
  <c r="Q112" i="33" a="1"/>
  <c r="Q112" i="33" s="1"/>
  <c r="N112" i="33" a="1"/>
  <c r="N112" i="33" s="1"/>
  <c r="M112" i="33"/>
  <c r="E112" i="33"/>
  <c r="T111" i="33" a="1"/>
  <c r="T111" i="33" s="1"/>
  <c r="S111" i="33" a="1"/>
  <c r="S111" i="33" s="1"/>
  <c r="R111" i="33" a="1"/>
  <c r="R111" i="33" s="1"/>
  <c r="Q111" i="33" a="1"/>
  <c r="Q111" i="33" s="1"/>
  <c r="N111" i="33" a="1"/>
  <c r="N111" i="33" s="1"/>
  <c r="M111" i="33"/>
  <c r="E111" i="33"/>
  <c r="T110" i="33" a="1"/>
  <c r="T110" i="33" s="1"/>
  <c r="S110" i="33" a="1"/>
  <c r="S110" i="33" s="1"/>
  <c r="R110" i="33" a="1"/>
  <c r="R110" i="33" s="1"/>
  <c r="Q110" i="33" a="1"/>
  <c r="Q110" i="33" s="1"/>
  <c r="N110" i="33" a="1"/>
  <c r="N110" i="33" s="1"/>
  <c r="M110" i="33"/>
  <c r="E110" i="33"/>
  <c r="T109" i="33" a="1"/>
  <c r="T109" i="33" s="1"/>
  <c r="S109" i="33" a="1"/>
  <c r="S109" i="33" s="1"/>
  <c r="R109" i="33" a="1"/>
  <c r="R109" i="33" s="1"/>
  <c r="Q109" i="33" a="1"/>
  <c r="Q109" i="33" s="1"/>
  <c r="N109" i="33" a="1"/>
  <c r="N109" i="33" s="1"/>
  <c r="M109" i="33"/>
  <c r="E109" i="33"/>
  <c r="T108" i="33" a="1"/>
  <c r="T108" i="33" s="1"/>
  <c r="S108" i="33" a="1"/>
  <c r="S108" i="33" s="1"/>
  <c r="R108" i="33" a="1"/>
  <c r="R108" i="33" s="1"/>
  <c r="Q108" i="33" a="1"/>
  <c r="Q108" i="33" s="1"/>
  <c r="N108" i="33" a="1"/>
  <c r="N108" i="33" s="1"/>
  <c r="M108" i="33"/>
  <c r="E108" i="33"/>
  <c r="T107" i="33" a="1"/>
  <c r="T107" i="33" s="1"/>
  <c r="S107" i="33" a="1"/>
  <c r="S107" i="33" s="1"/>
  <c r="R107" i="33" a="1"/>
  <c r="R107" i="33" s="1"/>
  <c r="Q107" i="33" a="1"/>
  <c r="Q107" i="33" s="1"/>
  <c r="N107" i="33" a="1"/>
  <c r="N107" i="33" s="1"/>
  <c r="M107" i="33"/>
  <c r="E107" i="33"/>
  <c r="T106" i="33" a="1"/>
  <c r="T106" i="33" s="1"/>
  <c r="S106" i="33" a="1"/>
  <c r="S106" i="33" s="1"/>
  <c r="R106" i="33" a="1"/>
  <c r="R106" i="33" s="1"/>
  <c r="Q106" i="33" a="1"/>
  <c r="Q106" i="33" s="1"/>
  <c r="N106" i="33" a="1"/>
  <c r="N106" i="33" s="1"/>
  <c r="M106" i="33"/>
  <c r="E106" i="33"/>
  <c r="T105" i="33" a="1"/>
  <c r="T105" i="33" s="1"/>
  <c r="S105" i="33" a="1"/>
  <c r="S105" i="33" s="1"/>
  <c r="R105" i="33" a="1"/>
  <c r="R105" i="33" s="1"/>
  <c r="Q105" i="33" a="1"/>
  <c r="Q105" i="33" s="1"/>
  <c r="N105" i="33" a="1"/>
  <c r="N105" i="33" s="1"/>
  <c r="M105" i="33"/>
  <c r="E105" i="33"/>
  <c r="T104" i="33" a="1"/>
  <c r="T104" i="33" s="1"/>
  <c r="S104" i="33" a="1"/>
  <c r="S104" i="33" s="1"/>
  <c r="R104" i="33" a="1"/>
  <c r="R104" i="33" s="1"/>
  <c r="Q104" i="33" a="1"/>
  <c r="Q104" i="33" s="1"/>
  <c r="N104" i="33" a="1"/>
  <c r="N104" i="33" s="1"/>
  <c r="M104" i="33"/>
  <c r="E104" i="33"/>
  <c r="T103" i="33" a="1"/>
  <c r="T103" i="33" s="1"/>
  <c r="S103" i="33" a="1"/>
  <c r="S103" i="33" s="1"/>
  <c r="R103" i="33" a="1"/>
  <c r="R103" i="33" s="1"/>
  <c r="Q103" i="33" a="1"/>
  <c r="Q103" i="33" s="1"/>
  <c r="N103" i="33" a="1"/>
  <c r="N103" i="33" s="1"/>
  <c r="M103" i="33"/>
  <c r="J103" i="33"/>
  <c r="I103" i="33"/>
  <c r="F103" i="33"/>
  <c r="E103" i="33"/>
  <c r="T102" i="33" a="1"/>
  <c r="T102" i="33" s="1"/>
  <c r="S102" i="33" a="1"/>
  <c r="S102" i="33" s="1"/>
  <c r="R102" i="33" a="1"/>
  <c r="R102" i="33" s="1"/>
  <c r="Q102" i="33" a="1"/>
  <c r="Q102" i="33" s="1"/>
  <c r="N102" i="33" a="1"/>
  <c r="N102" i="33" s="1"/>
  <c r="M102" i="33"/>
  <c r="E102" i="33"/>
  <c r="T101" i="33" a="1"/>
  <c r="T101" i="33" s="1"/>
  <c r="S101" i="33" a="1"/>
  <c r="S101" i="33" s="1"/>
  <c r="R101" i="33" a="1"/>
  <c r="R101" i="33" s="1"/>
  <c r="Q101" i="33" a="1"/>
  <c r="Q101" i="33" s="1"/>
  <c r="N101" i="33" a="1"/>
  <c r="N101" i="33" s="1"/>
  <c r="M101" i="33"/>
  <c r="E101" i="33"/>
  <c r="T100" i="33" a="1"/>
  <c r="T100" i="33" s="1"/>
  <c r="S100" i="33" a="1"/>
  <c r="S100" i="33" s="1"/>
  <c r="R100" i="33" a="1"/>
  <c r="R100" i="33" s="1"/>
  <c r="Q100" i="33" a="1"/>
  <c r="Q100" i="33" s="1"/>
  <c r="N100" i="33" a="1"/>
  <c r="N100" i="33" s="1"/>
  <c r="M100" i="33"/>
  <c r="E100" i="33"/>
  <c r="T99" i="33" a="1"/>
  <c r="T99" i="33" s="1"/>
  <c r="S99" i="33" a="1"/>
  <c r="S99" i="33" s="1"/>
  <c r="R99" i="33" a="1"/>
  <c r="R99" i="33" s="1"/>
  <c r="Q99" i="33" a="1"/>
  <c r="Q99" i="33" s="1"/>
  <c r="N99" i="33" a="1"/>
  <c r="N99" i="33" s="1"/>
  <c r="M99" i="33"/>
  <c r="E99" i="33"/>
  <c r="T98" i="33" a="1"/>
  <c r="T98" i="33" s="1"/>
  <c r="S98" i="33" a="1"/>
  <c r="S98" i="33" s="1"/>
  <c r="R98" i="33" a="1"/>
  <c r="R98" i="33" s="1"/>
  <c r="Q98" i="33" a="1"/>
  <c r="Q98" i="33" s="1"/>
  <c r="N98" i="33" a="1"/>
  <c r="N98" i="33" s="1"/>
  <c r="M98" i="33"/>
  <c r="J98" i="33"/>
  <c r="I98" i="33"/>
  <c r="F98" i="33"/>
  <c r="E98" i="33"/>
  <c r="T97" i="33" a="1"/>
  <c r="T97" i="33" s="1"/>
  <c r="S97" i="33" a="1"/>
  <c r="S97" i="33" s="1"/>
  <c r="R97" i="33" a="1"/>
  <c r="R97" i="33" s="1"/>
  <c r="Q97" i="33" a="1"/>
  <c r="Q97" i="33" s="1"/>
  <c r="N97" i="33" a="1"/>
  <c r="N97" i="33" s="1"/>
  <c r="M97" i="33"/>
  <c r="E97" i="33"/>
  <c r="T96" i="33" a="1"/>
  <c r="T96" i="33" s="1"/>
  <c r="S96" i="33" a="1"/>
  <c r="S96" i="33" s="1"/>
  <c r="R96" i="33" a="1"/>
  <c r="R96" i="33" s="1"/>
  <c r="Q96" i="33" a="1"/>
  <c r="Q96" i="33" s="1"/>
  <c r="N96" i="33" a="1"/>
  <c r="N96" i="33" s="1"/>
  <c r="M96" i="33"/>
  <c r="J96" i="33"/>
  <c r="I96" i="33"/>
  <c r="F96" i="33"/>
  <c r="E96" i="33"/>
  <c r="T95" i="33" a="1"/>
  <c r="T95" i="33" s="1"/>
  <c r="S95" i="33" a="1"/>
  <c r="S95" i="33" s="1"/>
  <c r="R95" i="33" a="1"/>
  <c r="R95" i="33" s="1"/>
  <c r="Q95" i="33" a="1"/>
  <c r="Q95" i="33" s="1"/>
  <c r="N95" i="33" a="1"/>
  <c r="N95" i="33" s="1"/>
  <c r="M95" i="33"/>
  <c r="E95" i="33"/>
  <c r="T94" i="33" a="1"/>
  <c r="T94" i="33" s="1"/>
  <c r="S94" i="33" a="1"/>
  <c r="S94" i="33" s="1"/>
  <c r="R94" i="33" a="1"/>
  <c r="R94" i="33" s="1"/>
  <c r="Q94" i="33" a="1"/>
  <c r="Q94" i="33" s="1"/>
  <c r="N94" i="33" a="1"/>
  <c r="N94" i="33" s="1"/>
  <c r="M94" i="33"/>
  <c r="J94" i="33"/>
  <c r="I94" i="33"/>
  <c r="F94" i="33"/>
  <c r="E94" i="33"/>
  <c r="T93" i="33" a="1"/>
  <c r="T93" i="33" s="1"/>
  <c r="S93" i="33" a="1"/>
  <c r="S93" i="33" s="1"/>
  <c r="R93" i="33" a="1"/>
  <c r="R93" i="33" s="1"/>
  <c r="Q93" i="33" a="1"/>
  <c r="Q93" i="33" s="1"/>
  <c r="N93" i="33" a="1"/>
  <c r="N93" i="33" s="1"/>
  <c r="M93" i="33"/>
  <c r="E93" i="33"/>
  <c r="T92" i="33" a="1"/>
  <c r="T92" i="33" s="1"/>
  <c r="S92" i="33" a="1"/>
  <c r="S92" i="33" s="1"/>
  <c r="R92" i="33" a="1"/>
  <c r="R92" i="33" s="1"/>
  <c r="Q92" i="33" a="1"/>
  <c r="Q92" i="33" s="1"/>
  <c r="N92" i="33" a="1"/>
  <c r="N92" i="33" s="1"/>
  <c r="M92" i="33"/>
  <c r="E92" i="33"/>
  <c r="T91" i="33" a="1"/>
  <c r="T91" i="33" s="1"/>
  <c r="S91" i="33" a="1"/>
  <c r="S91" i="33" s="1"/>
  <c r="R91" i="33" a="1"/>
  <c r="R91" i="33" s="1"/>
  <c r="Q91" i="33" a="1"/>
  <c r="Q91" i="33" s="1"/>
  <c r="N91" i="33" a="1"/>
  <c r="N91" i="33" s="1"/>
  <c r="M91" i="33"/>
  <c r="J91" i="33"/>
  <c r="I91" i="33"/>
  <c r="F91" i="33"/>
  <c r="E91" i="33"/>
  <c r="T90" i="33" a="1"/>
  <c r="T90" i="33" s="1"/>
  <c r="S90" i="33" a="1"/>
  <c r="S90" i="33" s="1"/>
  <c r="R90" i="33" a="1"/>
  <c r="R90" i="33" s="1"/>
  <c r="Q90" i="33" a="1"/>
  <c r="Q90" i="33" s="1"/>
  <c r="N90" i="33" a="1"/>
  <c r="N90" i="33" s="1"/>
  <c r="M90" i="33"/>
  <c r="E90" i="33"/>
  <c r="T89" i="33" a="1"/>
  <c r="T89" i="33" s="1"/>
  <c r="S89" i="33" a="1"/>
  <c r="S89" i="33" s="1"/>
  <c r="R89" i="33" a="1"/>
  <c r="R89" i="33" s="1"/>
  <c r="Q89" i="33" a="1"/>
  <c r="Q89" i="33" s="1"/>
  <c r="N89" i="33" a="1"/>
  <c r="N89" i="33" s="1"/>
  <c r="M89" i="33"/>
  <c r="E89" i="33"/>
  <c r="T88" i="33" a="1"/>
  <c r="T88" i="33" s="1"/>
  <c r="S88" i="33" a="1"/>
  <c r="S88" i="33" s="1"/>
  <c r="R88" i="33" a="1"/>
  <c r="R88" i="33" s="1"/>
  <c r="Q88" i="33" a="1"/>
  <c r="Q88" i="33" s="1"/>
  <c r="N88" i="33" a="1"/>
  <c r="N88" i="33" s="1"/>
  <c r="M88" i="33"/>
  <c r="E88" i="33"/>
  <c r="T87" i="33" a="1"/>
  <c r="T87" i="33" s="1"/>
  <c r="S87" i="33" a="1"/>
  <c r="S87" i="33" s="1"/>
  <c r="R87" i="33" a="1"/>
  <c r="R87" i="33" s="1"/>
  <c r="Q87" i="33" a="1"/>
  <c r="Q87" i="33" s="1"/>
  <c r="N87" i="33" a="1"/>
  <c r="N87" i="33" s="1"/>
  <c r="M87" i="33"/>
  <c r="E87" i="33"/>
  <c r="T86" i="33" a="1"/>
  <c r="T86" i="33" s="1"/>
  <c r="S86" i="33" a="1"/>
  <c r="S86" i="33" s="1"/>
  <c r="R86" i="33" a="1"/>
  <c r="R86" i="33" s="1"/>
  <c r="Q86" i="33" a="1"/>
  <c r="Q86" i="33" s="1"/>
  <c r="N86" i="33" a="1"/>
  <c r="N86" i="33" s="1"/>
  <c r="M86" i="33"/>
  <c r="E86" i="33"/>
  <c r="T85" i="33" a="1"/>
  <c r="T85" i="33" s="1"/>
  <c r="S85" i="33" a="1"/>
  <c r="S85" i="33" s="1"/>
  <c r="R85" i="33" a="1"/>
  <c r="R85" i="33" s="1"/>
  <c r="Q85" i="33" a="1"/>
  <c r="Q85" i="33" s="1"/>
  <c r="N85" i="33" a="1"/>
  <c r="N85" i="33" s="1"/>
  <c r="M85" i="33"/>
  <c r="J85" i="33"/>
  <c r="I85" i="33"/>
  <c r="F85" i="33"/>
  <c r="E85" i="33"/>
  <c r="T84" i="33" a="1"/>
  <c r="T84" i="33" s="1"/>
  <c r="S84" i="33" a="1"/>
  <c r="S84" i="33" s="1"/>
  <c r="R84" i="33" a="1"/>
  <c r="R84" i="33" s="1"/>
  <c r="Q84" i="33" a="1"/>
  <c r="Q84" i="33" s="1"/>
  <c r="N84" i="33" a="1"/>
  <c r="N84" i="33" s="1"/>
  <c r="M84" i="33"/>
  <c r="J84" i="33"/>
  <c r="I84" i="33"/>
  <c r="F84" i="33"/>
  <c r="E84" i="33"/>
  <c r="T83" i="33" a="1"/>
  <c r="T83" i="33" s="1"/>
  <c r="S83" i="33" a="1"/>
  <c r="S83" i="33" s="1"/>
  <c r="R83" i="33" a="1"/>
  <c r="R83" i="33" s="1"/>
  <c r="Q83" i="33" a="1"/>
  <c r="Q83" i="33" s="1"/>
  <c r="N83" i="33" a="1"/>
  <c r="N83" i="33" s="1"/>
  <c r="M83" i="33"/>
  <c r="E83" i="33"/>
  <c r="T82" i="33" a="1"/>
  <c r="T82" i="33" s="1"/>
  <c r="S82" i="33" a="1"/>
  <c r="S82" i="33" s="1"/>
  <c r="R82" i="33" a="1"/>
  <c r="R82" i="33" s="1"/>
  <c r="Q82" i="33" a="1"/>
  <c r="Q82" i="33" s="1"/>
  <c r="N82" i="33" a="1"/>
  <c r="N82" i="33" s="1"/>
  <c r="M82" i="33"/>
  <c r="E82" i="33"/>
  <c r="T81" i="33" a="1"/>
  <c r="T81" i="33" s="1"/>
  <c r="S81" i="33" a="1"/>
  <c r="S81" i="33" s="1"/>
  <c r="R81" i="33" a="1"/>
  <c r="R81" i="33" s="1"/>
  <c r="Q81" i="33" a="1"/>
  <c r="Q81" i="33" s="1"/>
  <c r="N81" i="33" a="1"/>
  <c r="N81" i="33" s="1"/>
  <c r="M81" i="33"/>
  <c r="E81" i="33"/>
  <c r="T80" i="33" a="1"/>
  <c r="T80" i="33" s="1"/>
  <c r="S80" i="33" a="1"/>
  <c r="S80" i="33" s="1"/>
  <c r="R80" i="33" a="1"/>
  <c r="R80" i="33" s="1"/>
  <c r="Q80" i="33" a="1"/>
  <c r="Q80" i="33" s="1"/>
  <c r="N80" i="33" a="1"/>
  <c r="N80" i="33" s="1"/>
  <c r="M80" i="33"/>
  <c r="J80" i="33"/>
  <c r="I80" i="33"/>
  <c r="F80" i="33"/>
  <c r="E80" i="33"/>
  <c r="T79" i="33" a="1"/>
  <c r="T79" i="33" s="1"/>
  <c r="S79" i="33" a="1"/>
  <c r="S79" i="33" s="1"/>
  <c r="R79" i="33" a="1"/>
  <c r="R79" i="33" s="1"/>
  <c r="Q79" i="33" a="1"/>
  <c r="Q79" i="33" s="1"/>
  <c r="N79" i="33" a="1"/>
  <c r="N79" i="33" s="1"/>
  <c r="M79" i="33"/>
  <c r="J79" i="33"/>
  <c r="I79" i="33"/>
  <c r="F79" i="33"/>
  <c r="E79" i="33"/>
  <c r="T78" i="33" a="1"/>
  <c r="T78" i="33" s="1"/>
  <c r="S78" i="33" a="1"/>
  <c r="S78" i="33" s="1"/>
  <c r="R78" i="33" a="1"/>
  <c r="R78" i="33" s="1"/>
  <c r="Q78" i="33" a="1"/>
  <c r="Q78" i="33" s="1"/>
  <c r="N78" i="33" a="1"/>
  <c r="N78" i="33" s="1"/>
  <c r="M78" i="33"/>
  <c r="J78" i="33"/>
  <c r="I78" i="33"/>
  <c r="F78" i="33"/>
  <c r="E78" i="33"/>
  <c r="T77" i="33" a="1"/>
  <c r="T77" i="33" s="1"/>
  <c r="S77" i="33" a="1"/>
  <c r="S77" i="33" s="1"/>
  <c r="R77" i="33" a="1"/>
  <c r="R77" i="33" s="1"/>
  <c r="Q77" i="33" a="1"/>
  <c r="Q77" i="33" s="1"/>
  <c r="N77" i="33" a="1"/>
  <c r="N77" i="33" s="1"/>
  <c r="M77" i="33"/>
  <c r="J77" i="33"/>
  <c r="I77" i="33"/>
  <c r="F77" i="33"/>
  <c r="E77" i="33"/>
  <c r="T76" i="33" a="1"/>
  <c r="T76" i="33" s="1"/>
  <c r="S76" i="33" a="1"/>
  <c r="S76" i="33" s="1"/>
  <c r="R76" i="33" a="1"/>
  <c r="R76" i="33" s="1"/>
  <c r="Q76" i="33" a="1"/>
  <c r="Q76" i="33" s="1"/>
  <c r="N76" i="33" a="1"/>
  <c r="N76" i="33" s="1"/>
  <c r="M76" i="33"/>
  <c r="J76" i="33"/>
  <c r="I76" i="33"/>
  <c r="F76" i="33"/>
  <c r="E76" i="33"/>
  <c r="T75" i="33" a="1"/>
  <c r="T75" i="33" s="1"/>
  <c r="S75" i="33" a="1"/>
  <c r="S75" i="33" s="1"/>
  <c r="R75" i="33" a="1"/>
  <c r="R75" i="33" s="1"/>
  <c r="Q75" i="33" a="1"/>
  <c r="Q75" i="33" s="1"/>
  <c r="N75" i="33" a="1"/>
  <c r="N75" i="33" s="1"/>
  <c r="M75" i="33"/>
  <c r="J75" i="33"/>
  <c r="I75" i="33"/>
  <c r="F75" i="33"/>
  <c r="E75" i="33"/>
  <c r="T74" i="33" a="1"/>
  <c r="T74" i="33" s="1"/>
  <c r="S74" i="33" a="1"/>
  <c r="S74" i="33" s="1"/>
  <c r="R74" i="33" a="1"/>
  <c r="R74" i="33" s="1"/>
  <c r="Q74" i="33" a="1"/>
  <c r="Q74" i="33" s="1"/>
  <c r="N74" i="33" a="1"/>
  <c r="N74" i="33" s="1"/>
  <c r="M74" i="33"/>
  <c r="J74" i="33"/>
  <c r="I74" i="33"/>
  <c r="F74" i="33"/>
  <c r="E74" i="33"/>
  <c r="T73" i="33" a="1"/>
  <c r="T73" i="33" s="1"/>
  <c r="S73" i="33" a="1"/>
  <c r="S73" i="33" s="1"/>
  <c r="R73" i="33" a="1"/>
  <c r="R73" i="33" s="1"/>
  <c r="Q73" i="33" a="1"/>
  <c r="Q73" i="33" s="1"/>
  <c r="N73" i="33" a="1"/>
  <c r="N73" i="33" s="1"/>
  <c r="M73" i="33"/>
  <c r="E73" i="33"/>
  <c r="T72" i="33" a="1"/>
  <c r="T72" i="33" s="1"/>
  <c r="S72" i="33" a="1"/>
  <c r="S72" i="33" s="1"/>
  <c r="R72" i="33" a="1"/>
  <c r="R72" i="33" s="1"/>
  <c r="Q72" i="33" a="1"/>
  <c r="Q72" i="33" s="1"/>
  <c r="N72" i="33" a="1"/>
  <c r="N72" i="33" s="1"/>
  <c r="M72" i="33"/>
  <c r="E72" i="33"/>
  <c r="T71" i="33" a="1"/>
  <c r="T71" i="33" s="1"/>
  <c r="S71" i="33" a="1"/>
  <c r="S71" i="33" s="1"/>
  <c r="R71" i="33" a="1"/>
  <c r="R71" i="33" s="1"/>
  <c r="Q71" i="33" a="1"/>
  <c r="Q71" i="33" s="1"/>
  <c r="N71" i="33" a="1"/>
  <c r="N71" i="33" s="1"/>
  <c r="M71" i="33"/>
  <c r="E71" i="33"/>
  <c r="T70" i="33" a="1"/>
  <c r="T70" i="33" s="1"/>
  <c r="S70" i="33" a="1"/>
  <c r="S70" i="33" s="1"/>
  <c r="R70" i="33" a="1"/>
  <c r="R70" i="33" s="1"/>
  <c r="Q70" i="33" a="1"/>
  <c r="Q70" i="33" s="1"/>
  <c r="N70" i="33" a="1"/>
  <c r="N70" i="33" s="1"/>
  <c r="M70" i="33"/>
  <c r="E70" i="33"/>
  <c r="T69" i="33" a="1"/>
  <c r="T69" i="33" s="1"/>
  <c r="S69" i="33" a="1"/>
  <c r="S69" i="33" s="1"/>
  <c r="R69" i="33" a="1"/>
  <c r="R69" i="33" s="1"/>
  <c r="Q69" i="33" a="1"/>
  <c r="Q69" i="33" s="1"/>
  <c r="N69" i="33" a="1"/>
  <c r="N69" i="33" s="1"/>
  <c r="M69" i="33"/>
  <c r="J69" i="33"/>
  <c r="I69" i="33"/>
  <c r="F69" i="33"/>
  <c r="E69" i="33"/>
  <c r="T68" i="33" a="1"/>
  <c r="T68" i="33" s="1"/>
  <c r="S68" i="33" a="1"/>
  <c r="S68" i="33" s="1"/>
  <c r="R68" i="33" a="1"/>
  <c r="R68" i="33" s="1"/>
  <c r="Q68" i="33" a="1"/>
  <c r="Q68" i="33" s="1"/>
  <c r="N68" i="33" a="1"/>
  <c r="N68" i="33" s="1"/>
  <c r="M68" i="33"/>
  <c r="E68" i="33"/>
  <c r="T67" i="33" a="1"/>
  <c r="T67" i="33" s="1"/>
  <c r="S67" i="33" a="1"/>
  <c r="S67" i="33" s="1"/>
  <c r="R67" i="33" a="1"/>
  <c r="R67" i="33" s="1"/>
  <c r="Q67" i="33" a="1"/>
  <c r="Q67" i="33" s="1"/>
  <c r="N67" i="33" a="1"/>
  <c r="N67" i="33" s="1"/>
  <c r="M67" i="33"/>
  <c r="E67" i="33"/>
  <c r="T66" i="33" a="1"/>
  <c r="T66" i="33" s="1"/>
  <c r="S66" i="33" a="1"/>
  <c r="S66" i="33" s="1"/>
  <c r="R66" i="33" a="1"/>
  <c r="R66" i="33" s="1"/>
  <c r="Q66" i="33" a="1"/>
  <c r="Q66" i="33" s="1"/>
  <c r="N66" i="33" a="1"/>
  <c r="N66" i="33" s="1"/>
  <c r="M66" i="33"/>
  <c r="J66" i="33"/>
  <c r="I66" i="33"/>
  <c r="F66" i="33"/>
  <c r="E66" i="33"/>
  <c r="T65" i="33" a="1"/>
  <c r="T65" i="33" s="1"/>
  <c r="S65" i="33" a="1"/>
  <c r="S65" i="33" s="1"/>
  <c r="R65" i="33" a="1"/>
  <c r="R65" i="33" s="1"/>
  <c r="Q65" i="33" a="1"/>
  <c r="Q65" i="33" s="1"/>
  <c r="N65" i="33" a="1"/>
  <c r="N65" i="33" s="1"/>
  <c r="M65" i="33"/>
  <c r="E65" i="33"/>
  <c r="T64" i="33" a="1"/>
  <c r="T64" i="33" s="1"/>
  <c r="S64" i="33" a="1"/>
  <c r="S64" i="33" s="1"/>
  <c r="R64" i="33" a="1"/>
  <c r="R64" i="33" s="1"/>
  <c r="Q64" i="33" a="1"/>
  <c r="Q64" i="33" s="1"/>
  <c r="N64" i="33" a="1"/>
  <c r="N64" i="33" s="1"/>
  <c r="M64" i="33"/>
  <c r="E64" i="33"/>
  <c r="T63" i="33" a="1"/>
  <c r="T63" i="33" s="1"/>
  <c r="S63" i="33" a="1"/>
  <c r="S63" i="33" s="1"/>
  <c r="R63" i="33" a="1"/>
  <c r="R63" i="33" s="1"/>
  <c r="Q63" i="33" a="1"/>
  <c r="Q63" i="33" s="1"/>
  <c r="N63" i="33" a="1"/>
  <c r="N63" i="33" s="1"/>
  <c r="M63" i="33"/>
  <c r="J63" i="33"/>
  <c r="I63" i="33"/>
  <c r="F63" i="33"/>
  <c r="E63" i="33"/>
  <c r="T62" i="33" a="1"/>
  <c r="T62" i="33" s="1"/>
  <c r="S62" i="33" a="1"/>
  <c r="S62" i="33" s="1"/>
  <c r="R62" i="33" a="1"/>
  <c r="R62" i="33" s="1"/>
  <c r="Q62" i="33" a="1"/>
  <c r="Q62" i="33" s="1"/>
  <c r="N62" i="33" a="1"/>
  <c r="N62" i="33" s="1"/>
  <c r="M62" i="33"/>
  <c r="E62" i="33"/>
  <c r="T61" i="33" a="1"/>
  <c r="T61" i="33" s="1"/>
  <c r="S61" i="33" a="1"/>
  <c r="S61" i="33" s="1"/>
  <c r="R61" i="33" a="1"/>
  <c r="R61" i="33" s="1"/>
  <c r="Q61" i="33" a="1"/>
  <c r="Q61" i="33" s="1"/>
  <c r="N61" i="33" a="1"/>
  <c r="N61" i="33" s="1"/>
  <c r="M61" i="33"/>
  <c r="E61" i="33"/>
  <c r="T60" i="33" a="1"/>
  <c r="T60" i="33" s="1"/>
  <c r="S60" i="33" a="1"/>
  <c r="S60" i="33" s="1"/>
  <c r="R60" i="33" a="1"/>
  <c r="R60" i="33" s="1"/>
  <c r="Q60" i="33" a="1"/>
  <c r="Q60" i="33" s="1"/>
  <c r="N60" i="33" a="1"/>
  <c r="N60" i="33" s="1"/>
  <c r="M60" i="33"/>
  <c r="E60" i="33"/>
  <c r="T59" i="33" a="1"/>
  <c r="T59" i="33" s="1"/>
  <c r="S59" i="33" a="1"/>
  <c r="S59" i="33" s="1"/>
  <c r="R59" i="33" a="1"/>
  <c r="R59" i="33" s="1"/>
  <c r="Q59" i="33" a="1"/>
  <c r="Q59" i="33" s="1"/>
  <c r="N59" i="33" a="1"/>
  <c r="N59" i="33" s="1"/>
  <c r="M59" i="33"/>
  <c r="E59" i="33"/>
  <c r="T58" i="33" a="1"/>
  <c r="T58" i="33" s="1"/>
  <c r="S58" i="33" a="1"/>
  <c r="S58" i="33" s="1"/>
  <c r="R58" i="33" a="1"/>
  <c r="R58" i="33" s="1"/>
  <c r="Q58" i="33" a="1"/>
  <c r="Q58" i="33" s="1"/>
  <c r="N58" i="33" a="1"/>
  <c r="N58" i="33" s="1"/>
  <c r="M58" i="33"/>
  <c r="E58" i="33"/>
  <c r="T57" i="33" a="1"/>
  <c r="T57" i="33" s="1"/>
  <c r="S57" i="33" a="1"/>
  <c r="S57" i="33" s="1"/>
  <c r="R57" i="33" a="1"/>
  <c r="R57" i="33" s="1"/>
  <c r="Q57" i="33" a="1"/>
  <c r="Q57" i="33" s="1"/>
  <c r="N57" i="33" a="1"/>
  <c r="N57" i="33" s="1"/>
  <c r="M57" i="33"/>
  <c r="E57" i="33"/>
  <c r="T56" i="33" a="1"/>
  <c r="T56" i="33" s="1"/>
  <c r="S56" i="33" a="1"/>
  <c r="S56" i="33" s="1"/>
  <c r="R56" i="33" a="1"/>
  <c r="R56" i="33" s="1"/>
  <c r="Q56" i="33" a="1"/>
  <c r="Q56" i="33" s="1"/>
  <c r="N56" i="33" a="1"/>
  <c r="N56" i="33" s="1"/>
  <c r="M56" i="33"/>
  <c r="E56" i="33"/>
  <c r="T55" i="33" a="1"/>
  <c r="T55" i="33" s="1"/>
  <c r="S55" i="33" a="1"/>
  <c r="S55" i="33" s="1"/>
  <c r="R55" i="33" a="1"/>
  <c r="R55" i="33" s="1"/>
  <c r="Q55" i="33" a="1"/>
  <c r="Q55" i="33" s="1"/>
  <c r="N55" i="33" a="1"/>
  <c r="N55" i="33" s="1"/>
  <c r="M55" i="33"/>
  <c r="J55" i="33"/>
  <c r="I55" i="33"/>
  <c r="F55" i="33"/>
  <c r="E55" i="33"/>
  <c r="T54" i="33" a="1"/>
  <c r="T54" i="33" s="1"/>
  <c r="S54" i="33" a="1"/>
  <c r="S54" i="33" s="1"/>
  <c r="R54" i="33" a="1"/>
  <c r="R54" i="33" s="1"/>
  <c r="Q54" i="33" a="1"/>
  <c r="Q54" i="33" s="1"/>
  <c r="N54" i="33" a="1"/>
  <c r="N54" i="33" s="1"/>
  <c r="M54" i="33"/>
  <c r="E54" i="33"/>
  <c r="T53" i="33" a="1"/>
  <c r="T53" i="33" s="1"/>
  <c r="S53" i="33" a="1"/>
  <c r="S53" i="33" s="1"/>
  <c r="R53" i="33" a="1"/>
  <c r="R53" i="33" s="1"/>
  <c r="Q53" i="33" a="1"/>
  <c r="Q53" i="33" s="1"/>
  <c r="N53" i="33" a="1"/>
  <c r="N53" i="33" s="1"/>
  <c r="M53" i="33"/>
  <c r="E53" i="33"/>
  <c r="T52" i="33" a="1"/>
  <c r="T52" i="33" s="1"/>
  <c r="S52" i="33" a="1"/>
  <c r="S52" i="33" s="1"/>
  <c r="R52" i="33" a="1"/>
  <c r="R52" i="33" s="1"/>
  <c r="Q52" i="33" a="1"/>
  <c r="Q52" i="33" s="1"/>
  <c r="N52" i="33" a="1"/>
  <c r="N52" i="33" s="1"/>
  <c r="M52" i="33"/>
  <c r="J52" i="33"/>
  <c r="I52" i="33"/>
  <c r="F52" i="33"/>
  <c r="E52" i="33"/>
  <c r="T51" i="33" a="1"/>
  <c r="T51" i="33" s="1"/>
  <c r="S51" i="33" a="1"/>
  <c r="S51" i="33" s="1"/>
  <c r="R51" i="33" a="1"/>
  <c r="R51" i="33" s="1"/>
  <c r="Q51" i="33" a="1"/>
  <c r="Q51" i="33" s="1"/>
  <c r="N51" i="33" a="1"/>
  <c r="N51" i="33" s="1"/>
  <c r="M51" i="33"/>
  <c r="J51" i="33"/>
  <c r="I51" i="33"/>
  <c r="F51" i="33"/>
  <c r="E51" i="33"/>
  <c r="T50" i="33" a="1"/>
  <c r="T50" i="33" s="1"/>
  <c r="S50" i="33" a="1"/>
  <c r="S50" i="33" s="1"/>
  <c r="R50" i="33" a="1"/>
  <c r="R50" i="33" s="1"/>
  <c r="Q50" i="33" a="1"/>
  <c r="Q50" i="33" s="1"/>
  <c r="N50" i="33" a="1"/>
  <c r="N50" i="33" s="1"/>
  <c r="M50" i="33"/>
  <c r="E50" i="33"/>
  <c r="T49" i="33" a="1"/>
  <c r="T49" i="33" s="1"/>
  <c r="S49" i="33" a="1"/>
  <c r="S49" i="33" s="1"/>
  <c r="R49" i="33" a="1"/>
  <c r="R49" i="33" s="1"/>
  <c r="Q49" i="33" a="1"/>
  <c r="Q49" i="33" s="1"/>
  <c r="N49" i="33" a="1"/>
  <c r="N49" i="33" s="1"/>
  <c r="M49" i="33"/>
  <c r="J49" i="33"/>
  <c r="I49" i="33"/>
  <c r="F49" i="33"/>
  <c r="E49" i="33"/>
  <c r="T48" i="33" a="1"/>
  <c r="T48" i="33" s="1"/>
  <c r="S48" i="33" a="1"/>
  <c r="S48" i="33" s="1"/>
  <c r="R48" i="33" a="1"/>
  <c r="R48" i="33" s="1"/>
  <c r="Q48" i="33" a="1"/>
  <c r="Q48" i="33" s="1"/>
  <c r="N48" i="33" a="1"/>
  <c r="N48" i="33" s="1"/>
  <c r="M48" i="33"/>
  <c r="E48" i="33"/>
  <c r="T47" i="33" a="1"/>
  <c r="T47" i="33" s="1"/>
  <c r="S47" i="33" a="1"/>
  <c r="S47" i="33" s="1"/>
  <c r="R47" i="33" a="1"/>
  <c r="R47" i="33" s="1"/>
  <c r="Q47" i="33" a="1"/>
  <c r="Q47" i="33" s="1"/>
  <c r="N47" i="33" a="1"/>
  <c r="N47" i="33" s="1"/>
  <c r="M47" i="33"/>
  <c r="E47" i="33"/>
  <c r="T46" i="33" a="1"/>
  <c r="T46" i="33" s="1"/>
  <c r="S46" i="33" a="1"/>
  <c r="S46" i="33" s="1"/>
  <c r="R46" i="33" a="1"/>
  <c r="R46" i="33" s="1"/>
  <c r="Q46" i="33" a="1"/>
  <c r="Q46" i="33" s="1"/>
  <c r="N46" i="33" a="1"/>
  <c r="N46" i="33" s="1"/>
  <c r="M46" i="33"/>
  <c r="E46" i="33"/>
  <c r="T45" i="33" a="1"/>
  <c r="T45" i="33" s="1"/>
  <c r="S45" i="33" a="1"/>
  <c r="S45" i="33" s="1"/>
  <c r="R45" i="33" a="1"/>
  <c r="R45" i="33" s="1"/>
  <c r="Q45" i="33" a="1"/>
  <c r="Q45" i="33" s="1"/>
  <c r="N45" i="33" a="1"/>
  <c r="N45" i="33" s="1"/>
  <c r="M45" i="33"/>
  <c r="E45" i="33"/>
  <c r="T44" i="33" a="1"/>
  <c r="T44" i="33" s="1"/>
  <c r="S44" i="33" a="1"/>
  <c r="S44" i="33" s="1"/>
  <c r="R44" i="33" a="1"/>
  <c r="R44" i="33" s="1"/>
  <c r="Q44" i="33" a="1"/>
  <c r="Q44" i="33" s="1"/>
  <c r="N44" i="33" a="1"/>
  <c r="N44" i="33" s="1"/>
  <c r="M44" i="33"/>
  <c r="E44" i="33"/>
  <c r="T43" i="33" a="1"/>
  <c r="T43" i="33" s="1"/>
  <c r="S43" i="33" a="1"/>
  <c r="S43" i="33" s="1"/>
  <c r="R43" i="33" a="1"/>
  <c r="R43" i="33" s="1"/>
  <c r="Q43" i="33" a="1"/>
  <c r="Q43" i="33" s="1"/>
  <c r="N43" i="33" a="1"/>
  <c r="N43" i="33" s="1"/>
  <c r="M43" i="33"/>
  <c r="E43" i="33"/>
  <c r="T42" i="33" a="1"/>
  <c r="T42" i="33" s="1"/>
  <c r="S42" i="33" a="1"/>
  <c r="S42" i="33" s="1"/>
  <c r="R42" i="33" a="1"/>
  <c r="R42" i="33" s="1"/>
  <c r="Q42" i="33" a="1"/>
  <c r="Q42" i="33" s="1"/>
  <c r="N42" i="33" a="1"/>
  <c r="N42" i="33" s="1"/>
  <c r="M42" i="33"/>
  <c r="J42" i="33"/>
  <c r="I42" i="33"/>
  <c r="F42" i="33"/>
  <c r="E42" i="33"/>
  <c r="T41" i="33" a="1"/>
  <c r="T41" i="33" s="1"/>
  <c r="S41" i="33" a="1"/>
  <c r="S41" i="33" s="1"/>
  <c r="R41" i="33" a="1"/>
  <c r="R41" i="33" s="1"/>
  <c r="Q41" i="33" a="1"/>
  <c r="Q41" i="33" s="1"/>
  <c r="N41" i="33" a="1"/>
  <c r="N41" i="33" s="1"/>
  <c r="M41" i="33"/>
  <c r="E41" i="33"/>
  <c r="T40" i="33" a="1"/>
  <c r="T40" i="33" s="1"/>
  <c r="S40" i="33" a="1"/>
  <c r="S40" i="33" s="1"/>
  <c r="R40" i="33" a="1"/>
  <c r="R40" i="33" s="1"/>
  <c r="Q40" i="33" a="1"/>
  <c r="Q40" i="33" s="1"/>
  <c r="N40" i="33" a="1"/>
  <c r="N40" i="33" s="1"/>
  <c r="M40" i="33"/>
  <c r="E40" i="33"/>
  <c r="T39" i="33" a="1"/>
  <c r="T39" i="33" s="1"/>
  <c r="S39" i="33" a="1"/>
  <c r="S39" i="33" s="1"/>
  <c r="R39" i="33" a="1"/>
  <c r="R39" i="33" s="1"/>
  <c r="Q39" i="33" a="1"/>
  <c r="Q39" i="33" s="1"/>
  <c r="N39" i="33" a="1"/>
  <c r="N39" i="33" s="1"/>
  <c r="M39" i="33"/>
  <c r="E39" i="33"/>
  <c r="T38" i="33" a="1"/>
  <c r="T38" i="33" s="1"/>
  <c r="S38" i="33" a="1"/>
  <c r="S38" i="33" s="1"/>
  <c r="R38" i="33" a="1"/>
  <c r="R38" i="33" s="1"/>
  <c r="Q38" i="33" a="1"/>
  <c r="Q38" i="33" s="1"/>
  <c r="N38" i="33" a="1"/>
  <c r="N38" i="33" s="1"/>
  <c r="M38" i="33"/>
  <c r="E38" i="33"/>
  <c r="T37" i="33" a="1"/>
  <c r="T37" i="33" s="1"/>
  <c r="S37" i="33" a="1"/>
  <c r="S37" i="33" s="1"/>
  <c r="R37" i="33" a="1"/>
  <c r="R37" i="33" s="1"/>
  <c r="Q37" i="33" a="1"/>
  <c r="Q37" i="33" s="1"/>
  <c r="N37" i="33" a="1"/>
  <c r="N37" i="33" s="1"/>
  <c r="M37" i="33"/>
  <c r="E37" i="33"/>
  <c r="T36" i="33" a="1"/>
  <c r="T36" i="33" s="1"/>
  <c r="S36" i="33" a="1"/>
  <c r="S36" i="33" s="1"/>
  <c r="R36" i="33" a="1"/>
  <c r="R36" i="33" s="1"/>
  <c r="Q36" i="33" a="1"/>
  <c r="Q36" i="33" s="1"/>
  <c r="N36" i="33" a="1"/>
  <c r="N36" i="33" s="1"/>
  <c r="M36" i="33"/>
  <c r="E36" i="33"/>
  <c r="T35" i="33" a="1"/>
  <c r="T35" i="33" s="1"/>
  <c r="S35" i="33" a="1"/>
  <c r="S35" i="33" s="1"/>
  <c r="R35" i="33" a="1"/>
  <c r="R35" i="33" s="1"/>
  <c r="Q35" i="33" a="1"/>
  <c r="Q35" i="33" s="1"/>
  <c r="N35" i="33" a="1"/>
  <c r="N35" i="33" s="1"/>
  <c r="M35" i="33"/>
  <c r="E35" i="33"/>
  <c r="T34" i="33" a="1"/>
  <c r="T34" i="33" s="1"/>
  <c r="S34" i="33" a="1"/>
  <c r="S34" i="33" s="1"/>
  <c r="R34" i="33" a="1"/>
  <c r="R34" i="33" s="1"/>
  <c r="Q34" i="33" a="1"/>
  <c r="Q34" i="33" s="1"/>
  <c r="N34" i="33" a="1"/>
  <c r="N34" i="33" s="1"/>
  <c r="M34" i="33"/>
  <c r="E34" i="33"/>
  <c r="T33" i="33" a="1"/>
  <c r="T33" i="33" s="1"/>
  <c r="S33" i="33" a="1"/>
  <c r="S33" i="33" s="1"/>
  <c r="R33" i="33" a="1"/>
  <c r="R33" i="33" s="1"/>
  <c r="Q33" i="33" a="1"/>
  <c r="Q33" i="33" s="1"/>
  <c r="N33" i="33" a="1"/>
  <c r="N33" i="33" s="1"/>
  <c r="M33" i="33"/>
  <c r="E33" i="33"/>
  <c r="T32" i="33" a="1"/>
  <c r="T32" i="33" s="1"/>
  <c r="S32" i="33" a="1"/>
  <c r="S32" i="33" s="1"/>
  <c r="R32" i="33" a="1"/>
  <c r="R32" i="33" s="1"/>
  <c r="Q32" i="33" a="1"/>
  <c r="Q32" i="33" s="1"/>
  <c r="N32" i="33" a="1"/>
  <c r="N32" i="33" s="1"/>
  <c r="M32" i="33"/>
  <c r="E32" i="33"/>
  <c r="T31" i="33" a="1"/>
  <c r="T31" i="33" s="1"/>
  <c r="S31" i="33" a="1"/>
  <c r="S31" i="33" s="1"/>
  <c r="R31" i="33" a="1"/>
  <c r="R31" i="33" s="1"/>
  <c r="Q31" i="33" a="1"/>
  <c r="Q31" i="33" s="1"/>
  <c r="N31" i="33" a="1"/>
  <c r="N31" i="33" s="1"/>
  <c r="M31" i="33"/>
  <c r="E31" i="33"/>
  <c r="T30" i="33" a="1"/>
  <c r="T30" i="33" s="1"/>
  <c r="S30" i="33" a="1"/>
  <c r="S30" i="33" s="1"/>
  <c r="R30" i="33" a="1"/>
  <c r="R30" i="33" s="1"/>
  <c r="Q30" i="33" a="1"/>
  <c r="Q30" i="33" s="1"/>
  <c r="N30" i="33" a="1"/>
  <c r="N30" i="33" s="1"/>
  <c r="M30" i="33"/>
  <c r="E30" i="33"/>
  <c r="T29" i="33" a="1"/>
  <c r="T29" i="33" s="1"/>
  <c r="S29" i="33" a="1"/>
  <c r="S29" i="33" s="1"/>
  <c r="R29" i="33" a="1"/>
  <c r="R29" i="33" s="1"/>
  <c r="Q29" i="33" a="1"/>
  <c r="Q29" i="33" s="1"/>
  <c r="N29" i="33" a="1"/>
  <c r="N29" i="33" s="1"/>
  <c r="M29" i="33"/>
  <c r="E29" i="33"/>
  <c r="T28" i="33" a="1"/>
  <c r="T28" i="33" s="1"/>
  <c r="S28" i="33" a="1"/>
  <c r="S28" i="33" s="1"/>
  <c r="R28" i="33" a="1"/>
  <c r="R28" i="33" s="1"/>
  <c r="Q28" i="33" a="1"/>
  <c r="Q28" i="33" s="1"/>
  <c r="N28" i="33" a="1"/>
  <c r="N28" i="33" s="1"/>
  <c r="M28" i="33"/>
  <c r="E28" i="33"/>
  <c r="T27" i="33" a="1"/>
  <c r="T27" i="33" s="1"/>
  <c r="S27" i="33" a="1"/>
  <c r="S27" i="33" s="1"/>
  <c r="R27" i="33" a="1"/>
  <c r="R27" i="33" s="1"/>
  <c r="Q27" i="33" a="1"/>
  <c r="Q27" i="33" s="1"/>
  <c r="N27" i="33" a="1"/>
  <c r="N27" i="33" s="1"/>
  <c r="M27" i="33"/>
  <c r="E27" i="33"/>
  <c r="T26" i="33" a="1"/>
  <c r="T26" i="33" s="1"/>
  <c r="S26" i="33" a="1"/>
  <c r="S26" i="33" s="1"/>
  <c r="R26" i="33" a="1"/>
  <c r="R26" i="33" s="1"/>
  <c r="Q26" i="33" a="1"/>
  <c r="Q26" i="33" s="1"/>
  <c r="N26" i="33" a="1"/>
  <c r="N26" i="33" s="1"/>
  <c r="M26" i="33"/>
  <c r="E26" i="33"/>
  <c r="T25" i="33" a="1"/>
  <c r="T25" i="33" s="1"/>
  <c r="S25" i="33" a="1"/>
  <c r="S25" i="33" s="1"/>
  <c r="R25" i="33" a="1"/>
  <c r="R25" i="33" s="1"/>
  <c r="Q25" i="33" a="1"/>
  <c r="Q25" i="33" s="1"/>
  <c r="N25" i="33" a="1"/>
  <c r="N25" i="33" s="1"/>
  <c r="M25" i="33"/>
  <c r="E25" i="33"/>
  <c r="T24" i="33" a="1"/>
  <c r="T24" i="33" s="1"/>
  <c r="S24" i="33" a="1"/>
  <c r="S24" i="33" s="1"/>
  <c r="R24" i="33" a="1"/>
  <c r="R24" i="33" s="1"/>
  <c r="Q24" i="33" a="1"/>
  <c r="Q24" i="33" s="1"/>
  <c r="N24" i="33" a="1"/>
  <c r="N24" i="33" s="1"/>
  <c r="M24" i="33"/>
  <c r="E24" i="33"/>
  <c r="T23" i="33" a="1"/>
  <c r="T23" i="33" s="1"/>
  <c r="S23" i="33" a="1"/>
  <c r="S23" i="33" s="1"/>
  <c r="R23" i="33" a="1"/>
  <c r="R23" i="33" s="1"/>
  <c r="Q23" i="33" a="1"/>
  <c r="Q23" i="33" s="1"/>
  <c r="N23" i="33" a="1"/>
  <c r="N23" i="33" s="1"/>
  <c r="M23" i="33"/>
  <c r="E23" i="33"/>
  <c r="T22" i="33" a="1"/>
  <c r="T22" i="33" s="1"/>
  <c r="S22" i="33" a="1"/>
  <c r="S22" i="33" s="1"/>
  <c r="R22" i="33" a="1"/>
  <c r="R22" i="33" s="1"/>
  <c r="Q22" i="33" a="1"/>
  <c r="Q22" i="33" s="1"/>
  <c r="N22" i="33" a="1"/>
  <c r="N22" i="33" s="1"/>
  <c r="M22" i="33"/>
  <c r="E22" i="33"/>
  <c r="T21" i="33" a="1"/>
  <c r="T21" i="33" s="1"/>
  <c r="S21" i="33" a="1"/>
  <c r="S21" i="33" s="1"/>
  <c r="R21" i="33" a="1"/>
  <c r="R21" i="33" s="1"/>
  <c r="Q21" i="33" a="1"/>
  <c r="Q21" i="33" s="1"/>
  <c r="N21" i="33" a="1"/>
  <c r="N21" i="33" s="1"/>
  <c r="M21" i="33"/>
  <c r="E21" i="33"/>
  <c r="T20" i="33" a="1"/>
  <c r="T20" i="33" s="1"/>
  <c r="S20" i="33" a="1"/>
  <c r="S20" i="33" s="1"/>
  <c r="R20" i="33" a="1"/>
  <c r="R20" i="33" s="1"/>
  <c r="Q20" i="33" a="1"/>
  <c r="Q20" i="33" s="1"/>
  <c r="N20" i="33" a="1"/>
  <c r="N20" i="33" s="1"/>
  <c r="M20" i="33"/>
  <c r="E20" i="33"/>
  <c r="T19" i="33" a="1"/>
  <c r="T19" i="33" s="1"/>
  <c r="S19" i="33" a="1"/>
  <c r="S19" i="33" s="1"/>
  <c r="R19" i="33" a="1"/>
  <c r="R19" i="33" s="1"/>
  <c r="Q19" i="33" a="1"/>
  <c r="Q19" i="33" s="1"/>
  <c r="N19" i="33" a="1"/>
  <c r="N19" i="33" s="1"/>
  <c r="M19" i="33"/>
  <c r="J19" i="33"/>
  <c r="I19" i="33"/>
  <c r="F19" i="33"/>
  <c r="E19" i="33"/>
  <c r="T18" i="33" a="1"/>
  <c r="T18" i="33" s="1"/>
  <c r="S18" i="33" a="1"/>
  <c r="S18" i="33" s="1"/>
  <c r="R18" i="33" a="1"/>
  <c r="R18" i="33" s="1"/>
  <c r="Q18" i="33" a="1"/>
  <c r="Q18" i="33" s="1"/>
  <c r="N18" i="33" a="1"/>
  <c r="N18" i="33" s="1"/>
  <c r="M18" i="33"/>
  <c r="E18" i="33"/>
  <c r="T17" i="33" a="1"/>
  <c r="T17" i="33" s="1"/>
  <c r="S17" i="33" a="1"/>
  <c r="S17" i="33" s="1"/>
  <c r="R17" i="33" a="1"/>
  <c r="R17" i="33" s="1"/>
  <c r="Q17" i="33" a="1"/>
  <c r="Q17" i="33" s="1"/>
  <c r="N17" i="33" a="1"/>
  <c r="N17" i="33" s="1"/>
  <c r="M17" i="33"/>
  <c r="E17" i="33"/>
  <c r="T16" i="33" a="1"/>
  <c r="T16" i="33" s="1"/>
  <c r="S16" i="33" a="1"/>
  <c r="S16" i="33" s="1"/>
  <c r="R16" i="33" a="1"/>
  <c r="R16" i="33" s="1"/>
  <c r="Q16" i="33" a="1"/>
  <c r="Q16" i="33" s="1"/>
  <c r="N16" i="33" a="1"/>
  <c r="N16" i="33" s="1"/>
  <c r="M16" i="33"/>
  <c r="E16" i="33"/>
  <c r="T15" i="33" a="1"/>
  <c r="T15" i="33" s="1"/>
  <c r="S15" i="33" a="1"/>
  <c r="S15" i="33" s="1"/>
  <c r="R15" i="33" a="1"/>
  <c r="R15" i="33" s="1"/>
  <c r="Q15" i="33" a="1"/>
  <c r="Q15" i="33" s="1"/>
  <c r="N15" i="33" a="1"/>
  <c r="N15" i="33" s="1"/>
  <c r="M15" i="33"/>
  <c r="E15" i="33"/>
  <c r="T14" i="33" a="1"/>
  <c r="T14" i="33" s="1"/>
  <c r="S14" i="33" a="1"/>
  <c r="S14" i="33" s="1"/>
  <c r="R14" i="33" a="1"/>
  <c r="R14" i="33" s="1"/>
  <c r="Q14" i="33" a="1"/>
  <c r="Q14" i="33" s="1"/>
  <c r="N14" i="33" a="1"/>
  <c r="N14" i="33" s="1"/>
  <c r="M14" i="33"/>
  <c r="E14" i="33"/>
  <c r="T13" i="33" a="1"/>
  <c r="T13" i="33" s="1"/>
  <c r="S13" i="33" a="1"/>
  <c r="S13" i="33" s="1"/>
  <c r="R13" i="33" a="1"/>
  <c r="R13" i="33" s="1"/>
  <c r="Q13" i="33" a="1"/>
  <c r="Q13" i="33" s="1"/>
  <c r="N13" i="33" a="1"/>
  <c r="N13" i="33" s="1"/>
  <c r="M13" i="33"/>
  <c r="E13" i="33"/>
  <c r="T12" i="33" a="1"/>
  <c r="T12" i="33" s="1"/>
  <c r="S12" i="33" a="1"/>
  <c r="S12" i="33" s="1"/>
  <c r="R12" i="33" a="1"/>
  <c r="R12" i="33" s="1"/>
  <c r="Q12" i="33" a="1"/>
  <c r="Q12" i="33" s="1"/>
  <c r="N12" i="33" a="1"/>
  <c r="N12" i="33" s="1"/>
  <c r="M12" i="33"/>
  <c r="E12" i="33"/>
  <c r="T11" i="33" a="1"/>
  <c r="T11" i="33" s="1"/>
  <c r="S11" i="33" a="1"/>
  <c r="S11" i="33" s="1"/>
  <c r="R11" i="33" a="1"/>
  <c r="R11" i="33" s="1"/>
  <c r="Q11" i="33" a="1"/>
  <c r="Q11" i="33" s="1"/>
  <c r="N11" i="33" a="1"/>
  <c r="N11" i="33" s="1"/>
  <c r="M11" i="33"/>
  <c r="E11" i="33"/>
  <c r="T10" i="33" a="1"/>
  <c r="T10" i="33" s="1"/>
  <c r="S10" i="33" a="1"/>
  <c r="S10" i="33" s="1"/>
  <c r="R10" i="33" a="1"/>
  <c r="R10" i="33" s="1"/>
  <c r="Q10" i="33" a="1"/>
  <c r="Q10" i="33" s="1"/>
  <c r="N10" i="33" a="1"/>
  <c r="N10" i="33" s="1"/>
  <c r="M10" i="33"/>
  <c r="J10" i="33"/>
  <c r="I10" i="33"/>
  <c r="F10" i="33"/>
  <c r="E10" i="33"/>
  <c r="T9" i="33" a="1"/>
  <c r="T9" i="33" s="1"/>
  <c r="S9" i="33" a="1"/>
  <c r="S9" i="33" s="1"/>
  <c r="R9" i="33" a="1"/>
  <c r="R9" i="33" s="1"/>
  <c r="Q9" i="33" a="1"/>
  <c r="Q9" i="33" s="1"/>
  <c r="N9" i="33" a="1"/>
  <c r="N9" i="33" s="1"/>
  <c r="M9" i="33"/>
  <c r="E9" i="33"/>
  <c r="T8" i="33" a="1"/>
  <c r="T8" i="33" s="1"/>
  <c r="S8" i="33" a="1"/>
  <c r="S8" i="33" s="1"/>
  <c r="R8" i="33" a="1"/>
  <c r="R8" i="33" s="1"/>
  <c r="Q8" i="33" a="1"/>
  <c r="Q8" i="33" s="1"/>
  <c r="N8" i="33" a="1"/>
  <c r="N8" i="33" s="1"/>
  <c r="M8" i="33"/>
  <c r="E8" i="33"/>
  <c r="T7" i="33" a="1"/>
  <c r="T7" i="33" s="1"/>
  <c r="S7" i="33" a="1"/>
  <c r="S7" i="33" s="1"/>
  <c r="R7" i="33" a="1"/>
  <c r="R7" i="33" s="1"/>
  <c r="Q7" i="33" a="1"/>
  <c r="Q7" i="33" s="1"/>
  <c r="N7" i="33" a="1"/>
  <c r="N7" i="33" s="1"/>
  <c r="M7" i="33"/>
  <c r="T6" i="33" a="1"/>
  <c r="T6" i="33" s="1"/>
  <c r="S6" i="33" a="1"/>
  <c r="S6" i="33" s="1"/>
  <c r="R6" i="33" a="1"/>
  <c r="R6" i="33" s="1"/>
  <c r="Q6" i="33" a="1"/>
  <c r="Q6" i="33" s="1"/>
  <c r="N6" i="33" a="1"/>
  <c r="N6" i="33" s="1"/>
  <c r="M6" i="33"/>
  <c r="T5" i="33" a="1"/>
  <c r="T5" i="33" s="1"/>
  <c r="S5" i="33" a="1"/>
  <c r="S5" i="33" s="1"/>
  <c r="R5" i="33" a="1"/>
  <c r="R5" i="33" s="1"/>
  <c r="Q5" i="33" a="1"/>
  <c r="Q5" i="33" s="1"/>
  <c r="N5" i="33" a="1"/>
  <c r="N5" i="33" s="1"/>
  <c r="M5" i="33"/>
  <c r="E5" i="33"/>
  <c r="T4" i="33" a="1"/>
  <c r="T4" i="33" s="1"/>
  <c r="S4" i="33" a="1"/>
  <c r="S4" i="33" s="1"/>
  <c r="R4" i="33" a="1"/>
  <c r="R4" i="33" s="1"/>
  <c r="Q4" i="33" a="1"/>
  <c r="Q4" i="33" s="1"/>
  <c r="N4" i="33" a="1"/>
  <c r="N4" i="33" s="1"/>
  <c r="M4" i="33"/>
  <c r="E4" i="33"/>
  <c r="T3" i="33" a="1"/>
  <c r="T3" i="33" s="1"/>
  <c r="S3" i="33" a="1"/>
  <c r="S3" i="33" s="1"/>
  <c r="R3" i="33" a="1"/>
  <c r="R3" i="33" s="1"/>
  <c r="Q3" i="33" a="1"/>
  <c r="Q3" i="33" s="1"/>
  <c r="N3" i="33" a="1"/>
  <c r="N3" i="33" s="1"/>
  <c r="M3" i="33"/>
  <c r="I124" i="33"/>
  <c r="J124" i="33"/>
  <c r="J117" i="33"/>
  <c r="J153" i="33"/>
  <c r="I132" i="33"/>
  <c r="J132" i="33"/>
  <c r="M158" i="33" l="1"/>
  <c r="V13" i="5"/>
  <c r="V24" i="5"/>
  <c r="J152" i="33"/>
  <c r="J116" i="33"/>
  <c r="F132" i="33"/>
  <c r="F138" i="33"/>
  <c r="F124" i="33"/>
  <c r="I138" i="33"/>
  <c r="F28" i="33"/>
  <c r="I155" i="33"/>
  <c r="I152" i="33"/>
  <c r="J138" i="33"/>
  <c r="F116" i="33"/>
  <c r="J61" i="33"/>
  <c r="F87" i="33"/>
  <c r="I61" i="33"/>
  <c r="F24" i="33"/>
  <c r="J38" i="33"/>
  <c r="F118" i="33"/>
  <c r="F29" i="33"/>
  <c r="F71" i="33"/>
  <c r="F21" i="33"/>
  <c r="F54" i="33"/>
  <c r="F101" i="33"/>
  <c r="F31" i="33"/>
  <c r="F153" i="33"/>
  <c r="F57" i="33"/>
  <c r="L8" i="2"/>
  <c r="F137" i="33"/>
  <c r="F90" i="33"/>
  <c r="L16" i="2"/>
  <c r="F23" i="33"/>
  <c r="F64" i="33"/>
  <c r="F149" i="33"/>
  <c r="F44" i="33"/>
  <c r="F40" i="33"/>
  <c r="F43" i="33"/>
  <c r="L9" i="2"/>
  <c r="F115" i="33"/>
  <c r="F14" i="33"/>
  <c r="I37" i="33"/>
  <c r="I101" i="33"/>
  <c r="F155" i="33"/>
  <c r="F25" i="33"/>
  <c r="F73" i="33"/>
  <c r="F81" i="33"/>
  <c r="F83" i="33"/>
  <c r="L12" i="2"/>
  <c r="F99" i="33"/>
  <c r="L15" i="2"/>
  <c r="F141" i="33"/>
  <c r="L17" i="2"/>
  <c r="L14" i="2"/>
  <c r="F4" i="33"/>
  <c r="F22" i="33"/>
  <c r="F53" i="33"/>
  <c r="F122" i="33"/>
  <c r="F114" i="33"/>
  <c r="F134" i="33"/>
  <c r="F104" i="33"/>
  <c r="I71" i="33"/>
  <c r="F58" i="33"/>
  <c r="F38" i="33"/>
  <c r="F105" i="33"/>
  <c r="F70" i="33"/>
  <c r="F46" i="33"/>
  <c r="F102" i="33"/>
  <c r="F34" i="33"/>
  <c r="F128" i="33"/>
  <c r="F48" i="33"/>
  <c r="F56" i="33"/>
  <c r="F36" i="33"/>
  <c r="F95" i="33"/>
  <c r="F146" i="33"/>
  <c r="F108" i="33"/>
  <c r="F111" i="33"/>
  <c r="F129" i="33"/>
  <c r="F47" i="33"/>
  <c r="F109" i="33"/>
  <c r="F17" i="33"/>
  <c r="F107" i="33"/>
  <c r="F15" i="33"/>
  <c r="F8" i="33"/>
  <c r="L19" i="2"/>
  <c r="L6" i="2"/>
  <c r="J81" i="33"/>
  <c r="J72" i="33"/>
  <c r="F120" i="33"/>
  <c r="F27" i="33"/>
  <c r="L21" i="2"/>
  <c r="F93" i="33"/>
  <c r="F72" i="33"/>
  <c r="F37" i="33"/>
  <c r="F65" i="33"/>
  <c r="F121" i="33"/>
  <c r="F30" i="33"/>
  <c r="F125" i="33"/>
  <c r="F150" i="33"/>
  <c r="F151" i="33"/>
  <c r="F62" i="33"/>
  <c r="F33" i="33"/>
  <c r="F35" i="33"/>
  <c r="F140" i="33"/>
  <c r="F59" i="33"/>
  <c r="F9" i="33"/>
  <c r="F106" i="33"/>
  <c r="F123" i="33"/>
  <c r="F50" i="33"/>
  <c r="F6" i="33"/>
  <c r="F12" i="33"/>
  <c r="F61" i="33"/>
  <c r="F148" i="33"/>
  <c r="F86" i="33"/>
  <c r="F82" i="33"/>
  <c r="F45" i="33"/>
  <c r="F130" i="33"/>
  <c r="F41" i="33"/>
  <c r="F100" i="33"/>
  <c r="F152" i="33"/>
  <c r="F117" i="33"/>
  <c r="L10" i="2"/>
  <c r="F60" i="33"/>
  <c r="F126" i="33"/>
  <c r="F26" i="33"/>
  <c r="F144" i="33"/>
  <c r="F92" i="33"/>
  <c r="F39" i="33"/>
  <c r="F142" i="33"/>
  <c r="L13" i="2"/>
  <c r="F11" i="33"/>
  <c r="F16" i="33"/>
  <c r="F18" i="33"/>
  <c r="L20" i="2"/>
  <c r="I81" i="33"/>
  <c r="I72" i="33"/>
  <c r="F113" i="33"/>
  <c r="F135" i="33"/>
  <c r="L7" i="2"/>
  <c r="J93" i="33"/>
  <c r="J73" i="33"/>
  <c r="F20" i="33"/>
  <c r="F110" i="33"/>
  <c r="F67" i="33"/>
  <c r="F112" i="33"/>
  <c r="I93" i="33"/>
  <c r="J86" i="33"/>
  <c r="J87" i="33"/>
  <c r="J83" i="33"/>
  <c r="J82" i="33"/>
  <c r="I73" i="33"/>
  <c r="F119" i="33"/>
  <c r="F89" i="33"/>
  <c r="F68" i="33"/>
  <c r="F136" i="33"/>
  <c r="L18" i="2"/>
  <c r="I86" i="33"/>
  <c r="I87" i="33"/>
  <c r="I83" i="33"/>
  <c r="I82" i="33"/>
  <c r="J45" i="33"/>
  <c r="J54" i="33"/>
  <c r="L11" i="2"/>
  <c r="F97" i="33"/>
  <c r="F13" i="33"/>
  <c r="J155" i="33"/>
  <c r="J71" i="33"/>
  <c r="J37" i="33"/>
  <c r="I45" i="33"/>
  <c r="I105" i="33"/>
  <c r="J101" i="33"/>
  <c r="I30" i="33"/>
  <c r="I28" i="33"/>
  <c r="J125" i="33"/>
  <c r="I100" i="33"/>
  <c r="I31" i="33"/>
  <c r="I38" i="33"/>
  <c r="J65" i="33"/>
  <c r="I54" i="33"/>
  <c r="I65" i="33"/>
  <c r="J21" i="33"/>
  <c r="J157" i="33"/>
  <c r="J58" i="33"/>
  <c r="J70" i="33"/>
  <c r="I21" i="33"/>
  <c r="I157" i="33"/>
  <c r="J121" i="33"/>
  <c r="J148" i="33"/>
  <c r="J130" i="33"/>
  <c r="J41" i="33"/>
  <c r="I70" i="33"/>
  <c r="I121" i="33"/>
  <c r="J105" i="33"/>
  <c r="I148" i="33"/>
  <c r="J30" i="33"/>
  <c r="J28" i="33"/>
  <c r="I130" i="33"/>
  <c r="I41" i="33"/>
  <c r="J100" i="33"/>
  <c r="J99" i="33"/>
  <c r="J57" i="33"/>
  <c r="J62" i="33"/>
  <c r="I99" i="33"/>
  <c r="I57" i="33"/>
  <c r="I62" i="33"/>
  <c r="I125" i="33"/>
  <c r="I153" i="33"/>
  <c r="J120" i="33"/>
  <c r="J32" i="33"/>
  <c r="J128" i="33"/>
  <c r="J150" i="33"/>
  <c r="J151" i="33"/>
  <c r="I120" i="33"/>
  <c r="I141" i="33"/>
  <c r="J60" i="33"/>
  <c r="I58" i="33"/>
  <c r="J31" i="33"/>
  <c r="I150" i="33"/>
  <c r="I151" i="33"/>
  <c r="I102" i="33"/>
  <c r="J34" i="33"/>
  <c r="J137" i="33"/>
  <c r="I117" i="33"/>
  <c r="I116" i="33"/>
  <c r="I128" i="33"/>
  <c r="J126" i="33"/>
  <c r="I32" i="33"/>
  <c r="J139" i="33"/>
  <c r="J25" i="33"/>
  <c r="I34" i="33"/>
  <c r="I137" i="33"/>
  <c r="I126" i="33"/>
  <c r="J118" i="33"/>
  <c r="I139" i="33"/>
  <c r="I25" i="33"/>
  <c r="I118" i="33"/>
  <c r="J46" i="33"/>
  <c r="J90" i="33"/>
  <c r="J33" i="33"/>
  <c r="I46" i="33"/>
  <c r="J102" i="33"/>
  <c r="J141" i="33"/>
  <c r="I90" i="33"/>
  <c r="I33" i="33"/>
  <c r="I27" i="33"/>
  <c r="J23" i="33"/>
  <c r="J48" i="33"/>
  <c r="J144" i="33"/>
  <c r="J29" i="33"/>
  <c r="I48" i="33"/>
  <c r="I144" i="33"/>
  <c r="J26" i="33"/>
  <c r="I29" i="33"/>
  <c r="I56" i="33"/>
  <c r="I60" i="33"/>
  <c r="I26" i="33"/>
  <c r="J27" i="33"/>
  <c r="I92" i="33"/>
  <c r="I36" i="33"/>
  <c r="I35" i="33"/>
  <c r="J44" i="33"/>
  <c r="I44" i="33"/>
  <c r="J39" i="33"/>
  <c r="J40" i="33"/>
  <c r="I95" i="33"/>
  <c r="J24" i="33"/>
  <c r="J64" i="33"/>
  <c r="J149" i="33"/>
  <c r="I39" i="33"/>
  <c r="I40" i="33"/>
  <c r="I24" i="33"/>
  <c r="I64" i="33"/>
  <c r="I149" i="33"/>
  <c r="I4" i="33"/>
  <c r="I108" i="33"/>
  <c r="I22" i="33"/>
  <c r="I23" i="33"/>
  <c r="J56" i="33"/>
  <c r="J92" i="33"/>
  <c r="J36" i="33"/>
  <c r="J35" i="33"/>
  <c r="I43" i="33"/>
  <c r="J14" i="33"/>
  <c r="J146" i="33"/>
  <c r="I9" i="33"/>
  <c r="I146" i="33"/>
  <c r="J4" i="33"/>
  <c r="J108" i="33"/>
  <c r="J140" i="33"/>
  <c r="J142" i="33"/>
  <c r="J111" i="33"/>
  <c r="I140" i="33"/>
  <c r="I142" i="33"/>
  <c r="I111" i="33"/>
  <c r="J59" i="33"/>
  <c r="I53" i="33"/>
  <c r="I115" i="33"/>
  <c r="J95" i="33"/>
  <c r="I59" i="33"/>
  <c r="J22" i="33"/>
  <c r="J20" i="33"/>
  <c r="J123" i="33"/>
  <c r="J129" i="33"/>
  <c r="J47" i="33"/>
  <c r="J50" i="33"/>
  <c r="J109" i="33"/>
  <c r="J17" i="33"/>
  <c r="I123" i="33"/>
  <c r="I129" i="33"/>
  <c r="I47" i="33"/>
  <c r="I50" i="33"/>
  <c r="I109" i="33"/>
  <c r="I17" i="33"/>
  <c r="J122" i="33"/>
  <c r="J106" i="33"/>
  <c r="J134" i="33"/>
  <c r="I106" i="33"/>
  <c r="J114" i="33"/>
  <c r="I134" i="33"/>
  <c r="I6" i="33"/>
  <c r="J53" i="33"/>
  <c r="J9" i="33"/>
  <c r="J43" i="33"/>
  <c r="J115" i="33"/>
  <c r="I114" i="33"/>
  <c r="I15" i="33"/>
  <c r="I122" i="33"/>
  <c r="I14" i="33"/>
  <c r="I20" i="33"/>
  <c r="J11" i="33"/>
  <c r="J104" i="33"/>
  <c r="J107" i="33"/>
  <c r="I113" i="33"/>
  <c r="I104" i="33"/>
  <c r="I107" i="33"/>
  <c r="J6" i="33"/>
  <c r="J15" i="33"/>
  <c r="I12" i="33"/>
  <c r="I110" i="33"/>
  <c r="J110" i="33"/>
  <c r="J136" i="33"/>
  <c r="I135" i="33"/>
  <c r="J18" i="33"/>
  <c r="I11" i="33"/>
  <c r="I112" i="33"/>
  <c r="J97" i="33"/>
  <c r="J133" i="33"/>
  <c r="J67" i="33"/>
  <c r="J12" i="33"/>
  <c r="J113" i="33"/>
  <c r="I97" i="33"/>
  <c r="I88" i="33"/>
  <c r="J89" i="33"/>
  <c r="I119" i="33"/>
  <c r="I89" i="33"/>
  <c r="I68" i="33"/>
  <c r="I18" i="33"/>
  <c r="J5" i="33"/>
  <c r="I133" i="33"/>
  <c r="J135" i="33"/>
  <c r="J8" i="33"/>
  <c r="J13" i="33"/>
  <c r="I5" i="33"/>
  <c r="J119" i="33"/>
  <c r="J88" i="33"/>
  <c r="I136" i="33"/>
  <c r="J16" i="33"/>
  <c r="I3" i="33"/>
  <c r="I67" i="33"/>
  <c r="J68" i="33"/>
  <c r="J112" i="33"/>
  <c r="I8" i="33"/>
  <c r="I13" i="33"/>
  <c r="I16" i="33"/>
  <c r="L5" i="2" l="1"/>
  <c r="H23" i="2"/>
  <c r="K3" i="33"/>
  <c r="I158" i="33"/>
  <c r="J158" i="33"/>
  <c r="L31" i="5"/>
  <c r="I31" i="5"/>
  <c r="F32" i="33"/>
  <c r="F139" i="33"/>
  <c r="F5" i="33"/>
  <c r="F157" i="33"/>
  <c r="F88" i="33"/>
  <c r="F3" i="33"/>
  <c r="F133" i="33"/>
  <c r="G5" i="35" l="1"/>
  <c r="M5" i="35"/>
  <c r="L5" i="35"/>
  <c r="L3" i="35" l="1"/>
  <c r="L58" i="35" s="1"/>
  <c r="P3" i="35"/>
  <c r="M3" i="35"/>
  <c r="M58" i="35" s="1"/>
  <c r="G3" i="35"/>
  <c r="G58" i="35" s="1"/>
  <c r="Q158" i="33"/>
  <c r="P21" i="33"/>
  <c r="R158" i="33"/>
  <c r="P58" i="35" l="1"/>
  <c r="AD58" i="35" s="1"/>
  <c r="AD3" i="35"/>
  <c r="S158" i="33"/>
  <c r="T158" i="33"/>
  <c r="K81" i="33"/>
  <c r="K131" i="33"/>
  <c r="K78" i="33"/>
  <c r="K72" i="33"/>
  <c r="K10" i="33"/>
  <c r="K98" i="33"/>
  <c r="L127" i="33"/>
  <c r="H77" i="33"/>
  <c r="H74" i="33"/>
  <c r="L81" i="33"/>
  <c r="P47" i="33"/>
  <c r="K82" i="33"/>
  <c r="G127" i="33"/>
  <c r="K55" i="33"/>
  <c r="G87" i="33"/>
  <c r="K68" i="33"/>
  <c r="H86" i="33"/>
  <c r="L66" i="33"/>
  <c r="K19" i="33"/>
  <c r="H69" i="33"/>
  <c r="G68" i="33"/>
  <c r="K80" i="33"/>
  <c r="K49" i="33"/>
  <c r="G82" i="33"/>
  <c r="G80" i="33"/>
  <c r="K77" i="33"/>
  <c r="K71" i="33"/>
  <c r="L55" i="33"/>
  <c r="K5" i="33"/>
  <c r="G96" i="33"/>
  <c r="G73" i="33"/>
  <c r="H156" i="33"/>
  <c r="G147" i="33"/>
  <c r="H98" i="33"/>
  <c r="H42" i="33"/>
  <c r="G75" i="33"/>
  <c r="H72" i="33"/>
  <c r="G5" i="33"/>
  <c r="K143" i="33"/>
  <c r="K42" i="33"/>
  <c r="K85" i="33"/>
  <c r="K79" i="33"/>
  <c r="L73" i="33"/>
  <c r="K66" i="33"/>
  <c r="L19" i="33"/>
  <c r="L86" i="33"/>
  <c r="L49" i="33"/>
  <c r="G131" i="33"/>
  <c r="G51" i="33"/>
  <c r="G81" i="33"/>
  <c r="G77" i="33"/>
  <c r="G69" i="33"/>
  <c r="H154" i="33"/>
  <c r="G93" i="33"/>
  <c r="G85" i="33"/>
  <c r="L78" i="33"/>
  <c r="G76" i="33"/>
  <c r="K154" i="33"/>
  <c r="K94" i="33"/>
  <c r="K76" i="33"/>
  <c r="K52" i="33"/>
  <c r="N158" i="33"/>
  <c r="K73" i="33"/>
  <c r="G52" i="33"/>
  <c r="K147" i="33"/>
  <c r="H80" i="33"/>
  <c r="K91" i="33"/>
  <c r="K67" i="33"/>
  <c r="E158" i="33"/>
  <c r="H131" i="33"/>
  <c r="H81" i="33"/>
  <c r="H147" i="33"/>
  <c r="H145" i="33"/>
  <c r="H91" i="33"/>
  <c r="H82" i="33"/>
  <c r="K69" i="33"/>
  <c r="L69" i="33"/>
  <c r="G98" i="33"/>
  <c r="H68" i="33"/>
  <c r="H94" i="33"/>
  <c r="H67" i="33"/>
  <c r="G49" i="33"/>
  <c r="H84" i="33"/>
  <c r="G71" i="33"/>
  <c r="G63" i="33"/>
  <c r="K96" i="33"/>
  <c r="K83" i="33"/>
  <c r="L71" i="33"/>
  <c r="P139" i="33"/>
  <c r="P94" i="33"/>
  <c r="U77" i="33"/>
  <c r="U71" i="33"/>
  <c r="H79" i="33"/>
  <c r="H73" i="33"/>
  <c r="G10" i="33"/>
  <c r="K127" i="33"/>
  <c r="L103" i="33"/>
  <c r="L76" i="33"/>
  <c r="L52" i="33"/>
  <c r="O156" i="33"/>
  <c r="O144" i="33"/>
  <c r="L145" i="33"/>
  <c r="K75" i="33"/>
  <c r="K63" i="33"/>
  <c r="K51" i="33"/>
  <c r="P155" i="33"/>
  <c r="O143" i="33"/>
  <c r="P98" i="33"/>
  <c r="O43" i="33"/>
  <c r="P15" i="33"/>
  <c r="P9" i="33"/>
  <c r="U53" i="33"/>
  <c r="U27" i="33"/>
  <c r="U21" i="33"/>
  <c r="U9" i="33"/>
  <c r="G55" i="33"/>
  <c r="H5" i="33"/>
  <c r="K86" i="33"/>
  <c r="K74" i="33"/>
  <c r="P59" i="33"/>
  <c r="U47" i="33"/>
  <c r="V47" i="33"/>
  <c r="P101" i="33"/>
  <c r="P89" i="33"/>
  <c r="P103" i="33"/>
  <c r="P37" i="33"/>
  <c r="U153" i="33"/>
  <c r="U141" i="33"/>
  <c r="U41" i="33"/>
  <c r="U134" i="33"/>
  <c r="U122" i="33"/>
  <c r="U83" i="33"/>
  <c r="U72" i="33"/>
  <c r="U52" i="33"/>
  <c r="U17" i="33"/>
  <c r="U7" i="33"/>
  <c r="L77" i="33"/>
  <c r="L147" i="33"/>
  <c r="G145" i="33"/>
  <c r="G91" i="33"/>
  <c r="H85" i="33"/>
  <c r="G79" i="33"/>
  <c r="G67" i="33"/>
  <c r="H55" i="33"/>
  <c r="H49" i="33"/>
  <c r="O145" i="33"/>
  <c r="P88" i="33"/>
  <c r="P31" i="33"/>
  <c r="P87" i="33"/>
  <c r="P63" i="33"/>
  <c r="U152" i="33"/>
  <c r="U140" i="33"/>
  <c r="U95" i="33"/>
  <c r="U40" i="33"/>
  <c r="U133" i="33"/>
  <c r="U121" i="33"/>
  <c r="U61" i="33"/>
  <c r="U51" i="33"/>
  <c r="U16" i="33"/>
  <c r="U6" i="33"/>
  <c r="P74" i="33"/>
  <c r="P62" i="33"/>
  <c r="P17" i="33"/>
  <c r="U151" i="33"/>
  <c r="U139" i="33"/>
  <c r="U94" i="33"/>
  <c r="U39" i="33"/>
  <c r="U132" i="33"/>
  <c r="U120" i="33"/>
  <c r="U108" i="33"/>
  <c r="U81" i="33"/>
  <c r="U60" i="33"/>
  <c r="U50" i="33"/>
  <c r="U26" i="33"/>
  <c r="U15" i="33"/>
  <c r="U5" i="33"/>
  <c r="G154" i="33"/>
  <c r="K103" i="33"/>
  <c r="G72" i="33"/>
  <c r="H19" i="33"/>
  <c r="O29" i="33"/>
  <c r="O124" i="33"/>
  <c r="O112" i="33"/>
  <c r="O85" i="33"/>
  <c r="O73" i="33"/>
  <c r="P61" i="33"/>
  <c r="P51" i="33"/>
  <c r="P16" i="33"/>
  <c r="U150" i="33"/>
  <c r="U138" i="33"/>
  <c r="U93" i="33"/>
  <c r="U36" i="33"/>
  <c r="U131" i="33"/>
  <c r="U119" i="33"/>
  <c r="U107" i="33"/>
  <c r="U80" i="33"/>
  <c r="U70" i="33"/>
  <c r="U59" i="33"/>
  <c r="U49" i="33"/>
  <c r="U25" i="33"/>
  <c r="U4" i="33"/>
  <c r="G84" i="33"/>
  <c r="L5" i="33"/>
  <c r="P50" i="33"/>
  <c r="O26" i="33"/>
  <c r="P5" i="33"/>
  <c r="U79" i="33"/>
  <c r="U69" i="33"/>
  <c r="U48" i="33"/>
  <c r="U14" i="33"/>
  <c r="G143" i="33"/>
  <c r="H93" i="33"/>
  <c r="G78" i="33"/>
  <c r="H75" i="33"/>
  <c r="G66" i="33"/>
  <c r="H51" i="33"/>
  <c r="P41" i="33"/>
  <c r="P134" i="33"/>
  <c r="P122" i="33"/>
  <c r="P110" i="33"/>
  <c r="P83" i="33"/>
  <c r="P71" i="33"/>
  <c r="P49" i="33"/>
  <c r="U148" i="33"/>
  <c r="U91" i="33"/>
  <c r="U34" i="33"/>
  <c r="U129" i="33"/>
  <c r="U117" i="33"/>
  <c r="U105" i="33"/>
  <c r="U78" i="33"/>
  <c r="U68" i="33"/>
  <c r="U58" i="33"/>
  <c r="U13" i="33"/>
  <c r="G94" i="33"/>
  <c r="P95" i="33"/>
  <c r="P40" i="33"/>
  <c r="P133" i="33"/>
  <c r="P121" i="33"/>
  <c r="P48" i="33"/>
  <c r="P24" i="33"/>
  <c r="O14" i="33"/>
  <c r="U147" i="33"/>
  <c r="U102" i="33"/>
  <c r="U90" i="33"/>
  <c r="U33" i="33"/>
  <c r="U128" i="33"/>
  <c r="U116" i="33"/>
  <c r="U104" i="33"/>
  <c r="U57" i="33"/>
  <c r="U22" i="33"/>
  <c r="U12" i="33"/>
  <c r="P132" i="33"/>
  <c r="P120" i="33"/>
  <c r="P108" i="33"/>
  <c r="P81" i="33"/>
  <c r="P23" i="33"/>
  <c r="U146" i="33"/>
  <c r="U89" i="33"/>
  <c r="U32" i="33"/>
  <c r="U127" i="33"/>
  <c r="U115" i="33"/>
  <c r="U103" i="33"/>
  <c r="U66" i="33"/>
  <c r="U56" i="33"/>
  <c r="U46" i="33"/>
  <c r="U11" i="33"/>
  <c r="P36" i="33"/>
  <c r="P131" i="33"/>
  <c r="O107" i="33"/>
  <c r="U157" i="33"/>
  <c r="U145" i="33"/>
  <c r="U100" i="33"/>
  <c r="U88" i="33"/>
  <c r="U31" i="33"/>
  <c r="U126" i="33"/>
  <c r="U114" i="33"/>
  <c r="U87" i="33"/>
  <c r="U76" i="33"/>
  <c r="U65" i="33"/>
  <c r="U55" i="33"/>
  <c r="U45" i="33"/>
  <c r="U10" i="33"/>
  <c r="H96" i="33"/>
  <c r="G42" i="33"/>
  <c r="G74" i="33"/>
  <c r="P137" i="33"/>
  <c r="U156" i="33"/>
  <c r="U113" i="33"/>
  <c r="U75" i="33"/>
  <c r="U54" i="33"/>
  <c r="U38" i="33"/>
  <c r="U20" i="33"/>
  <c r="G156" i="33"/>
  <c r="L79" i="33"/>
  <c r="L67" i="33"/>
  <c r="K93" i="33"/>
  <c r="P148" i="33"/>
  <c r="U143" i="33"/>
  <c r="U98" i="33"/>
  <c r="U43" i="33"/>
  <c r="U29" i="33"/>
  <c r="U124" i="33"/>
  <c r="U112" i="33"/>
  <c r="U85" i="33"/>
  <c r="U64" i="33"/>
  <c r="U37" i="33"/>
  <c r="U19" i="33"/>
  <c r="K145" i="33"/>
  <c r="G86" i="33"/>
  <c r="U154" i="33"/>
  <c r="U142" i="33"/>
  <c r="U42" i="33"/>
  <c r="U135" i="33"/>
  <c r="U123" i="33"/>
  <c r="U111" i="33"/>
  <c r="U84" i="33"/>
  <c r="U73" i="33"/>
  <c r="U63" i="33"/>
  <c r="U28" i="33"/>
  <c r="U18" i="33"/>
  <c r="U8" i="33"/>
  <c r="V149" i="33"/>
  <c r="U149" i="33"/>
  <c r="V137" i="33"/>
  <c r="U137" i="33"/>
  <c r="U92" i="33"/>
  <c r="V92" i="33"/>
  <c r="U35" i="33"/>
  <c r="V35" i="33"/>
  <c r="V130" i="33"/>
  <c r="U130" i="33"/>
  <c r="V118" i="33"/>
  <c r="U118" i="33"/>
  <c r="V106" i="33"/>
  <c r="U106" i="33"/>
  <c r="U24" i="33"/>
  <c r="V24" i="33"/>
  <c r="V136" i="33"/>
  <c r="U136" i="33"/>
  <c r="U23" i="33"/>
  <c r="V23" i="33"/>
  <c r="V101" i="33"/>
  <c r="U101" i="33"/>
  <c r="U144" i="33"/>
  <c r="V144" i="33"/>
  <c r="V99" i="33"/>
  <c r="U99" i="33"/>
  <c r="U44" i="33"/>
  <c r="V44" i="33"/>
  <c r="U30" i="33"/>
  <c r="V30" i="33"/>
  <c r="U125" i="33"/>
  <c r="V125" i="33"/>
  <c r="V86" i="33"/>
  <c r="U86" i="33"/>
  <c r="U155" i="33"/>
  <c r="V155" i="33"/>
  <c r="U74" i="33"/>
  <c r="V74" i="33"/>
  <c r="U67" i="33"/>
  <c r="V67" i="33"/>
  <c r="V97" i="33"/>
  <c r="U97" i="33"/>
  <c r="V96" i="33"/>
  <c r="U96" i="33"/>
  <c r="U110" i="33"/>
  <c r="V110" i="33"/>
  <c r="U62" i="33"/>
  <c r="V62" i="33"/>
  <c r="U109" i="33"/>
  <c r="V109" i="33"/>
  <c r="U82" i="33"/>
  <c r="V82" i="33"/>
  <c r="V21" i="33"/>
  <c r="V89" i="33"/>
  <c r="V157" i="33"/>
  <c r="V88" i="33"/>
  <c r="V31" i="33"/>
  <c r="V126" i="33"/>
  <c r="V114" i="33"/>
  <c r="V87" i="33"/>
  <c r="V75" i="33"/>
  <c r="V63" i="33"/>
  <c r="V51" i="33"/>
  <c r="V25" i="33"/>
  <c r="V50" i="33"/>
  <c r="V29" i="33"/>
  <c r="V124" i="33"/>
  <c r="V112" i="33"/>
  <c r="V85" i="33"/>
  <c r="V73" i="33"/>
  <c r="V61" i="33"/>
  <c r="V49" i="33"/>
  <c r="V42" i="33"/>
  <c r="V135" i="33"/>
  <c r="V123" i="33"/>
  <c r="V10" i="33"/>
  <c r="V141" i="33"/>
  <c r="V41" i="33"/>
  <c r="V134" i="33"/>
  <c r="V122" i="33"/>
  <c r="V83" i="33"/>
  <c r="V71" i="33"/>
  <c r="V59" i="33"/>
  <c r="V9" i="33"/>
  <c r="V152" i="33"/>
  <c r="V140" i="33"/>
  <c r="V70" i="33"/>
  <c r="V58" i="33"/>
  <c r="V139" i="33"/>
  <c r="V120" i="33"/>
  <c r="V81" i="33"/>
  <c r="V69" i="33"/>
  <c r="V57" i="33"/>
  <c r="V45" i="33"/>
  <c r="V19" i="33"/>
  <c r="V7" i="33"/>
  <c r="V55" i="33"/>
  <c r="V37" i="33"/>
  <c r="V5" i="33"/>
  <c r="V34" i="33"/>
  <c r="V54" i="33"/>
  <c r="V142" i="33"/>
  <c r="V91" i="33"/>
  <c r="O140" i="33"/>
  <c r="P140" i="33"/>
  <c r="O109" i="33"/>
  <c r="P109" i="33"/>
  <c r="P82" i="33"/>
  <c r="O82" i="33"/>
  <c r="O151" i="33"/>
  <c r="P151" i="33"/>
  <c r="O39" i="33"/>
  <c r="P39" i="33"/>
  <c r="O69" i="33"/>
  <c r="P69" i="33"/>
  <c r="P58" i="33"/>
  <c r="O58" i="33"/>
  <c r="O57" i="33"/>
  <c r="P57" i="33"/>
  <c r="O92" i="33"/>
  <c r="P92" i="33"/>
  <c r="O35" i="33"/>
  <c r="P35" i="33"/>
  <c r="O130" i="33"/>
  <c r="P130" i="33"/>
  <c r="O118" i="33"/>
  <c r="P118" i="33"/>
  <c r="P46" i="33"/>
  <c r="O46" i="33"/>
  <c r="O11" i="33"/>
  <c r="P11" i="33"/>
  <c r="O105" i="33"/>
  <c r="P105" i="33"/>
  <c r="O45" i="33"/>
  <c r="P45" i="33"/>
  <c r="O10" i="33"/>
  <c r="P10" i="33"/>
  <c r="O32" i="33"/>
  <c r="P32" i="33"/>
  <c r="O127" i="33"/>
  <c r="P127" i="33"/>
  <c r="O115" i="33"/>
  <c r="P115" i="33"/>
  <c r="O76" i="33"/>
  <c r="P76" i="33"/>
  <c r="O64" i="33"/>
  <c r="P64" i="33"/>
  <c r="O19" i="33"/>
  <c r="P19" i="33"/>
  <c r="O157" i="33"/>
  <c r="P157" i="33"/>
  <c r="O100" i="33"/>
  <c r="P100" i="33"/>
  <c r="O126" i="33"/>
  <c r="P126" i="33"/>
  <c r="O114" i="33"/>
  <c r="P114" i="33"/>
  <c r="O75" i="33"/>
  <c r="P75" i="33"/>
  <c r="P99" i="33"/>
  <c r="O99" i="33"/>
  <c r="O44" i="33"/>
  <c r="P44" i="33"/>
  <c r="O30" i="33"/>
  <c r="P30" i="33"/>
  <c r="O125" i="33"/>
  <c r="P125" i="33"/>
  <c r="O113" i="33"/>
  <c r="P113" i="33"/>
  <c r="O52" i="33"/>
  <c r="P52" i="33"/>
  <c r="O7" i="33"/>
  <c r="P7" i="33"/>
  <c r="O6" i="33"/>
  <c r="P6" i="33"/>
  <c r="O135" i="33"/>
  <c r="P135" i="33"/>
  <c r="O123" i="33"/>
  <c r="P123" i="33"/>
  <c r="O111" i="33"/>
  <c r="P111" i="33"/>
  <c r="O60" i="33"/>
  <c r="P60" i="33"/>
  <c r="O96" i="33"/>
  <c r="P96" i="33"/>
  <c r="O25" i="33"/>
  <c r="P25" i="33"/>
  <c r="O4" i="33"/>
  <c r="P4" i="33"/>
  <c r="O138" i="33"/>
  <c r="O56" i="33"/>
  <c r="O38" i="33"/>
  <c r="O104" i="33"/>
  <c r="O77" i="33"/>
  <c r="O65" i="33"/>
  <c r="V154" i="33"/>
  <c r="P150" i="33"/>
  <c r="V104" i="33"/>
  <c r="V128" i="33"/>
  <c r="V80" i="33"/>
  <c r="P90" i="33"/>
  <c r="P65" i="33"/>
  <c r="V156" i="33"/>
  <c r="V131" i="33"/>
  <c r="O116" i="33"/>
  <c r="P77" i="33"/>
  <c r="P154" i="33"/>
  <c r="P68" i="33"/>
  <c r="P38" i="33"/>
  <c r="V148" i="33"/>
  <c r="V33" i="33"/>
  <c r="P128" i="33"/>
  <c r="P80" i="33"/>
  <c r="P56" i="33"/>
  <c r="V15" i="33"/>
  <c r="P156" i="33"/>
  <c r="P119" i="33"/>
  <c r="V107" i="33"/>
  <c r="O53" i="33"/>
  <c r="V150" i="33"/>
  <c r="V90" i="33"/>
  <c r="P33" i="33"/>
  <c r="P146" i="33"/>
  <c r="P104" i="33"/>
  <c r="L96" i="33"/>
  <c r="K156" i="33"/>
  <c r="L156" i="33"/>
  <c r="L10" i="33"/>
  <c r="L42" i="33"/>
  <c r="L85" i="33"/>
  <c r="L84" i="33"/>
  <c r="L154" i="33"/>
  <c r="L143" i="33"/>
  <c r="L98" i="33"/>
  <c r="L72" i="33"/>
  <c r="L94" i="33"/>
  <c r="L74" i="33"/>
  <c r="P153" i="33"/>
  <c r="O153" i="33"/>
  <c r="O152" i="33"/>
  <c r="P152" i="33"/>
  <c r="P147" i="33"/>
  <c r="O147" i="33"/>
  <c r="V143" i="33"/>
  <c r="O141" i="33"/>
  <c r="P141" i="33"/>
  <c r="O150" i="33"/>
  <c r="V138" i="33"/>
  <c r="O149" i="33"/>
  <c r="P149" i="33"/>
  <c r="V151" i="33"/>
  <c r="V146" i="33"/>
  <c r="O142" i="33"/>
  <c r="P142" i="33"/>
  <c r="P145" i="33"/>
  <c r="V93" i="33"/>
  <c r="O42" i="33"/>
  <c r="P42" i="33"/>
  <c r="V119" i="33"/>
  <c r="V117" i="33"/>
  <c r="H143" i="33"/>
  <c r="V36" i="33"/>
  <c r="V84" i="33"/>
  <c r="V43" i="33"/>
  <c r="P143" i="33"/>
  <c r="P138" i="33"/>
  <c r="O94" i="33"/>
  <c r="O31" i="33"/>
  <c r="O132" i="33"/>
  <c r="V111" i="33"/>
  <c r="O154" i="33"/>
  <c r="V153" i="33"/>
  <c r="V102" i="33"/>
  <c r="O88" i="33"/>
  <c r="O117" i="33"/>
  <c r="P117" i="33"/>
  <c r="O155" i="33"/>
  <c r="O98" i="33"/>
  <c r="O93" i="33"/>
  <c r="P93" i="33"/>
  <c r="O119" i="33"/>
  <c r="V115" i="33"/>
  <c r="V113" i="33"/>
  <c r="O146" i="33"/>
  <c r="V145" i="33"/>
  <c r="P144" i="33"/>
  <c r="O137" i="33"/>
  <c r="V127" i="33"/>
  <c r="O148" i="33"/>
  <c r="V147" i="33"/>
  <c r="O136" i="33"/>
  <c r="P136" i="33"/>
  <c r="O36" i="33"/>
  <c r="O131" i="33"/>
  <c r="O129" i="33"/>
  <c r="P129" i="33"/>
  <c r="P102" i="33"/>
  <c r="V100" i="33"/>
  <c r="O34" i="33"/>
  <c r="P34" i="33"/>
  <c r="V32" i="33"/>
  <c r="O102" i="33"/>
  <c r="O97" i="33"/>
  <c r="P97" i="33"/>
  <c r="O91" i="33"/>
  <c r="P91" i="33"/>
  <c r="O139" i="33"/>
  <c r="V98" i="33"/>
  <c r="O120" i="33"/>
  <c r="H87" i="33"/>
  <c r="P66" i="33"/>
  <c r="O66" i="33"/>
  <c r="O27" i="33"/>
  <c r="P27" i="33"/>
  <c r="O8" i="33"/>
  <c r="P8" i="33"/>
  <c r="V6" i="33"/>
  <c r="O95" i="33"/>
  <c r="V94" i="33"/>
  <c r="L91" i="33"/>
  <c r="O40" i="33"/>
  <c r="V39" i="33"/>
  <c r="O133" i="33"/>
  <c r="V132" i="33"/>
  <c r="O121" i="33"/>
  <c r="P78" i="33"/>
  <c r="O78" i="33"/>
  <c r="O68" i="33"/>
  <c r="V95" i="33"/>
  <c r="O41" i="33"/>
  <c r="V40" i="33"/>
  <c r="O134" i="33"/>
  <c r="V133" i="33"/>
  <c r="O122" i="33"/>
  <c r="V121" i="33"/>
  <c r="O110" i="33"/>
  <c r="O80" i="33"/>
  <c r="V64" i="33"/>
  <c r="P54" i="33"/>
  <c r="O54" i="33"/>
  <c r="V52" i="33"/>
  <c r="V11" i="33"/>
  <c r="V4" i="33"/>
  <c r="L93" i="33"/>
  <c r="P43" i="33"/>
  <c r="P29" i="33"/>
  <c r="L131" i="33"/>
  <c r="H127" i="33"/>
  <c r="P124" i="33"/>
  <c r="P112" i="33"/>
  <c r="P107" i="33"/>
  <c r="O84" i="33"/>
  <c r="P84" i="33"/>
  <c r="O48" i="33"/>
  <c r="O16" i="33"/>
  <c r="V14" i="33"/>
  <c r="V13" i="33"/>
  <c r="V12" i="33"/>
  <c r="O79" i="33"/>
  <c r="P79" i="33"/>
  <c r="V76" i="33"/>
  <c r="O72" i="33"/>
  <c r="P72" i="33"/>
  <c r="V38" i="33"/>
  <c r="V20" i="33"/>
  <c r="K84" i="33"/>
  <c r="O70" i="33"/>
  <c r="P70" i="33"/>
  <c r="O103" i="33"/>
  <c r="V28" i="33"/>
  <c r="V18" i="33"/>
  <c r="O12" i="33"/>
  <c r="P12" i="33"/>
  <c r="O101" i="33"/>
  <c r="O89" i="33"/>
  <c r="P116" i="33"/>
  <c r="P86" i="33"/>
  <c r="O22" i="33"/>
  <c r="P22" i="33"/>
  <c r="O15" i="33"/>
  <c r="O13" i="33"/>
  <c r="P13" i="33"/>
  <c r="O90" i="33"/>
  <c r="O33" i="33"/>
  <c r="O128" i="33"/>
  <c r="V105" i="33"/>
  <c r="O86" i="33"/>
  <c r="L83" i="33"/>
  <c r="V68" i="33"/>
  <c r="V56" i="33"/>
  <c r="O20" i="33"/>
  <c r="P20" i="33"/>
  <c r="V8" i="33"/>
  <c r="V116" i="33"/>
  <c r="V108" i="33"/>
  <c r="G103" i="33"/>
  <c r="H103" i="33"/>
  <c r="O87" i="33"/>
  <c r="V66" i="33"/>
  <c r="P28" i="33"/>
  <c r="O28" i="33"/>
  <c r="V26" i="33"/>
  <c r="V129" i="33"/>
  <c r="O108" i="33"/>
  <c r="P106" i="33"/>
  <c r="V103" i="33"/>
  <c r="V79" i="33"/>
  <c r="V78" i="33"/>
  <c r="O63" i="33"/>
  <c r="V46" i="33"/>
  <c r="O18" i="33"/>
  <c r="P18" i="33"/>
  <c r="O106" i="33"/>
  <c r="K87" i="33"/>
  <c r="L87" i="33"/>
  <c r="G83" i="33"/>
  <c r="H83" i="33"/>
  <c r="V48" i="33"/>
  <c r="V16" i="33"/>
  <c r="V77" i="33"/>
  <c r="P67" i="33"/>
  <c r="V65" i="33"/>
  <c r="P55" i="33"/>
  <c r="V53" i="33"/>
  <c r="V27" i="33"/>
  <c r="G19" i="33"/>
  <c r="L75" i="33"/>
  <c r="H71" i="33"/>
  <c r="O67" i="33"/>
  <c r="L63" i="33"/>
  <c r="O55" i="33"/>
  <c r="L51" i="33"/>
  <c r="O37" i="33"/>
  <c r="O17" i="33"/>
  <c r="O5" i="33"/>
  <c r="V17" i="33"/>
  <c r="H10" i="33"/>
  <c r="O81" i="33"/>
  <c r="O83" i="33"/>
  <c r="O71" i="33"/>
  <c r="H63" i="33"/>
  <c r="O59" i="33"/>
  <c r="O47" i="33"/>
  <c r="O21" i="33"/>
  <c r="O9" i="33"/>
  <c r="P85" i="33"/>
  <c r="L80" i="33"/>
  <c r="H76" i="33"/>
  <c r="P73" i="33"/>
  <c r="L68" i="33"/>
  <c r="H52" i="33"/>
  <c r="V72" i="33"/>
  <c r="O61" i="33"/>
  <c r="V60" i="33"/>
  <c r="O49" i="33"/>
  <c r="O23" i="33"/>
  <c r="V22" i="33"/>
  <c r="L82" i="33"/>
  <c r="H78" i="33"/>
  <c r="O74" i="33"/>
  <c r="H66" i="33"/>
  <c r="O62" i="33"/>
  <c r="O50" i="33"/>
  <c r="O24" i="33"/>
  <c r="O51" i="33"/>
  <c r="P26" i="33"/>
  <c r="P14" i="33"/>
  <c r="P53" i="33"/>
  <c r="V3" i="33" l="1"/>
  <c r="U3" i="33"/>
  <c r="U158" i="33" s="1"/>
  <c r="O3" i="33"/>
  <c r="O158" i="33" s="1"/>
  <c r="P3" i="33"/>
  <c r="G146" i="33" l="1"/>
  <c r="H128" i="33"/>
  <c r="G70" i="33"/>
  <c r="L23" i="33"/>
  <c r="L92" i="33"/>
  <c r="L123" i="33"/>
  <c r="L12" i="33"/>
  <c r="L150" i="33"/>
  <c r="L152" i="33"/>
  <c r="G117" i="33"/>
  <c r="H70" i="33"/>
  <c r="G37" i="33"/>
  <c r="H37" i="33"/>
  <c r="K153" i="33"/>
  <c r="L153" i="33"/>
  <c r="K23" i="33"/>
  <c r="K123" i="33"/>
  <c r="K12" i="33"/>
  <c r="K150" i="33"/>
  <c r="K152" i="33"/>
  <c r="K65" i="33"/>
  <c r="H124" i="33"/>
  <c r="G124" i="33"/>
  <c r="H117" i="33"/>
  <c r="K92" i="33"/>
  <c r="P158" i="33"/>
  <c r="V158" i="33"/>
  <c r="K100" i="33" l="1"/>
  <c r="K37" i="33"/>
  <c r="K32" i="33"/>
  <c r="K136" i="33"/>
  <c r="K34" i="33"/>
  <c r="K9" i="33"/>
  <c r="K56" i="33"/>
  <c r="K133" i="33"/>
  <c r="G128" i="33"/>
  <c r="K139" i="33"/>
  <c r="K97" i="33"/>
  <c r="K137" i="33"/>
  <c r="K117" i="33"/>
  <c r="K140" i="33"/>
  <c r="K90" i="33"/>
  <c r="L117" i="33"/>
  <c r="K149" i="33"/>
  <c r="K6" i="33"/>
  <c r="K18" i="33"/>
  <c r="K128" i="33"/>
  <c r="K46" i="33"/>
  <c r="L140" i="33"/>
  <c r="K57" i="33"/>
  <c r="K107" i="33"/>
  <c r="K39" i="33"/>
  <c r="K33" i="33"/>
  <c r="K115" i="33"/>
  <c r="K146" i="33"/>
  <c r="H146" i="33"/>
  <c r="K25" i="33"/>
  <c r="K101" i="33"/>
  <c r="K155" i="33"/>
  <c r="K118" i="33"/>
  <c r="K44" i="33"/>
  <c r="K148" i="33"/>
  <c r="K64" i="33"/>
  <c r="K24" i="33"/>
  <c r="K130" i="33"/>
  <c r="K58" i="33"/>
  <c r="K110" i="33"/>
  <c r="K113" i="33"/>
  <c r="K45" i="33"/>
  <c r="K99" i="33"/>
  <c r="K108" i="33"/>
  <c r="K70" i="33"/>
  <c r="K30" i="33"/>
  <c r="K125" i="33"/>
  <c r="K138" i="33"/>
  <c r="K26" i="33"/>
  <c r="K20" i="33"/>
  <c r="K53" i="33"/>
  <c r="K95" i="33"/>
  <c r="K8" i="33"/>
  <c r="K38" i="33"/>
  <c r="K132" i="33"/>
  <c r="K89" i="33"/>
  <c r="L113" i="33"/>
  <c r="K112" i="33"/>
  <c r="K14" i="33"/>
  <c r="K135" i="33"/>
  <c r="L146" i="33"/>
  <c r="L37" i="33"/>
  <c r="K124" i="33"/>
  <c r="K60" i="33"/>
  <c r="K121" i="33"/>
  <c r="K102" i="33"/>
  <c r="K50" i="33"/>
  <c r="K111" i="33"/>
  <c r="K11" i="33"/>
  <c r="K29" i="33"/>
  <c r="L119" i="33"/>
  <c r="L157" i="33"/>
  <c r="L142" i="33"/>
  <c r="L61" i="33"/>
  <c r="L116" i="33"/>
  <c r="L120" i="33"/>
  <c r="L36" i="33"/>
  <c r="L16" i="33"/>
  <c r="L106" i="33"/>
  <c r="L22" i="33"/>
  <c r="L40" i="33"/>
  <c r="L17" i="33"/>
  <c r="L109" i="33"/>
  <c r="L28" i="33"/>
  <c r="G39" i="33"/>
  <c r="H39" i="33"/>
  <c r="H18" i="33"/>
  <c r="G18" i="33"/>
  <c r="K126" i="33"/>
  <c r="L126" i="33"/>
  <c r="H157" i="33"/>
  <c r="G157" i="33"/>
  <c r="G144" i="33"/>
  <c r="H144" i="33"/>
  <c r="H25" i="33"/>
  <c r="G25" i="33"/>
  <c r="H31" i="33"/>
  <c r="G31" i="33"/>
  <c r="K59" i="33"/>
  <c r="L59" i="33"/>
  <c r="K134" i="33"/>
  <c r="L134" i="33"/>
  <c r="H132" i="33"/>
  <c r="G132" i="33"/>
  <c r="H13" i="33"/>
  <c r="G13" i="33"/>
  <c r="H64" i="33"/>
  <c r="G64" i="33"/>
  <c r="H28" i="33"/>
  <c r="G28" i="33"/>
  <c r="G153" i="33"/>
  <c r="H153" i="33"/>
  <c r="G14" i="33"/>
  <c r="H14" i="33"/>
  <c r="K116" i="33"/>
  <c r="L62" i="33"/>
  <c r="K62" i="33"/>
  <c r="L3" i="33"/>
  <c r="L125" i="33"/>
  <c r="L138" i="33"/>
  <c r="L26" i="33"/>
  <c r="L20" i="33"/>
  <c r="L53" i="33"/>
  <c r="L95" i="33"/>
  <c r="L8" i="33"/>
  <c r="L38" i="33"/>
  <c r="H104" i="33"/>
  <c r="G104" i="33"/>
  <c r="H8" i="33"/>
  <c r="G8" i="33"/>
  <c r="H113" i="33"/>
  <c r="G113" i="33"/>
  <c r="H34" i="33"/>
  <c r="G34" i="33"/>
  <c r="H57" i="33"/>
  <c r="G57" i="33"/>
  <c r="G150" i="33"/>
  <c r="H150" i="33"/>
  <c r="H149" i="33"/>
  <c r="G149" i="33"/>
  <c r="K88" i="33"/>
  <c r="L88" i="33"/>
  <c r="K54" i="33"/>
  <c r="L54" i="33"/>
  <c r="H65" i="33"/>
  <c r="G65" i="33"/>
  <c r="K105" i="33"/>
  <c r="L105" i="33"/>
  <c r="H112" i="33"/>
  <c r="G112" i="33"/>
  <c r="H11" i="33"/>
  <c r="G11" i="33"/>
  <c r="L130" i="33"/>
  <c r="G58" i="33"/>
  <c r="H58" i="33"/>
  <c r="L24" i="33"/>
  <c r="L56" i="33"/>
  <c r="L9" i="33"/>
  <c r="L133" i="33"/>
  <c r="K114" i="33"/>
  <c r="L114" i="33"/>
  <c r="H111" i="33"/>
  <c r="G111" i="33"/>
  <c r="L15" i="33"/>
  <c r="K15" i="33"/>
  <c r="H120" i="33"/>
  <c r="G120" i="33"/>
  <c r="H122" i="33"/>
  <c r="G122" i="33"/>
  <c r="H62" i="33"/>
  <c r="G62" i="33"/>
  <c r="K61" i="33"/>
  <c r="F158" i="33"/>
  <c r="H158" i="33" s="1"/>
  <c r="H3" i="33"/>
  <c r="G3" i="33"/>
  <c r="H33" i="33"/>
  <c r="G33" i="33"/>
  <c r="H6" i="33"/>
  <c r="G6" i="33"/>
  <c r="H92" i="33"/>
  <c r="G92" i="33"/>
  <c r="L27" i="33"/>
  <c r="K27" i="33"/>
  <c r="L48" i="33"/>
  <c r="K48" i="33"/>
  <c r="K119" i="33"/>
  <c r="K157" i="33"/>
  <c r="L60" i="33"/>
  <c r="L121" i="33"/>
  <c r="L102" i="33"/>
  <c r="L50" i="33"/>
  <c r="L111" i="33"/>
  <c r="L11" i="33"/>
  <c r="L29" i="33"/>
  <c r="K151" i="33"/>
  <c r="L151" i="33"/>
  <c r="K129" i="33"/>
  <c r="L129" i="33"/>
  <c r="H121" i="33"/>
  <c r="G121" i="33"/>
  <c r="H22" i="33"/>
  <c r="G22" i="33"/>
  <c r="H9" i="33"/>
  <c r="G9" i="33"/>
  <c r="H97" i="33"/>
  <c r="G97" i="33"/>
  <c r="G140" i="33"/>
  <c r="H140" i="33"/>
  <c r="H102" i="33"/>
  <c r="G102" i="33"/>
  <c r="G17" i="33"/>
  <c r="H17" i="33"/>
  <c r="H59" i="33"/>
  <c r="G59" i="33"/>
  <c r="H35" i="33"/>
  <c r="G35" i="33"/>
  <c r="L100" i="33"/>
  <c r="G53" i="33"/>
  <c r="H53" i="33"/>
  <c r="G54" i="33"/>
  <c r="H54" i="33"/>
  <c r="L132" i="33"/>
  <c r="G139" i="33"/>
  <c r="H139" i="33"/>
  <c r="G152" i="33"/>
  <c r="H152" i="33"/>
  <c r="L46" i="33"/>
  <c r="H24" i="33"/>
  <c r="G24" i="33"/>
  <c r="L89" i="33"/>
  <c r="H99" i="33"/>
  <c r="G99" i="33"/>
  <c r="K122" i="33"/>
  <c r="L122" i="33"/>
  <c r="L110" i="33"/>
  <c r="H136" i="33"/>
  <c r="G136" i="33"/>
  <c r="K4" i="33"/>
  <c r="L4" i="33"/>
  <c r="H101" i="33"/>
  <c r="G101" i="33"/>
  <c r="H123" i="33"/>
  <c r="G123" i="33"/>
  <c r="H56" i="33"/>
  <c r="G56" i="33"/>
  <c r="H125" i="33"/>
  <c r="G125" i="33"/>
  <c r="G148" i="33"/>
  <c r="H148" i="33"/>
  <c r="H141" i="33"/>
  <c r="G141" i="33"/>
  <c r="L104" i="33"/>
  <c r="K104" i="33"/>
  <c r="L144" i="33"/>
  <c r="K144" i="33"/>
  <c r="L57" i="33"/>
  <c r="K41" i="33"/>
  <c r="L41" i="33"/>
  <c r="L107" i="33"/>
  <c r="K47" i="33"/>
  <c r="L47" i="33"/>
  <c r="L39" i="33"/>
  <c r="L33" i="33"/>
  <c r="L115" i="33"/>
  <c r="H16" i="33"/>
  <c r="G16" i="33"/>
  <c r="H47" i="33"/>
  <c r="G47" i="33"/>
  <c r="H12" i="33"/>
  <c r="G12" i="33"/>
  <c r="H88" i="33"/>
  <c r="G88" i="33"/>
  <c r="G26" i="33"/>
  <c r="H26" i="33"/>
  <c r="H109" i="33"/>
  <c r="G109" i="33"/>
  <c r="H90" i="33"/>
  <c r="G90" i="33"/>
  <c r="G110" i="33"/>
  <c r="H110" i="33"/>
  <c r="L137" i="33"/>
  <c r="H114" i="33"/>
  <c r="G114" i="33"/>
  <c r="L90" i="33"/>
  <c r="H46" i="33"/>
  <c r="G46" i="33"/>
  <c r="H100" i="33"/>
  <c r="G100" i="33"/>
  <c r="L7" i="33"/>
  <c r="L136" i="33"/>
  <c r="H40" i="33"/>
  <c r="G40" i="33"/>
  <c r="L14" i="33"/>
  <c r="L135" i="33"/>
  <c r="L112" i="33"/>
  <c r="H38" i="33"/>
  <c r="G38" i="33"/>
  <c r="H106" i="33"/>
  <c r="G106" i="33"/>
  <c r="H130" i="33"/>
  <c r="G130" i="33"/>
  <c r="G138" i="33"/>
  <c r="H138" i="33"/>
  <c r="H116" i="33"/>
  <c r="G116" i="33"/>
  <c r="K28" i="33"/>
  <c r="G108" i="33"/>
  <c r="H108" i="33"/>
  <c r="H129" i="33"/>
  <c r="G129" i="33"/>
  <c r="H32" i="33"/>
  <c r="G32" i="33"/>
  <c r="K142" i="33"/>
  <c r="L35" i="33"/>
  <c r="K35" i="33"/>
  <c r="L43" i="33"/>
  <c r="K43" i="33"/>
  <c r="L25" i="33"/>
  <c r="L101" i="33"/>
  <c r="L155" i="33"/>
  <c r="L118" i="33"/>
  <c r="L44" i="33"/>
  <c r="L148" i="33"/>
  <c r="L64" i="33"/>
  <c r="H50" i="33"/>
  <c r="G50" i="33"/>
  <c r="H29" i="33"/>
  <c r="G29" i="33"/>
  <c r="G15" i="33"/>
  <c r="H15" i="33"/>
  <c r="G142" i="33"/>
  <c r="H142" i="33"/>
  <c r="G27" i="33"/>
  <c r="H27" i="33"/>
  <c r="H118" i="33"/>
  <c r="G118" i="33"/>
  <c r="G134" i="33"/>
  <c r="H134" i="33"/>
  <c r="K21" i="33"/>
  <c r="L21" i="33"/>
  <c r="L65" i="33"/>
  <c r="G89" i="33"/>
  <c r="H89" i="33"/>
  <c r="L128" i="33"/>
  <c r="H60" i="33"/>
  <c r="G60" i="33"/>
  <c r="L149" i="33"/>
  <c r="H20" i="33"/>
  <c r="G20" i="33"/>
  <c r="K141" i="33"/>
  <c r="L141" i="33"/>
  <c r="G119" i="33"/>
  <c r="H119" i="33"/>
  <c r="K13" i="33"/>
  <c r="L13" i="33"/>
  <c r="L34" i="33"/>
  <c r="G43" i="33"/>
  <c r="H43" i="33"/>
  <c r="G30" i="33"/>
  <c r="H30" i="33"/>
  <c r="H155" i="33"/>
  <c r="G155" i="33"/>
  <c r="H126" i="33"/>
  <c r="G126" i="33"/>
  <c r="G95" i="33"/>
  <c r="H95" i="33"/>
  <c r="G115" i="33"/>
  <c r="H115" i="33"/>
  <c r="H21" i="33"/>
  <c r="G21" i="33"/>
  <c r="H105" i="33"/>
  <c r="G105" i="33"/>
  <c r="K120" i="33"/>
  <c r="K36" i="33"/>
  <c r="K16" i="33"/>
  <c r="K106" i="33"/>
  <c r="K22" i="33"/>
  <c r="K40" i="33"/>
  <c r="K17" i="33"/>
  <c r="K109" i="33"/>
  <c r="H4" i="33"/>
  <c r="G4" i="33"/>
  <c r="L45" i="33"/>
  <c r="L99" i="33"/>
  <c r="L108" i="33"/>
  <c r="L70" i="33"/>
  <c r="K31" i="33"/>
  <c r="L31" i="33"/>
  <c r="L30" i="33"/>
  <c r="L58" i="33"/>
  <c r="H48" i="33"/>
  <c r="G48" i="33"/>
  <c r="H151" i="33"/>
  <c r="G151" i="33"/>
  <c r="G135" i="33"/>
  <c r="H135" i="33"/>
  <c r="H137" i="33"/>
  <c r="G137" i="33"/>
  <c r="H45" i="33"/>
  <c r="G45" i="33"/>
  <c r="H107" i="33"/>
  <c r="G107" i="33"/>
  <c r="H133" i="33"/>
  <c r="G133" i="33"/>
  <c r="L124" i="33"/>
  <c r="H44" i="33"/>
  <c r="G44" i="33"/>
  <c r="L97" i="33"/>
  <c r="H41" i="33"/>
  <c r="G41" i="33"/>
  <c r="L139" i="33"/>
  <c r="H23" i="33"/>
  <c r="G23" i="33"/>
  <c r="L32" i="33"/>
  <c r="H61" i="33"/>
  <c r="G61" i="33"/>
  <c r="L6" i="33"/>
  <c r="L18" i="33"/>
  <c r="H36" i="33"/>
  <c r="G36" i="33"/>
  <c r="K158" i="33" l="1"/>
  <c r="G158" i="33"/>
  <c r="L158" i="33"/>
  <c r="S13" i="5"/>
  <c r="B13" i="5"/>
  <c r="J13" i="5"/>
  <c r="G13" i="5"/>
  <c r="S14" i="5"/>
  <c r="R13" i="5"/>
  <c r="U13" i="5"/>
  <c r="B14" i="5"/>
  <c r="G14" i="5"/>
  <c r="K14" i="5"/>
  <c r="R14" i="5"/>
  <c r="U14" i="5"/>
  <c r="V14" i="5"/>
  <c r="F13" i="5" l="1"/>
  <c r="O13" i="5"/>
  <c r="K13" i="5"/>
  <c r="N13" i="5"/>
  <c r="O14" i="5"/>
  <c r="N14" i="5"/>
  <c r="F14" i="5"/>
  <c r="J14" i="5"/>
  <c r="S22" i="5" l="1"/>
  <c r="B22" i="5"/>
  <c r="V22" i="5"/>
  <c r="U22" i="5"/>
  <c r="R22" i="5"/>
  <c r="N22" i="5" l="1"/>
  <c r="O22" i="5"/>
  <c r="K22" i="5"/>
  <c r="J22" i="5"/>
  <c r="G22" i="5"/>
  <c r="F22" i="5"/>
  <c r="J22" i="2" l="1"/>
  <c r="J15" i="2" l="1"/>
  <c r="J13" i="2"/>
  <c r="J21" i="2"/>
  <c r="J11" i="2"/>
  <c r="J6" i="2"/>
  <c r="J9" i="2"/>
  <c r="J10" i="2"/>
  <c r="J8" i="2"/>
  <c r="J17" i="2"/>
  <c r="J7" i="2"/>
  <c r="J16" i="2"/>
  <c r="J14" i="2"/>
  <c r="J19" i="2"/>
  <c r="J18" i="2"/>
  <c r="J12" i="2"/>
  <c r="J20" i="2"/>
  <c r="J5" i="2"/>
  <c r="G21" i="5" l="1"/>
  <c r="J21" i="5"/>
  <c r="F23" i="5"/>
  <c r="K23" i="5"/>
  <c r="S15" i="5"/>
  <c r="S8" i="5"/>
  <c r="R20" i="5"/>
  <c r="R7" i="5"/>
  <c r="B4" i="5"/>
  <c r="S4" i="5"/>
  <c r="R11" i="5"/>
  <c r="S12" i="5"/>
  <c r="S6" i="5"/>
  <c r="R16" i="5"/>
  <c r="B21" i="5"/>
  <c r="B18" i="5"/>
  <c r="K8" i="5"/>
  <c r="F5" i="5"/>
  <c r="B5" i="5"/>
  <c r="B23" i="5"/>
  <c r="B9" i="5"/>
  <c r="R24" i="5"/>
  <c r="B19" i="5"/>
  <c r="R19" i="5"/>
  <c r="R10" i="5"/>
  <c r="B8" i="5"/>
  <c r="S21" i="5"/>
  <c r="K20" i="5"/>
  <c r="K5" i="5"/>
  <c r="K9" i="5"/>
  <c r="K10" i="5"/>
  <c r="K16" i="5"/>
  <c r="K12" i="5"/>
  <c r="K19" i="5"/>
  <c r="K15" i="5"/>
  <c r="K18" i="5"/>
  <c r="F8" i="5"/>
  <c r="K11" i="5"/>
  <c r="K4" i="5"/>
  <c r="K6" i="5"/>
  <c r="K17" i="5"/>
  <c r="K7" i="5"/>
  <c r="K24" i="5"/>
  <c r="F19" i="5"/>
  <c r="F24" i="5"/>
  <c r="F4" i="5"/>
  <c r="F6" i="5"/>
  <c r="F12" i="5"/>
  <c r="F15" i="5"/>
  <c r="F10" i="5"/>
  <c r="F18" i="5"/>
  <c r="F17" i="5"/>
  <c r="F9" i="5"/>
  <c r="B12" i="5"/>
  <c r="S24" i="5"/>
  <c r="S19" i="5"/>
  <c r="S10" i="5"/>
  <c r="R21" i="5"/>
  <c r="S17" i="5"/>
  <c r="R12" i="5"/>
  <c r="B6" i="5"/>
  <c r="R8" i="5"/>
  <c r="R23" i="5"/>
  <c r="S23" i="5"/>
  <c r="R15" i="5"/>
  <c r="R18" i="5"/>
  <c r="S18" i="5"/>
  <c r="R6" i="5"/>
  <c r="R9" i="5"/>
  <c r="S9" i="5"/>
  <c r="R5" i="5"/>
  <c r="S5" i="5"/>
  <c r="R17" i="5"/>
  <c r="R4" i="5"/>
  <c r="S16" i="5"/>
  <c r="S20" i="5"/>
  <c r="S11" i="5"/>
  <c r="B17" i="5"/>
  <c r="B20" i="5"/>
  <c r="B15" i="5"/>
  <c r="B11" i="5"/>
  <c r="B16" i="5"/>
  <c r="B10" i="5"/>
  <c r="B7" i="5"/>
  <c r="B24" i="5"/>
  <c r="F21" i="5" l="1"/>
  <c r="N21" i="5"/>
  <c r="K21" i="5"/>
  <c r="O21" i="5"/>
  <c r="J23" i="5"/>
  <c r="G23" i="5"/>
  <c r="O23" i="5"/>
  <c r="N23" i="5"/>
  <c r="J5" i="5"/>
  <c r="J10" i="5"/>
  <c r="G5" i="5"/>
  <c r="J12" i="5"/>
  <c r="G17" i="5"/>
  <c r="O18" i="5"/>
  <c r="J7" i="5"/>
  <c r="O24" i="5"/>
  <c r="N9" i="5"/>
  <c r="N7" i="5"/>
  <c r="G8" i="5"/>
  <c r="N10" i="5"/>
  <c r="O5" i="5"/>
  <c r="N15" i="5"/>
  <c r="J19" i="5"/>
  <c r="N8" i="5"/>
  <c r="O4" i="5"/>
  <c r="O19" i="5"/>
  <c r="N12" i="5"/>
  <c r="G6" i="5"/>
  <c r="J9" i="5"/>
  <c r="J18" i="5"/>
  <c r="J17" i="5"/>
  <c r="J24" i="5"/>
  <c r="J20" i="5"/>
  <c r="J8" i="5"/>
  <c r="O11" i="5"/>
  <c r="O16" i="5"/>
  <c r="J6" i="5"/>
  <c r="J15" i="5"/>
  <c r="N20" i="5"/>
  <c r="J16" i="5"/>
  <c r="O10" i="5"/>
  <c r="O12" i="5"/>
  <c r="J11" i="5"/>
  <c r="N6" i="5"/>
  <c r="N19" i="5"/>
  <c r="O17" i="5"/>
  <c r="N4" i="5"/>
  <c r="G12" i="5"/>
  <c r="O8" i="5"/>
  <c r="O9" i="5"/>
  <c r="N11" i="5"/>
  <c r="G18" i="5"/>
  <c r="O15" i="5"/>
  <c r="F20" i="5"/>
  <c r="G20" i="5"/>
  <c r="O6" i="5"/>
  <c r="O20" i="5"/>
  <c r="N16" i="5"/>
  <c r="G9" i="5"/>
  <c r="N17" i="5"/>
  <c r="F7" i="5"/>
  <c r="G7" i="5"/>
  <c r="N24" i="5"/>
  <c r="F11" i="5"/>
  <c r="G11" i="5"/>
  <c r="O7" i="5"/>
  <c r="F16" i="5"/>
  <c r="G16" i="5"/>
  <c r="N5" i="5"/>
  <c r="G10" i="5"/>
  <c r="N18" i="5"/>
  <c r="G4" i="5"/>
  <c r="G15" i="5"/>
  <c r="G19" i="5"/>
  <c r="J4" i="5"/>
  <c r="G24" i="5"/>
  <c r="F31" i="5" l="1"/>
  <c r="D16" i="2" l="1"/>
  <c r="Y4" i="5" l="1"/>
  <c r="Y5" i="5"/>
  <c r="Y6" i="5"/>
  <c r="Y7" i="5"/>
  <c r="Y8" i="5"/>
  <c r="Y9" i="5"/>
  <c r="Y10" i="5"/>
  <c r="Y12" i="5"/>
  <c r="Y15" i="5"/>
  <c r="Y16" i="5"/>
  <c r="Y17" i="5"/>
  <c r="Y18" i="5"/>
  <c r="Y19" i="5"/>
  <c r="Y20" i="5"/>
  <c r="Y21" i="5"/>
  <c r="Y23" i="5"/>
  <c r="Y24" i="5"/>
  <c r="X4" i="5"/>
  <c r="X5" i="5"/>
  <c r="X6" i="5"/>
  <c r="X7" i="5"/>
  <c r="X8" i="5"/>
  <c r="X9" i="5"/>
  <c r="X10" i="5"/>
  <c r="X12" i="5"/>
  <c r="X15" i="5"/>
  <c r="X16" i="5"/>
  <c r="X17" i="5"/>
  <c r="X18" i="5"/>
  <c r="X19" i="5"/>
  <c r="X20" i="5"/>
  <c r="X21" i="5"/>
  <c r="X23" i="5"/>
  <c r="X24" i="5"/>
  <c r="W4" i="5"/>
  <c r="W5" i="5"/>
  <c r="W6" i="5"/>
  <c r="W7" i="5"/>
  <c r="W8" i="5"/>
  <c r="W9" i="5"/>
  <c r="W10" i="5"/>
  <c r="W12" i="5"/>
  <c r="W15" i="5"/>
  <c r="W16" i="5"/>
  <c r="W17" i="5"/>
  <c r="W18" i="5"/>
  <c r="W19" i="5"/>
  <c r="W20" i="5"/>
  <c r="W21" i="5"/>
  <c r="W23" i="5"/>
  <c r="W24" i="5"/>
  <c r="Y31" i="5" l="1"/>
  <c r="X31" i="5"/>
  <c r="W31" i="5"/>
  <c r="Z21" i="5"/>
  <c r="Z23" i="5"/>
  <c r="BL2" i="1"/>
  <c r="K31" i="5" l="1"/>
  <c r="Q31" i="5"/>
  <c r="AA21" i="5"/>
  <c r="Z24" i="5"/>
  <c r="AA24" i="5" s="1"/>
  <c r="AA23" i="5"/>
  <c r="P31" i="5"/>
  <c r="B31" i="5" l="1"/>
  <c r="S31" i="5"/>
  <c r="BI2" i="1" l="1"/>
  <c r="BH2" i="1"/>
  <c r="BG2" i="1"/>
  <c r="BM2" i="1" l="1"/>
  <c r="BF2" i="1"/>
  <c r="BK2" i="1"/>
  <c r="L23" i="2" l="1"/>
  <c r="BJ2" i="1"/>
  <c r="U6" i="5" l="1"/>
  <c r="V6" i="5"/>
  <c r="U20" i="5"/>
  <c r="V20" i="5"/>
  <c r="U21" i="5"/>
  <c r="V21" i="5"/>
  <c r="U17" i="5"/>
  <c r="V17" i="5"/>
  <c r="U7" i="5"/>
  <c r="V7" i="5"/>
  <c r="U23" i="5"/>
  <c r="V23" i="5"/>
  <c r="U12" i="5"/>
  <c r="V12" i="5"/>
  <c r="U18" i="5"/>
  <c r="V18" i="5"/>
  <c r="U8" i="5"/>
  <c r="V8" i="5"/>
  <c r="V4" i="5"/>
  <c r="U4" i="5"/>
  <c r="U24" i="5"/>
  <c r="V9" i="5"/>
  <c r="U9" i="5"/>
  <c r="U19" i="5"/>
  <c r="V19" i="5"/>
  <c r="V5" i="5"/>
  <c r="U5" i="5"/>
  <c r="U16" i="5"/>
  <c r="V16" i="5"/>
  <c r="U15" i="5"/>
  <c r="V15" i="5"/>
  <c r="V11" i="5"/>
  <c r="U11" i="5"/>
  <c r="U10" i="5"/>
  <c r="V10" i="5"/>
  <c r="C31" i="5"/>
  <c r="T31" i="5"/>
  <c r="V31" i="5" s="1"/>
  <c r="D17" i="2" l="1"/>
  <c r="Z32" i="22" l="1" a="1"/>
  <c r="Z32" i="22" s="1"/>
  <c r="Y32" i="22" a="1"/>
  <c r="Y32" i="22" s="1"/>
  <c r="X32" i="22"/>
  <c r="U32" i="22" a="1"/>
  <c r="U32" i="22" s="1"/>
  <c r="T32" i="22" a="1"/>
  <c r="T32" i="22" s="1"/>
  <c r="S32" i="22" a="1"/>
  <c r="S32" i="22" s="1"/>
  <c r="R32" i="22" a="1"/>
  <c r="R32" i="22" s="1"/>
  <c r="O32" i="22" a="1"/>
  <c r="O32" i="22" s="1"/>
  <c r="N32" i="22"/>
  <c r="K32" i="22"/>
  <c r="G32" i="22"/>
  <c r="F32" i="22"/>
  <c r="J32" i="22" s="1"/>
  <c r="C32" i="22"/>
  <c r="B32" i="22"/>
  <c r="Z31" i="22" a="1"/>
  <c r="Z31" i="22" s="1"/>
  <c r="Y31" i="22" a="1"/>
  <c r="Y31" i="22" s="1"/>
  <c r="X31" i="22"/>
  <c r="U31" i="22" a="1"/>
  <c r="U31" i="22" s="1"/>
  <c r="T31" i="22" a="1"/>
  <c r="T31" i="22" s="1"/>
  <c r="S31" i="22" a="1"/>
  <c r="S31" i="22" s="1"/>
  <c r="R31" i="22" a="1"/>
  <c r="R31" i="22" s="1"/>
  <c r="O31" i="22" a="1"/>
  <c r="O31" i="22" s="1"/>
  <c r="N31" i="22"/>
  <c r="K31" i="22"/>
  <c r="G31" i="22"/>
  <c r="F31" i="22"/>
  <c r="J31" i="22" s="1"/>
  <c r="C31" i="22"/>
  <c r="B31" i="22"/>
  <c r="Z30" i="22" a="1"/>
  <c r="Z30" i="22" s="1"/>
  <c r="Y30" i="22" a="1"/>
  <c r="Y30" i="22" s="1"/>
  <c r="X30" i="22"/>
  <c r="U30" i="22" a="1"/>
  <c r="U30" i="22" s="1"/>
  <c r="T30" i="22" a="1"/>
  <c r="T30" i="22" s="1"/>
  <c r="S30" i="22" a="1"/>
  <c r="S30" i="22" s="1"/>
  <c r="R30" i="22" a="1"/>
  <c r="R30" i="22" s="1"/>
  <c r="O30" i="22" a="1"/>
  <c r="O30" i="22" s="1"/>
  <c r="N30" i="22"/>
  <c r="K30" i="22"/>
  <c r="G30" i="22"/>
  <c r="F30" i="22"/>
  <c r="J30" i="22" s="1"/>
  <c r="C30" i="22"/>
  <c r="B30" i="22"/>
  <c r="Z29" i="22" a="1"/>
  <c r="Z29" i="22" s="1"/>
  <c r="Y29" i="22" a="1"/>
  <c r="Y29" i="22" s="1"/>
  <c r="X29" i="22"/>
  <c r="U29" i="22" a="1"/>
  <c r="U29" i="22" s="1"/>
  <c r="T29" i="22" a="1"/>
  <c r="T29" i="22" s="1"/>
  <c r="S29" i="22" a="1"/>
  <c r="S29" i="22" s="1"/>
  <c r="R29" i="22" a="1"/>
  <c r="R29" i="22" s="1"/>
  <c r="O29" i="22" a="1"/>
  <c r="O29" i="22" s="1"/>
  <c r="N29" i="22"/>
  <c r="K29" i="22"/>
  <c r="G29" i="22"/>
  <c r="F29" i="22"/>
  <c r="J29" i="22" s="1"/>
  <c r="C29" i="22"/>
  <c r="B29" i="22"/>
  <c r="Z28" i="22" a="1"/>
  <c r="Z28" i="22" s="1"/>
  <c r="Y28" i="22" a="1"/>
  <c r="Y28" i="22" s="1"/>
  <c r="X28" i="22"/>
  <c r="U28" i="22" a="1"/>
  <c r="U28" i="22" s="1"/>
  <c r="T28" i="22" a="1"/>
  <c r="T28" i="22" s="1"/>
  <c r="S28" i="22" a="1"/>
  <c r="S28" i="22" s="1"/>
  <c r="R28" i="22" a="1"/>
  <c r="R28" i="22" s="1"/>
  <c r="O28" i="22" a="1"/>
  <c r="O28" i="22" s="1"/>
  <c r="N28" i="22"/>
  <c r="K28" i="22"/>
  <c r="G28" i="22"/>
  <c r="F28" i="22"/>
  <c r="J28" i="22" s="1"/>
  <c r="C28" i="22"/>
  <c r="B28" i="22"/>
  <c r="Z27" i="22" a="1"/>
  <c r="Z27" i="22" s="1"/>
  <c r="Y27" i="22" a="1"/>
  <c r="Y27" i="22" s="1"/>
  <c r="X27" i="22"/>
  <c r="U27" i="22" a="1"/>
  <c r="U27" i="22" s="1"/>
  <c r="T27" i="22" a="1"/>
  <c r="T27" i="22" s="1"/>
  <c r="S27" i="22" a="1"/>
  <c r="S27" i="22" s="1"/>
  <c r="R27" i="22" a="1"/>
  <c r="R27" i="22" s="1"/>
  <c r="O27" i="22" a="1"/>
  <c r="O27" i="22" s="1"/>
  <c r="N27" i="22"/>
  <c r="K27" i="22"/>
  <c r="G27" i="22"/>
  <c r="F27" i="22"/>
  <c r="J27" i="22" s="1"/>
  <c r="C27" i="22"/>
  <c r="B27" i="22"/>
  <c r="Z26" i="22" a="1"/>
  <c r="Z26" i="22" s="1"/>
  <c r="Y26" i="22" a="1"/>
  <c r="Y26" i="22" s="1"/>
  <c r="X26" i="22"/>
  <c r="U26" i="22" a="1"/>
  <c r="U26" i="22" s="1"/>
  <c r="T26" i="22" a="1"/>
  <c r="T26" i="22" s="1"/>
  <c r="S26" i="22" a="1"/>
  <c r="S26" i="22" s="1"/>
  <c r="R26" i="22" a="1"/>
  <c r="R26" i="22" s="1"/>
  <c r="O26" i="22" a="1"/>
  <c r="O26" i="22" s="1"/>
  <c r="N26" i="22"/>
  <c r="K26" i="22"/>
  <c r="G26" i="22"/>
  <c r="F26" i="22"/>
  <c r="J26" i="22" s="1"/>
  <c r="C26" i="22"/>
  <c r="B26" i="22"/>
  <c r="Z25" i="22" a="1"/>
  <c r="Z25" i="22" s="1"/>
  <c r="Y25" i="22" a="1"/>
  <c r="Y25" i="22" s="1"/>
  <c r="X25" i="22"/>
  <c r="U25" i="22" a="1"/>
  <c r="U25" i="22" s="1"/>
  <c r="T25" i="22" a="1"/>
  <c r="T25" i="22" s="1"/>
  <c r="S25" i="22" a="1"/>
  <c r="S25" i="22" s="1"/>
  <c r="R25" i="22" a="1"/>
  <c r="R25" i="22" s="1"/>
  <c r="O25" i="22" a="1"/>
  <c r="O25" i="22" s="1"/>
  <c r="N25" i="22"/>
  <c r="K25" i="22"/>
  <c r="G25" i="22"/>
  <c r="F25" i="22"/>
  <c r="J25" i="22" s="1"/>
  <c r="C25" i="22"/>
  <c r="B25" i="22"/>
  <c r="Z24" i="22" a="1"/>
  <c r="Z24" i="22" s="1"/>
  <c r="Y24" i="22" a="1"/>
  <c r="Y24" i="22" s="1"/>
  <c r="X24" i="22"/>
  <c r="U24" i="22" a="1"/>
  <c r="U24" i="22" s="1"/>
  <c r="T24" i="22" a="1"/>
  <c r="T24" i="22" s="1"/>
  <c r="S24" i="22" a="1"/>
  <c r="S24" i="22" s="1"/>
  <c r="R24" i="22" a="1"/>
  <c r="R24" i="22" s="1"/>
  <c r="O24" i="22" a="1"/>
  <c r="O24" i="22" s="1"/>
  <c r="N24" i="22"/>
  <c r="G24" i="22"/>
  <c r="F24" i="22"/>
  <c r="J24" i="22" s="1"/>
  <c r="C24" i="22"/>
  <c r="B24" i="22"/>
  <c r="Z23" i="22" a="1"/>
  <c r="Z23" i="22" s="1"/>
  <c r="Y23" i="22" a="1"/>
  <c r="Y23" i="22" s="1"/>
  <c r="X23" i="22"/>
  <c r="U23" i="22" a="1"/>
  <c r="U23" i="22" s="1"/>
  <c r="T23" i="22" a="1"/>
  <c r="T23" i="22" s="1"/>
  <c r="S23" i="22" a="1"/>
  <c r="S23" i="22" s="1"/>
  <c r="R23" i="22" a="1"/>
  <c r="R23" i="22" s="1"/>
  <c r="O23" i="22" a="1"/>
  <c r="O23" i="22" s="1"/>
  <c r="N23" i="22"/>
  <c r="G23" i="22"/>
  <c r="F23" i="22"/>
  <c r="J23" i="22" s="1"/>
  <c r="C23" i="22"/>
  <c r="B23" i="22"/>
  <c r="Z22" i="22" a="1"/>
  <c r="Z22" i="22" s="1"/>
  <c r="Y22" i="22" a="1"/>
  <c r="Y22" i="22" s="1"/>
  <c r="X22" i="22"/>
  <c r="U22" i="22" a="1"/>
  <c r="U22" i="22" s="1"/>
  <c r="T22" i="22" a="1"/>
  <c r="T22" i="22" s="1"/>
  <c r="S22" i="22" a="1"/>
  <c r="S22" i="22" s="1"/>
  <c r="R22" i="22" a="1"/>
  <c r="R22" i="22" s="1"/>
  <c r="O22" i="22" a="1"/>
  <c r="O22" i="22" s="1"/>
  <c r="N22" i="22"/>
  <c r="G22" i="22"/>
  <c r="F22" i="22"/>
  <c r="J22" i="22" s="1"/>
  <c r="C22" i="22"/>
  <c r="B22" i="22"/>
  <c r="Z21" i="22" a="1"/>
  <c r="Z21" i="22" s="1"/>
  <c r="Y21" i="22" a="1"/>
  <c r="Y21" i="22" s="1"/>
  <c r="X21" i="22"/>
  <c r="U21" i="22" a="1"/>
  <c r="U21" i="22" s="1"/>
  <c r="T21" i="22" a="1"/>
  <c r="T21" i="22" s="1"/>
  <c r="S21" i="22" a="1"/>
  <c r="S21" i="22" s="1"/>
  <c r="R21" i="22" a="1"/>
  <c r="R21" i="22" s="1"/>
  <c r="O21" i="22" a="1"/>
  <c r="O21" i="22" s="1"/>
  <c r="N21" i="22"/>
  <c r="G21" i="22"/>
  <c r="F21" i="22"/>
  <c r="J21" i="22" s="1"/>
  <c r="C21" i="22"/>
  <c r="B21" i="22"/>
  <c r="Z20" i="22" a="1"/>
  <c r="Z20" i="22" s="1"/>
  <c r="Y20" i="22" a="1"/>
  <c r="Y20" i="22" s="1"/>
  <c r="X20" i="22"/>
  <c r="U20" i="22" a="1"/>
  <c r="U20" i="22" s="1"/>
  <c r="T20" i="22" a="1"/>
  <c r="T20" i="22" s="1"/>
  <c r="S20" i="22" a="1"/>
  <c r="S20" i="22" s="1"/>
  <c r="R20" i="22" a="1"/>
  <c r="R20" i="22" s="1"/>
  <c r="O20" i="22" a="1"/>
  <c r="O20" i="22" s="1"/>
  <c r="N20" i="22"/>
  <c r="G20" i="22"/>
  <c r="F20" i="22"/>
  <c r="J20" i="22" s="1"/>
  <c r="C20" i="22"/>
  <c r="B20" i="22"/>
  <c r="Z19" i="22" a="1"/>
  <c r="Z19" i="22" s="1"/>
  <c r="Y19" i="22" a="1"/>
  <c r="Y19" i="22" s="1"/>
  <c r="X19" i="22"/>
  <c r="U19" i="22" a="1"/>
  <c r="U19" i="22" s="1"/>
  <c r="T19" i="22" a="1"/>
  <c r="T19" i="22" s="1"/>
  <c r="S19" i="22" a="1"/>
  <c r="S19" i="22" s="1"/>
  <c r="R19" i="22" a="1"/>
  <c r="R19" i="22" s="1"/>
  <c r="O19" i="22" a="1"/>
  <c r="O19" i="22" s="1"/>
  <c r="N19" i="22"/>
  <c r="G19" i="22"/>
  <c r="F19" i="22"/>
  <c r="J19" i="22" s="1"/>
  <c r="C19" i="22"/>
  <c r="B19" i="22"/>
  <c r="Z18" i="22" a="1"/>
  <c r="Z18" i="22" s="1"/>
  <c r="Y18" i="22" a="1"/>
  <c r="Y18" i="22" s="1"/>
  <c r="X18" i="22"/>
  <c r="U18" i="22" a="1"/>
  <c r="U18" i="22" s="1"/>
  <c r="T18" i="22" a="1"/>
  <c r="T18" i="22" s="1"/>
  <c r="S18" i="22" a="1"/>
  <c r="S18" i="22" s="1"/>
  <c r="R18" i="22" a="1"/>
  <c r="R18" i="22" s="1"/>
  <c r="O18" i="22" a="1"/>
  <c r="O18" i="22" s="1"/>
  <c r="N18" i="22"/>
  <c r="G18" i="22"/>
  <c r="F18" i="22"/>
  <c r="J18" i="22" s="1"/>
  <c r="C18" i="22"/>
  <c r="B18" i="22"/>
  <c r="Z17" i="22" a="1"/>
  <c r="Z17" i="22" s="1"/>
  <c r="Y17" i="22" a="1"/>
  <c r="Y17" i="22" s="1"/>
  <c r="X17" i="22"/>
  <c r="U17" i="22" a="1"/>
  <c r="U17" i="22" s="1"/>
  <c r="T17" i="22" a="1"/>
  <c r="T17" i="22" s="1"/>
  <c r="S17" i="22" a="1"/>
  <c r="S17" i="22" s="1"/>
  <c r="R17" i="22" a="1"/>
  <c r="R17" i="22" s="1"/>
  <c r="O17" i="22" a="1"/>
  <c r="O17" i="22" s="1"/>
  <c r="N17" i="22"/>
  <c r="G17" i="22"/>
  <c r="F17" i="22"/>
  <c r="J17" i="22" s="1"/>
  <c r="C17" i="22"/>
  <c r="B17" i="22"/>
  <c r="Z16" i="22" a="1"/>
  <c r="Z16" i="22" s="1"/>
  <c r="Y16" i="22" a="1"/>
  <c r="Y16" i="22" s="1"/>
  <c r="X16" i="22"/>
  <c r="U16" i="22" a="1"/>
  <c r="U16" i="22" s="1"/>
  <c r="T16" i="22" a="1"/>
  <c r="T16" i="22" s="1"/>
  <c r="S16" i="22" a="1"/>
  <c r="S16" i="22" s="1"/>
  <c r="R16" i="22" a="1"/>
  <c r="R16" i="22" s="1"/>
  <c r="O16" i="22" a="1"/>
  <c r="O16" i="22" s="1"/>
  <c r="N16" i="22"/>
  <c r="G16" i="22"/>
  <c r="F16" i="22"/>
  <c r="J16" i="22" s="1"/>
  <c r="C16" i="22"/>
  <c r="B16" i="22"/>
  <c r="Z15" i="22" a="1"/>
  <c r="Z15" i="22" s="1"/>
  <c r="Y15" i="22" a="1"/>
  <c r="Y15" i="22" s="1"/>
  <c r="X15" i="22"/>
  <c r="U15" i="22" a="1"/>
  <c r="U15" i="22" s="1"/>
  <c r="T15" i="22" a="1"/>
  <c r="T15" i="22" s="1"/>
  <c r="S15" i="22" a="1"/>
  <c r="S15" i="22" s="1"/>
  <c r="R15" i="22" a="1"/>
  <c r="R15" i="22" s="1"/>
  <c r="O15" i="22" a="1"/>
  <c r="O15" i="22" s="1"/>
  <c r="N15" i="22"/>
  <c r="G15" i="22"/>
  <c r="F15" i="22"/>
  <c r="J15" i="22" s="1"/>
  <c r="C15" i="22"/>
  <c r="B15" i="22"/>
  <c r="Z14" i="22" a="1"/>
  <c r="Z14" i="22" s="1"/>
  <c r="Y14" i="22" a="1"/>
  <c r="Y14" i="22" s="1"/>
  <c r="X14" i="22"/>
  <c r="U14" i="22" a="1"/>
  <c r="U14" i="22" s="1"/>
  <c r="T14" i="22" a="1"/>
  <c r="T14" i="22" s="1"/>
  <c r="S14" i="22" a="1"/>
  <c r="S14" i="22" s="1"/>
  <c r="R14" i="22" a="1"/>
  <c r="R14" i="22" s="1"/>
  <c r="O14" i="22" a="1"/>
  <c r="O14" i="22" s="1"/>
  <c r="N14" i="22"/>
  <c r="G14" i="22"/>
  <c r="F14" i="22"/>
  <c r="J14" i="22" s="1"/>
  <c r="C14" i="22"/>
  <c r="B14" i="22"/>
  <c r="Z13" i="22" a="1"/>
  <c r="Z13" i="22" s="1"/>
  <c r="Y13" i="22" a="1"/>
  <c r="Y13" i="22" s="1"/>
  <c r="X13" i="22"/>
  <c r="U13" i="22" a="1"/>
  <c r="U13" i="22" s="1"/>
  <c r="T13" i="22" a="1"/>
  <c r="T13" i="22" s="1"/>
  <c r="S13" i="22" a="1"/>
  <c r="S13" i="22" s="1"/>
  <c r="R13" i="22" a="1"/>
  <c r="R13" i="22" s="1"/>
  <c r="O13" i="22" a="1"/>
  <c r="O13" i="22" s="1"/>
  <c r="N13" i="22"/>
  <c r="G13" i="22"/>
  <c r="F13" i="22"/>
  <c r="J13" i="22" s="1"/>
  <c r="C13" i="22"/>
  <c r="B13" i="22"/>
  <c r="Z12" i="22" a="1"/>
  <c r="Z12" i="22" s="1"/>
  <c r="Y12" i="22" a="1"/>
  <c r="Y12" i="22" s="1"/>
  <c r="X12" i="22"/>
  <c r="U12" i="22" a="1"/>
  <c r="U12" i="22" s="1"/>
  <c r="T12" i="22" a="1"/>
  <c r="T12" i="22" s="1"/>
  <c r="S12" i="22" a="1"/>
  <c r="S12" i="22" s="1"/>
  <c r="R12" i="22" a="1"/>
  <c r="R12" i="22" s="1"/>
  <c r="O12" i="22" a="1"/>
  <c r="O12" i="22" s="1"/>
  <c r="N12" i="22"/>
  <c r="K12" i="22"/>
  <c r="G12" i="22"/>
  <c r="F12" i="22"/>
  <c r="J12" i="22" s="1"/>
  <c r="C12" i="22"/>
  <c r="B12" i="22"/>
  <c r="Z11" i="22" a="1"/>
  <c r="Z11" i="22" s="1"/>
  <c r="Y11" i="22" a="1"/>
  <c r="Y11" i="22" s="1"/>
  <c r="X11" i="22"/>
  <c r="U11" i="22" a="1"/>
  <c r="U11" i="22" s="1"/>
  <c r="T11" i="22" a="1"/>
  <c r="T11" i="22" s="1"/>
  <c r="S11" i="22" a="1"/>
  <c r="S11" i="22" s="1"/>
  <c r="R11" i="22" a="1"/>
  <c r="R11" i="22" s="1"/>
  <c r="O11" i="22" a="1"/>
  <c r="O11" i="22" s="1"/>
  <c r="N11" i="22"/>
  <c r="G11" i="22"/>
  <c r="F11" i="22"/>
  <c r="J11" i="22" s="1"/>
  <c r="C11" i="22"/>
  <c r="B11" i="22"/>
  <c r="Z10" i="22" a="1"/>
  <c r="Z10" i="22" s="1"/>
  <c r="Y10" i="22" a="1"/>
  <c r="Y10" i="22" s="1"/>
  <c r="X10" i="22"/>
  <c r="U10" i="22" a="1"/>
  <c r="U10" i="22" s="1"/>
  <c r="T10" i="22" a="1"/>
  <c r="T10" i="22" s="1"/>
  <c r="S10" i="22" a="1"/>
  <c r="S10" i="22" s="1"/>
  <c r="R10" i="22" a="1"/>
  <c r="R10" i="22" s="1"/>
  <c r="O10" i="22" a="1"/>
  <c r="O10" i="22" s="1"/>
  <c r="N10" i="22"/>
  <c r="G10" i="22"/>
  <c r="F10" i="22"/>
  <c r="J10" i="22" s="1"/>
  <c r="C10" i="22"/>
  <c r="B10" i="22"/>
  <c r="Z9" i="22" a="1"/>
  <c r="Z9" i="22" s="1"/>
  <c r="Y9" i="22" a="1"/>
  <c r="Y9" i="22" s="1"/>
  <c r="X9" i="22"/>
  <c r="U9" i="22" a="1"/>
  <c r="U9" i="22" s="1"/>
  <c r="T9" i="22" a="1"/>
  <c r="T9" i="22" s="1"/>
  <c r="S9" i="22" a="1"/>
  <c r="S9" i="22" s="1"/>
  <c r="R9" i="22" a="1"/>
  <c r="R9" i="22" s="1"/>
  <c r="O9" i="22" a="1"/>
  <c r="O9" i="22" s="1"/>
  <c r="N9" i="22"/>
  <c r="G9" i="22"/>
  <c r="F9" i="22"/>
  <c r="J9" i="22" s="1"/>
  <c r="C9" i="22"/>
  <c r="B9" i="22"/>
  <c r="Z8" i="22" a="1"/>
  <c r="Z8" i="22" s="1"/>
  <c r="Y8" i="22" a="1"/>
  <c r="Y8" i="22" s="1"/>
  <c r="X8" i="22"/>
  <c r="U8" i="22" a="1"/>
  <c r="U8" i="22" s="1"/>
  <c r="T8" i="22" a="1"/>
  <c r="T8" i="22" s="1"/>
  <c r="S8" i="22" a="1"/>
  <c r="S8" i="22" s="1"/>
  <c r="R8" i="22" a="1"/>
  <c r="R8" i="22" s="1"/>
  <c r="O8" i="22" a="1"/>
  <c r="O8" i="22" s="1"/>
  <c r="N8" i="22"/>
  <c r="G8" i="22"/>
  <c r="F8" i="22"/>
  <c r="J8" i="22" s="1"/>
  <c r="C8" i="22"/>
  <c r="B8" i="22"/>
  <c r="Z7" i="22" a="1"/>
  <c r="Z7" i="22" s="1"/>
  <c r="Y7" i="22" a="1"/>
  <c r="Y7" i="22" s="1"/>
  <c r="X7" i="22"/>
  <c r="U7" i="22" a="1"/>
  <c r="U7" i="22" s="1"/>
  <c r="T7" i="22" a="1"/>
  <c r="T7" i="22" s="1"/>
  <c r="S7" i="22" a="1"/>
  <c r="S7" i="22" s="1"/>
  <c r="R7" i="22" a="1"/>
  <c r="R7" i="22" s="1"/>
  <c r="O7" i="22" a="1"/>
  <c r="O7" i="22" s="1"/>
  <c r="N7" i="22"/>
  <c r="G7" i="22"/>
  <c r="F7" i="22"/>
  <c r="J7" i="22" s="1"/>
  <c r="C7" i="22"/>
  <c r="B7" i="22"/>
  <c r="Z6" i="22" a="1"/>
  <c r="Z6" i="22" s="1"/>
  <c r="Y6" i="22" a="1"/>
  <c r="Y6" i="22" s="1"/>
  <c r="X6" i="22"/>
  <c r="U6" i="22" a="1"/>
  <c r="U6" i="22" s="1"/>
  <c r="T6" i="22" a="1"/>
  <c r="T6" i="22" s="1"/>
  <c r="S6" i="22" a="1"/>
  <c r="S6" i="22" s="1"/>
  <c r="R6" i="22" a="1"/>
  <c r="R6" i="22" s="1"/>
  <c r="O6" i="22" a="1"/>
  <c r="O6" i="22" s="1"/>
  <c r="N6" i="22"/>
  <c r="G6" i="22"/>
  <c r="F6" i="22"/>
  <c r="J6" i="22" s="1"/>
  <c r="C6" i="22"/>
  <c r="B6" i="22"/>
  <c r="Z5" i="22" a="1"/>
  <c r="Z5" i="22" s="1"/>
  <c r="Y5" i="22" a="1"/>
  <c r="Y5" i="22" s="1"/>
  <c r="X5" i="22"/>
  <c r="U5" i="22" a="1"/>
  <c r="U5" i="22" s="1"/>
  <c r="T5" i="22" a="1"/>
  <c r="T5" i="22" s="1"/>
  <c r="S5" i="22" a="1"/>
  <c r="S5" i="22" s="1"/>
  <c r="R5" i="22" a="1"/>
  <c r="R5" i="22" s="1"/>
  <c r="O5" i="22" a="1"/>
  <c r="O5" i="22" s="1"/>
  <c r="N5" i="22"/>
  <c r="G5" i="22"/>
  <c r="F5" i="22"/>
  <c r="J5" i="22" s="1"/>
  <c r="C5" i="22"/>
  <c r="B5" i="22"/>
  <c r="Z4" i="22" a="1"/>
  <c r="Z4" i="22" s="1"/>
  <c r="Y4" i="22" a="1"/>
  <c r="Y4" i="22" s="1"/>
  <c r="X4" i="22"/>
  <c r="U4" i="22" a="1"/>
  <c r="U4" i="22" s="1"/>
  <c r="T4" i="22" a="1"/>
  <c r="T4" i="22" s="1"/>
  <c r="S4" i="22" a="1"/>
  <c r="S4" i="22" s="1"/>
  <c r="R4" i="22" a="1"/>
  <c r="R4" i="22" s="1"/>
  <c r="O4" i="22" a="1"/>
  <c r="O4" i="22" s="1"/>
  <c r="N4" i="22"/>
  <c r="G4" i="22"/>
  <c r="F4" i="22"/>
  <c r="J4" i="22" s="1"/>
  <c r="C4" i="22"/>
  <c r="B4" i="22"/>
  <c r="Z3" i="22" a="1"/>
  <c r="Z3" i="22" s="1"/>
  <c r="Z33" i="22" s="1"/>
  <c r="Y3" i="22" a="1"/>
  <c r="Y3" i="22" s="1"/>
  <c r="Y33" i="22" s="1"/>
  <c r="X3" i="22"/>
  <c r="U3" i="22" a="1"/>
  <c r="U3" i="22" s="1"/>
  <c r="T3" i="22" a="1"/>
  <c r="T3" i="22" s="1"/>
  <c r="S3" i="22" a="1"/>
  <c r="S3" i="22" s="1"/>
  <c r="R3" i="22" a="1"/>
  <c r="R3" i="22" s="1"/>
  <c r="O3" i="22" a="1"/>
  <c r="O3" i="22" s="1"/>
  <c r="N3" i="22"/>
  <c r="G3" i="22"/>
  <c r="F3" i="22"/>
  <c r="C3" i="22"/>
  <c r="B3" i="22"/>
  <c r="F27" i="2"/>
  <c r="O2" i="1"/>
  <c r="D14" i="2" l="1"/>
  <c r="D15" i="2"/>
  <c r="E32" i="22"/>
  <c r="X33" i="22"/>
  <c r="AB33" i="22" s="1"/>
  <c r="E28" i="22"/>
  <c r="AA4" i="22"/>
  <c r="AB4" i="22" s="1"/>
  <c r="AA10" i="22"/>
  <c r="AB10" i="22" s="1"/>
  <c r="AA16" i="22"/>
  <c r="AB16" i="22" s="1"/>
  <c r="AA22" i="22"/>
  <c r="AB22" i="22" s="1"/>
  <c r="AA5" i="22"/>
  <c r="AB5" i="22" s="1"/>
  <c r="AA11" i="22"/>
  <c r="AB11" i="22" s="1"/>
  <c r="AA27" i="22"/>
  <c r="AB27" i="22" s="1"/>
  <c r="AA31" i="22"/>
  <c r="AB31" i="22" s="1"/>
  <c r="AA17" i="22"/>
  <c r="AB17" i="22" s="1"/>
  <c r="AA23" i="22"/>
  <c r="AB23" i="22" s="1"/>
  <c r="AA6" i="22"/>
  <c r="AB6" i="22" s="1"/>
  <c r="AA12" i="22"/>
  <c r="AB12" i="22" s="1"/>
  <c r="AA18" i="22"/>
  <c r="AB18" i="22" s="1"/>
  <c r="AA24" i="22"/>
  <c r="AB24" i="22" s="1"/>
  <c r="AA28" i="22"/>
  <c r="AB28" i="22" s="1"/>
  <c r="AA7" i="22"/>
  <c r="AB7" i="22" s="1"/>
  <c r="AA13" i="22"/>
  <c r="AB13" i="22" s="1"/>
  <c r="AA19" i="22"/>
  <c r="AB19" i="22" s="1"/>
  <c r="AA8" i="22"/>
  <c r="AB8" i="22" s="1"/>
  <c r="AA25" i="22"/>
  <c r="AB25" i="22" s="1"/>
  <c r="AA29" i="22"/>
  <c r="AB29" i="22" s="1"/>
  <c r="AA14" i="22"/>
  <c r="AB14" i="22" s="1"/>
  <c r="AA20" i="22"/>
  <c r="AB20" i="22" s="1"/>
  <c r="AA9" i="22"/>
  <c r="AB9" i="22" s="1"/>
  <c r="AA15" i="22"/>
  <c r="AB15" i="22" s="1"/>
  <c r="AA21" i="22"/>
  <c r="AB21" i="22" s="1"/>
  <c r="AA26" i="22"/>
  <c r="AB26" i="22" s="1"/>
  <c r="AA30" i="22"/>
  <c r="AB30" i="22" s="1"/>
  <c r="W26" i="22"/>
  <c r="W30" i="22"/>
  <c r="Q26" i="22"/>
  <c r="Q30" i="22"/>
  <c r="E26" i="22"/>
  <c r="D30" i="22"/>
  <c r="W16" i="22"/>
  <c r="D4" i="22"/>
  <c r="D9" i="2"/>
  <c r="Q4" i="22"/>
  <c r="E31" i="22"/>
  <c r="E6" i="22"/>
  <c r="W11" i="22"/>
  <c r="Q15" i="22"/>
  <c r="K20" i="22"/>
  <c r="M20" i="22" s="1"/>
  <c r="W17" i="22"/>
  <c r="Q19" i="22"/>
  <c r="Q29" i="22"/>
  <c r="E17" i="22"/>
  <c r="E27" i="22"/>
  <c r="W25" i="22"/>
  <c r="Q18" i="22"/>
  <c r="I19" i="22"/>
  <c r="Q31" i="22"/>
  <c r="Q9" i="22"/>
  <c r="W13" i="22"/>
  <c r="I20" i="22"/>
  <c r="D21" i="22"/>
  <c r="Q32" i="22"/>
  <c r="W23" i="22"/>
  <c r="D13" i="2"/>
  <c r="B33" i="22"/>
  <c r="W4" i="22"/>
  <c r="Q5" i="22"/>
  <c r="Q20" i="22"/>
  <c r="I21" i="22"/>
  <c r="W9" i="22"/>
  <c r="W19" i="22"/>
  <c r="I30" i="22"/>
  <c r="W32" i="22"/>
  <c r="I7" i="22"/>
  <c r="Q16" i="22"/>
  <c r="D18" i="2"/>
  <c r="E8" i="22"/>
  <c r="K5" i="22"/>
  <c r="M5" i="22" s="1"/>
  <c r="D21" i="2"/>
  <c r="V14" i="22"/>
  <c r="I32" i="22"/>
  <c r="S33" i="22"/>
  <c r="Q7" i="22"/>
  <c r="D12" i="22"/>
  <c r="V15" i="22"/>
  <c r="Q21" i="22"/>
  <c r="P25" i="22"/>
  <c r="Q28" i="22"/>
  <c r="I29" i="22"/>
  <c r="E5" i="22"/>
  <c r="P29" i="22"/>
  <c r="I5" i="22"/>
  <c r="E16" i="22"/>
  <c r="W21" i="22"/>
  <c r="W28" i="22"/>
  <c r="W7" i="22"/>
  <c r="P23" i="22"/>
  <c r="I27" i="22"/>
  <c r="I13" i="22"/>
  <c r="I16" i="22"/>
  <c r="I6" i="22"/>
  <c r="E14" i="22"/>
  <c r="I31" i="22"/>
  <c r="V5" i="22"/>
  <c r="Q6" i="22"/>
  <c r="K8" i="22"/>
  <c r="M8" i="22" s="1"/>
  <c r="K18" i="22"/>
  <c r="M18" i="22" s="1"/>
  <c r="K3" i="22"/>
  <c r="K24" i="22"/>
  <c r="M24" i="22" s="1"/>
  <c r="D8" i="2"/>
  <c r="D5" i="2"/>
  <c r="D6" i="2"/>
  <c r="D20" i="2"/>
  <c r="D12" i="2"/>
  <c r="D19" i="2"/>
  <c r="E10" i="22"/>
  <c r="W14" i="22"/>
  <c r="I18" i="22"/>
  <c r="P21" i="22"/>
  <c r="I24" i="22"/>
  <c r="P26" i="22"/>
  <c r="E3" i="22"/>
  <c r="P7" i="22"/>
  <c r="I10" i="22"/>
  <c r="E11" i="22"/>
  <c r="P18" i="22"/>
  <c r="E22" i="22"/>
  <c r="I25" i="22"/>
  <c r="F33" i="22"/>
  <c r="H25" i="22"/>
  <c r="D7" i="2"/>
  <c r="D10" i="2"/>
  <c r="Q13" i="22"/>
  <c r="P19" i="22"/>
  <c r="I22" i="22"/>
  <c r="E23" i="22"/>
  <c r="P3" i="22"/>
  <c r="L25" i="22"/>
  <c r="Q27" i="22"/>
  <c r="W18" i="22"/>
  <c r="I8" i="22"/>
  <c r="D9" i="22"/>
  <c r="W10" i="22"/>
  <c r="Q11" i="22"/>
  <c r="I14" i="22"/>
  <c r="E15" i="22"/>
  <c r="P16" i="22"/>
  <c r="E20" i="22"/>
  <c r="Q25" i="22"/>
  <c r="H28" i="22"/>
  <c r="P30" i="22"/>
  <c r="W29" i="22"/>
  <c r="D11" i="2"/>
  <c r="I4" i="22"/>
  <c r="Q8" i="22"/>
  <c r="I9" i="22"/>
  <c r="I15" i="22"/>
  <c r="W15" i="22"/>
  <c r="Q23" i="22"/>
  <c r="W27" i="22"/>
  <c r="E29" i="22"/>
  <c r="I12" i="22"/>
  <c r="Q17" i="22"/>
  <c r="E18" i="22"/>
  <c r="D24" i="22"/>
  <c r="I26" i="22"/>
  <c r="P31" i="22"/>
  <c r="H21" i="22"/>
  <c r="H9" i="22"/>
  <c r="D6" i="22"/>
  <c r="E9" i="22"/>
  <c r="D17" i="22"/>
  <c r="E4" i="22"/>
  <c r="D16" i="22"/>
  <c r="E21" i="22"/>
  <c r="E19" i="22"/>
  <c r="D27" i="22"/>
  <c r="I28" i="22"/>
  <c r="E30" i="22"/>
  <c r="D8" i="22"/>
  <c r="E13" i="22"/>
  <c r="H15" i="22"/>
  <c r="E24" i="22"/>
  <c r="E25" i="22"/>
  <c r="D5" i="22"/>
  <c r="H6" i="22"/>
  <c r="D20" i="22"/>
  <c r="D29" i="22"/>
  <c r="D3" i="22"/>
  <c r="I11" i="22"/>
  <c r="H13" i="22"/>
  <c r="D23" i="22"/>
  <c r="D31" i="22"/>
  <c r="C33" i="22"/>
  <c r="E7" i="22"/>
  <c r="I23" i="22"/>
  <c r="G33" i="22"/>
  <c r="D28" i="22"/>
  <c r="H16" i="22"/>
  <c r="D32" i="22"/>
  <c r="E12" i="22"/>
  <c r="D15" i="22"/>
  <c r="K7" i="22"/>
  <c r="L7" i="22" s="1"/>
  <c r="K10" i="22"/>
  <c r="M10" i="22" s="1"/>
  <c r="K15" i="22"/>
  <c r="M15" i="22" s="1"/>
  <c r="K11" i="22"/>
  <c r="M11" i="22" s="1"/>
  <c r="K17" i="22"/>
  <c r="M17" i="22" s="1"/>
  <c r="K19" i="22"/>
  <c r="L19" i="22" s="1"/>
  <c r="K13" i="22"/>
  <c r="L13" i="22" s="1"/>
  <c r="K4" i="22"/>
  <c r="M4" i="22" s="1"/>
  <c r="K9" i="22"/>
  <c r="M9" i="22" s="1"/>
  <c r="K16" i="22"/>
  <c r="M16" i="22" s="1"/>
  <c r="K14" i="22"/>
  <c r="M14" i="22" s="1"/>
  <c r="K23" i="22"/>
  <c r="M23" i="22" s="1"/>
  <c r="K21" i="22"/>
  <c r="M21" i="22" s="1"/>
  <c r="K22" i="22"/>
  <c r="M22" i="22" s="1"/>
  <c r="K6" i="22"/>
  <c r="M6" i="22" s="1"/>
  <c r="M31" i="5"/>
  <c r="N31" i="5" s="1"/>
  <c r="E23" i="2"/>
  <c r="F23" i="2"/>
  <c r="F26" i="2" s="1"/>
  <c r="P9" i="22"/>
  <c r="W20" i="22"/>
  <c r="V20" i="22"/>
  <c r="Q14" i="22"/>
  <c r="P14" i="22"/>
  <c r="T33" i="22"/>
  <c r="P4" i="22"/>
  <c r="P28" i="22"/>
  <c r="P32" i="22"/>
  <c r="Q12" i="22"/>
  <c r="P12" i="22"/>
  <c r="U33" i="22"/>
  <c r="V10" i="22"/>
  <c r="Q24" i="22"/>
  <c r="P24" i="22"/>
  <c r="P6" i="22"/>
  <c r="P8" i="22"/>
  <c r="Q10" i="22"/>
  <c r="P10" i="22"/>
  <c r="P17" i="22"/>
  <c r="W12" i="22"/>
  <c r="V12" i="22"/>
  <c r="V27" i="22"/>
  <c r="P5" i="22"/>
  <c r="P11" i="22"/>
  <c r="P13" i="22"/>
  <c r="P20" i="22"/>
  <c r="Q22" i="22"/>
  <c r="P22" i="22"/>
  <c r="W24" i="22"/>
  <c r="V24" i="22"/>
  <c r="O33" i="22"/>
  <c r="Q3" i="22"/>
  <c r="W8" i="22"/>
  <c r="V8" i="22"/>
  <c r="R33" i="22"/>
  <c r="W6" i="22"/>
  <c r="V6" i="22"/>
  <c r="W22" i="22"/>
  <c r="V22" i="22"/>
  <c r="M30" i="22"/>
  <c r="V32" i="22"/>
  <c r="D10" i="22"/>
  <c r="V13" i="22"/>
  <c r="H14" i="22"/>
  <c r="P15" i="22"/>
  <c r="D22" i="22"/>
  <c r="V25" i="22"/>
  <c r="H26" i="22"/>
  <c r="P27" i="22"/>
  <c r="V4" i="22"/>
  <c r="H7" i="22"/>
  <c r="V18" i="22"/>
  <c r="H19" i="22"/>
  <c r="M28" i="22"/>
  <c r="V30" i="22"/>
  <c r="H31" i="22"/>
  <c r="N33" i="22"/>
  <c r="H5" i="22"/>
  <c r="V11" i="22"/>
  <c r="H12" i="22"/>
  <c r="V23" i="22"/>
  <c r="H24" i="22"/>
  <c r="H3" i="22"/>
  <c r="D13" i="22"/>
  <c r="V16" i="22"/>
  <c r="H17" i="22"/>
  <c r="D25" i="22"/>
  <c r="M26" i="22"/>
  <c r="V28" i="22"/>
  <c r="H29" i="22"/>
  <c r="R31" i="5"/>
  <c r="I3" i="22"/>
  <c r="V9" i="22"/>
  <c r="H10" i="22"/>
  <c r="I17" i="22"/>
  <c r="D18" i="22"/>
  <c r="V21" i="22"/>
  <c r="H22" i="22"/>
  <c r="L31" i="22"/>
  <c r="J3" i="22"/>
  <c r="J33" i="22" s="1"/>
  <c r="D11" i="22"/>
  <c r="M12" i="22"/>
  <c r="V26" i="22"/>
  <c r="H27" i="22"/>
  <c r="V7" i="22"/>
  <c r="H8" i="22"/>
  <c r="V19" i="22"/>
  <c r="H20" i="22"/>
  <c r="M29" i="22"/>
  <c r="V31" i="22"/>
  <c r="H32" i="22"/>
  <c r="B3" i="5"/>
  <c r="W31" i="22"/>
  <c r="V3" i="22"/>
  <c r="H4" i="22"/>
  <c r="W5" i="22"/>
  <c r="D14" i="22"/>
  <c r="V17" i="22"/>
  <c r="H18" i="22"/>
  <c r="D26" i="22"/>
  <c r="L27" i="22"/>
  <c r="V29" i="22"/>
  <c r="H30" i="22"/>
  <c r="W3" i="22"/>
  <c r="D7" i="22"/>
  <c r="H11" i="22"/>
  <c r="D19" i="22"/>
  <c r="H23" i="22"/>
  <c r="M32" i="22"/>
  <c r="AA3" i="22"/>
  <c r="AA33" i="22" s="1"/>
  <c r="AA32" i="22"/>
  <c r="AB32" i="22" s="1"/>
  <c r="M27" i="22"/>
  <c r="M25" i="22"/>
  <c r="M31" i="22"/>
  <c r="L12" i="22"/>
  <c r="L30" i="22"/>
  <c r="L29" i="22"/>
  <c r="L28" i="22"/>
  <c r="L26" i="22"/>
  <c r="L32" i="22"/>
  <c r="O31" i="5" l="1"/>
  <c r="U31" i="5"/>
  <c r="L18" i="22"/>
  <c r="E33" i="22"/>
  <c r="L20" i="22"/>
  <c r="L8" i="22"/>
  <c r="L5" i="22"/>
  <c r="L24" i="22"/>
  <c r="P33" i="22"/>
  <c r="I33" i="22"/>
  <c r="AB3" i="22"/>
  <c r="L17" i="22"/>
  <c r="M7" i="22"/>
  <c r="L10" i="22"/>
  <c r="M13" i="22"/>
  <c r="L15" i="22"/>
  <c r="L4" i="22"/>
  <c r="M19" i="22"/>
  <c r="L6" i="22"/>
  <c r="L9" i="22"/>
  <c r="L14" i="22"/>
  <c r="L21" i="22"/>
  <c r="L22" i="22"/>
  <c r="L23" i="22"/>
  <c r="D33" i="22"/>
  <c r="W33" i="22"/>
  <c r="J31" i="5"/>
  <c r="V33" i="22"/>
  <c r="M3" i="22"/>
  <c r="L16" i="22"/>
  <c r="H33" i="22"/>
  <c r="Q33" i="22"/>
  <c r="L11" i="22"/>
  <c r="K33" i="22"/>
  <c r="M33" i="22" s="1"/>
  <c r="G31" i="5"/>
  <c r="D23" i="2"/>
  <c r="L3" i="22"/>
  <c r="G23" i="2" l="1"/>
  <c r="L33" i="22"/>
  <c r="N24" i="2" l="1"/>
  <c r="J23" i="2"/>
  <c r="E27" i="2" l="1"/>
  <c r="G27" i="2" s="1"/>
  <c r="E26" i="2"/>
  <c r="G26" i="2" s="1"/>
  <c r="Z12" i="5"/>
  <c r="AA12" i="5" s="1"/>
  <c r="Z5" i="5"/>
  <c r="AA5" i="5" s="1"/>
  <c r="Z6" i="5"/>
  <c r="AA6" i="5" s="1"/>
  <c r="Z20" i="5"/>
  <c r="AA20" i="5" s="1"/>
  <c r="Z17" i="5"/>
  <c r="AA17" i="5" s="1"/>
  <c r="Z15" i="5"/>
  <c r="AA15" i="5" s="1"/>
  <c r="Z10" i="5"/>
  <c r="AA10" i="5" s="1"/>
  <c r="Z4" i="5"/>
  <c r="AA4" i="5" s="1"/>
  <c r="Z16" i="5"/>
  <c r="AA16" i="5" s="1"/>
  <c r="Z19" i="5"/>
  <c r="AA19" i="5" s="1"/>
  <c r="Z18" i="5"/>
  <c r="AA18" i="5" s="1"/>
  <c r="Z9" i="5"/>
  <c r="AA9" i="5" s="1"/>
  <c r="Z7" i="5"/>
  <c r="AA7" i="5" s="1"/>
  <c r="Z8" i="5"/>
  <c r="AA8" i="5" s="1"/>
  <c r="Z31" i="5" l="1"/>
  <c r="AA31" i="5" s="1"/>
  <c r="AA10" i="35" l="1"/>
  <c r="Z10" i="35"/>
  <c r="Y10" i="35"/>
  <c r="X10" i="35"/>
  <c r="AA23" i="35"/>
  <c r="Z23" i="35"/>
  <c r="Y23" i="35"/>
  <c r="X23" i="35"/>
  <c r="AA13" i="35" l="1"/>
  <c r="Z13" i="35" l="1"/>
  <c r="Y13" i="35"/>
  <c r="X13" i="35"/>
  <c r="AA12" i="35"/>
  <c r="Z12" i="35"/>
  <c r="Y12" i="35"/>
  <c r="X12" i="35"/>
  <c r="AA11" i="35"/>
  <c r="Z11" i="35"/>
  <c r="Y11" i="35"/>
  <c r="X11" i="35"/>
  <c r="X9" i="35" s="1"/>
  <c r="AA15" i="35"/>
  <c r="Z15" i="35"/>
  <c r="Y15" i="35"/>
  <c r="X15" i="35"/>
  <c r="AA16" i="35"/>
  <c r="Z16" i="35"/>
  <c r="Y16" i="35"/>
  <c r="X16" i="35"/>
  <c r="AA7" i="35"/>
  <c r="Z7" i="35"/>
  <c r="Y7" i="35"/>
  <c r="X7" i="35"/>
  <c r="AA8" i="35"/>
  <c r="Z8" i="35"/>
  <c r="Y8" i="35"/>
  <c r="X8" i="35"/>
  <c r="AA6" i="35"/>
  <c r="AA5" i="35" s="1"/>
  <c r="Z6" i="35"/>
  <c r="Y6" i="35"/>
  <c r="X6" i="35"/>
  <c r="AA27" i="35"/>
  <c r="AA26" i="35" s="1"/>
  <c r="Z27" i="35"/>
  <c r="Z26" i="35" s="1"/>
  <c r="Y27" i="35"/>
  <c r="Y26" i="35" s="1"/>
  <c r="X27" i="35"/>
  <c r="X26" i="35" s="1"/>
  <c r="AA21" i="35"/>
  <c r="Z21" i="35"/>
  <c r="Y21" i="35"/>
  <c r="X21" i="35"/>
  <c r="AA20" i="35"/>
  <c r="Z20" i="35"/>
  <c r="Y20" i="35"/>
  <c r="X20" i="35"/>
  <c r="AA19" i="35"/>
  <c r="Z19" i="35"/>
  <c r="Y19" i="35"/>
  <c r="X19" i="35"/>
  <c r="AA25" i="35"/>
  <c r="Z25" i="35"/>
  <c r="Y25" i="35"/>
  <c r="X25" i="35"/>
  <c r="AA24" i="35"/>
  <c r="AA22" i="35" s="1"/>
  <c r="Z24" i="35"/>
  <c r="Y24" i="35"/>
  <c r="X24" i="35"/>
  <c r="AA18" i="35" l="1"/>
  <c r="AA17" i="35" s="1"/>
  <c r="Y5" i="35"/>
  <c r="AA9" i="35"/>
  <c r="Y22" i="35"/>
  <c r="Y18" i="35"/>
  <c r="Z22" i="35"/>
  <c r="Z18" i="35"/>
  <c r="Z5" i="35"/>
  <c r="Y9" i="35"/>
  <c r="Z14" i="35"/>
  <c r="AA14" i="35"/>
  <c r="AA3" i="35" s="1"/>
  <c r="Z9" i="35"/>
  <c r="X22" i="35"/>
  <c r="X18" i="35"/>
  <c r="X5" i="35"/>
  <c r="X14" i="35"/>
  <c r="Y14" i="35"/>
  <c r="Y3" i="35" l="1"/>
  <c r="Z3" i="35"/>
  <c r="Y17" i="35"/>
  <c r="Y58" i="35" s="1"/>
  <c r="Z17" i="35"/>
  <c r="Z58" i="35" s="1"/>
  <c r="X17" i="35"/>
  <c r="AA58" i="35"/>
  <c r="X3" i="35"/>
  <c r="X58" i="3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<sst xmlns="http://schemas.openxmlformats.org/spreadsheetml/2006/main" count="2333" uniqueCount="801">
  <si>
    <t xml:space="preserve">MODEL AREA </t>
  </si>
  <si>
    <t>'Average' UNIT RATE</t>
  </si>
  <si>
    <t xml:space="preserve"> Spools Rec'v</t>
  </si>
  <si>
    <t>SPOOLS NOT ON SITE</t>
  </si>
  <si>
    <t>MODEL AREA COMPLETE</t>
  </si>
  <si>
    <t>% Spools Rec'v</t>
  </si>
  <si>
    <t>M3</t>
  </si>
  <si>
    <t>M4</t>
  </si>
  <si>
    <t>M5</t>
  </si>
  <si>
    <t>M6</t>
  </si>
  <si>
    <t>M7</t>
  </si>
  <si>
    <t>M8</t>
  </si>
  <si>
    <t>ISO's SIGNED-OFF</t>
  </si>
  <si>
    <t>ISOS REMAINING</t>
  </si>
  <si>
    <t>TOTALS</t>
  </si>
  <si>
    <t>PIPE SPOOL INFORMATION</t>
  </si>
  <si>
    <t>IFC HOURS</t>
  </si>
  <si>
    <t>Paste Special / as a Value</t>
  </si>
  <si>
    <t>Daily Earned</t>
  </si>
  <si>
    <t>Spools
Not
On-Site</t>
  </si>
  <si>
    <t>TOTAL QTY'S</t>
  </si>
  <si>
    <t>M1</t>
  </si>
  <si>
    <t>M2</t>
  </si>
  <si>
    <t>FOOTAGE REMAINING</t>
  </si>
  <si>
    <t>% COMP QTY'S</t>
  </si>
  <si>
    <t>SPOOL /  FR</t>
  </si>
  <si>
    <t>UOM</t>
  </si>
  <si>
    <t>TEST PKG 1</t>
  </si>
  <si>
    <t>Field Run - C/S Pipe 12" and Over</t>
  </si>
  <si>
    <t>Field Run - Alloy Pipe 2.5" and Under</t>
  </si>
  <si>
    <t>Field Run - Alloy Pipe 3" to 10"</t>
  </si>
  <si>
    <t>Underground - Carbon Steel Pipe 3" to 10"</t>
  </si>
  <si>
    <t>Underground - Carbon Steel Pipe 12" and Over</t>
  </si>
  <si>
    <t>TOTAL PIPE HOURS</t>
  </si>
  <si>
    <t>Total</t>
  </si>
  <si>
    <t>Copy</t>
  </si>
  <si>
    <t>Total Spools in audit</t>
  </si>
  <si>
    <t>Rec'  2%</t>
  </si>
  <si>
    <t>HRS. LEFT</t>
  </si>
  <si>
    <t>% COMP Hrs</t>
  </si>
  <si>
    <t>SPOOL %
ERECTED</t>
  </si>
  <si>
    <t>% RECIVED</t>
  </si>
  <si>
    <t>RATES</t>
  </si>
  <si>
    <t>FOOTAGE</t>
  </si>
  <si>
    <t>SPOOL - Carbon Steel Pipe 2.5" and Under</t>
  </si>
  <si>
    <t>SPOOL - Carbon Steel Pipe 3" to 10"</t>
  </si>
  <si>
    <t>SPOOL - Carbon Steel Pipe 12" and Over</t>
  </si>
  <si>
    <t>SPOOL - Alloy Pipe 2.5" and Under</t>
  </si>
  <si>
    <t>SPOOL - Alloy Pipe 3" to 10"</t>
  </si>
  <si>
    <t>SPOOL - Alloy Pipe Pipe 12" and Over</t>
  </si>
  <si>
    <t>Field Run - C/S Pipe 2.5" and Under</t>
  </si>
  <si>
    <t>Field Run - C/S Pipe 3" to 10"</t>
  </si>
  <si>
    <t>Total Weekly Hours</t>
  </si>
  <si>
    <t>Weekly Total Hours Earned</t>
  </si>
  <si>
    <t>Spools Rec'v</t>
  </si>
  <si>
    <t xml:space="preserve">UNIT </t>
  </si>
  <si>
    <t>TOTAL</t>
  </si>
  <si>
    <t>TOTAL HOURS</t>
  </si>
  <si>
    <t>EARNED FOOTAGE</t>
  </si>
  <si>
    <t>JOB SUBTOTAL</t>
  </si>
  <si>
    <t>DAILY TOTAL</t>
  </si>
  <si>
    <t>LEFT QTY'S</t>
  </si>
  <si>
    <t>Spools Erected</t>
  </si>
  <si>
    <t>ISO COUNT</t>
  </si>
  <si>
    <t>TOTAL HRS</t>
  </si>
  <si>
    <t>EARNED HRS.</t>
  </si>
  <si>
    <t>ISO SIGN-OFFS</t>
  </si>
  <si>
    <t>Paste as a Value Special Total  Week Ending</t>
  </si>
  <si>
    <t>Spool footage</t>
  </si>
  <si>
    <t>Spool footage Rec'v</t>
  </si>
  <si>
    <t>Spools  Erected</t>
  </si>
  <si>
    <t>Spool footage Erected</t>
  </si>
  <si>
    <t>Earned Qtys Footage</t>
  </si>
  <si>
    <t>Earned IFC WHRS</t>
  </si>
  <si>
    <t xml:space="preserve"> </t>
  </si>
  <si>
    <t>Spools 
NOT
Erected</t>
  </si>
  <si>
    <t>LF</t>
  </si>
  <si>
    <t>TOTAL FOOTAGE ERECTED</t>
  </si>
  <si>
    <t>DRAWING</t>
  </si>
  <si>
    <t>Rev</t>
  </si>
  <si>
    <t>TOTAL   FOOTAGE</t>
  </si>
  <si>
    <t>TOTAL Const
IFC HRS.</t>
  </si>
  <si>
    <t>Const. IFC EARNED HRS.</t>
  </si>
  <si>
    <t>Const. IFC HRS. LEFT</t>
  </si>
  <si>
    <t>Cost Code</t>
  </si>
  <si>
    <t>Field Construction hours</t>
  </si>
  <si>
    <t>Total Construction Hours</t>
  </si>
  <si>
    <t>Earned Construction Hours</t>
  </si>
  <si>
    <t>Construction Hours Left</t>
  </si>
  <si>
    <t>% Construction Hours</t>
  </si>
  <si>
    <t>EARNED PUNCH WHRS</t>
  </si>
  <si>
    <t>EARNED TEST WHRS</t>
  </si>
  <si>
    <t>EARNED POST WHRS</t>
  </si>
  <si>
    <t>IFC
WHRS</t>
  </si>
  <si>
    <t>SYS</t>
  </si>
  <si>
    <t>Conn   30%</t>
  </si>
  <si>
    <t>Percentage of
Spools
Eected</t>
  </si>
  <si>
    <t>ISO's 
at 
QC</t>
  </si>
  <si>
    <t>Spools Not Erected</t>
  </si>
  <si>
    <t>EARNED ERECTED  AG QTY'S</t>
  </si>
  <si>
    <t>% COMP FTG</t>
  </si>
  <si>
    <t xml:space="preserve"> EARNED
CONSTRUCTION
 WHRS</t>
  </si>
  <si>
    <t>Cost Area</t>
  </si>
  <si>
    <t>`</t>
  </si>
  <si>
    <t>Pipe Size</t>
  </si>
  <si>
    <t>SIZE</t>
  </si>
  <si>
    <t>TOTAL 
IFC HRS.</t>
  </si>
  <si>
    <t xml:space="preserve"> IFC EARNED HRS.</t>
  </si>
  <si>
    <t xml:space="preserve"> IFC HRS. LEFT</t>
  </si>
  <si>
    <t>% 
COMP Hrs</t>
  </si>
  <si>
    <t>Test 
15%</t>
  </si>
  <si>
    <t>Post
10%</t>
  </si>
  <si>
    <t>TEST &amp; POST
WHRS</t>
  </si>
  <si>
    <t>Earned Erected
A/G Footage</t>
  </si>
  <si>
    <t xml:space="preserve">IWP_ No
</t>
  </si>
  <si>
    <t>TA_ BANK</t>
  </si>
  <si>
    <t>TA_ BAY</t>
  </si>
  <si>
    <t>TA_ LEVEL</t>
  </si>
  <si>
    <t>paint_ spec</t>
  </si>
  <si>
    <t>WHRS_ UNIT</t>
  </si>
  <si>
    <t>FLD   QTY Ftg</t>
  </si>
  <si>
    <t>Underground - Carbon Steel Pipe 2.5" and Under</t>
  </si>
  <si>
    <t>Test</t>
  </si>
  <si>
    <t>Post</t>
  </si>
  <si>
    <t>Line Area</t>
  </si>
  <si>
    <t>Pipe Spec</t>
  </si>
  <si>
    <t>M1 Desc</t>
  </si>
  <si>
    <t>M2 Desc</t>
  </si>
  <si>
    <t>M3 Desc</t>
  </si>
  <si>
    <t>M4 Desc</t>
  </si>
  <si>
    <t>M5 Desc</t>
  </si>
  <si>
    <t>M6 Desc</t>
  </si>
  <si>
    <t>M7 Desc</t>
  </si>
  <si>
    <t>M8 Desc</t>
  </si>
  <si>
    <t>CWP</t>
  </si>
  <si>
    <t>VAR Area</t>
  </si>
  <si>
    <t>Insul Spec</t>
  </si>
  <si>
    <t>Heat Trace Spec</t>
  </si>
  <si>
    <t>Punch  10%</t>
  </si>
  <si>
    <t>GOAL</t>
  </si>
  <si>
    <t>REMAINDER TO EARN FOR THE WEEK</t>
  </si>
  <si>
    <t>Job Total Actual</t>
  </si>
  <si>
    <t>Erect/ Install  20%</t>
  </si>
  <si>
    <t xml:space="preserve"> TOTAL
CONSTRUCTION
 WHRS</t>
  </si>
  <si>
    <t xml:space="preserve">ISO SIGN-OFFS </t>
  </si>
  <si>
    <t>EARNED PUNCH, TEST, POST HRS</t>
  </si>
  <si>
    <t>Receive</t>
  </si>
  <si>
    <t>Stage</t>
  </si>
  <si>
    <t>Connect</t>
  </si>
  <si>
    <t>Construction HRS % Complete</t>
  </si>
  <si>
    <t>Jeep/Trace</t>
  </si>
  <si>
    <t>REMAINING CONSTRUCTION HRS</t>
  </si>
  <si>
    <t xml:space="preserve">Stage   3% </t>
  </si>
  <si>
    <t>Support/ 
Jeep Trace 10%</t>
  </si>
  <si>
    <t>SCHED_ID</t>
  </si>
  <si>
    <t>CN-211-2930</t>
  </si>
  <si>
    <t>CN-213-2320</t>
  </si>
  <si>
    <t>CN-210-2070</t>
  </si>
  <si>
    <t>CN-213-1880</t>
  </si>
  <si>
    <t>CN-201-1350</t>
  </si>
  <si>
    <t>CN-211-2700</t>
  </si>
  <si>
    <t>CN-215-1620</t>
  </si>
  <si>
    <t>CN-202-2890</t>
  </si>
  <si>
    <t>CN-202-2880</t>
  </si>
  <si>
    <t>CN-209-2600</t>
  </si>
  <si>
    <t>CN-202-3910</t>
  </si>
  <si>
    <t>CN-206-3020</t>
  </si>
  <si>
    <t>CN-214-4320</t>
  </si>
  <si>
    <t>CN-211-2880</t>
  </si>
  <si>
    <t>CN-205-2210</t>
  </si>
  <si>
    <t>CN-212-2820</t>
  </si>
  <si>
    <t>CN-206-2810</t>
  </si>
  <si>
    <t>CN-203-2770</t>
  </si>
  <si>
    <t>CN-213-1760</t>
  </si>
  <si>
    <t>CN-FW-2420</t>
  </si>
  <si>
    <t>CN-212-2810</t>
  </si>
  <si>
    <t>CN-214-2650</t>
  </si>
  <si>
    <t>CN-219-1230</t>
  </si>
  <si>
    <t>CN-204-3090</t>
  </si>
  <si>
    <t>CN-211-3780</t>
  </si>
  <si>
    <t>CN-212-3110</t>
  </si>
  <si>
    <t>CN-214-2130</t>
  </si>
  <si>
    <t>CN-205-1530</t>
  </si>
  <si>
    <t>CN-202-2990</t>
  </si>
  <si>
    <t>CN-203-3330</t>
  </si>
  <si>
    <t>CN-210-2060</t>
  </si>
  <si>
    <t>CN-201-1290</t>
  </si>
  <si>
    <t>CN-212-3350</t>
  </si>
  <si>
    <t>CN-204-3120</t>
  </si>
  <si>
    <t>CN-203-3130</t>
  </si>
  <si>
    <t>CN-206-2800</t>
  </si>
  <si>
    <t>CN-214-4230</t>
  </si>
  <si>
    <t>CN-209-3140</t>
  </si>
  <si>
    <t>CN-203-2980</t>
  </si>
  <si>
    <t>CN-204-3080</t>
  </si>
  <si>
    <t>CN-209-3190</t>
  </si>
  <si>
    <t>CN-210-2050</t>
  </si>
  <si>
    <t>CN-202-3320</t>
  </si>
  <si>
    <t>CN-216-1240</t>
  </si>
  <si>
    <t>CN-202-3630</t>
  </si>
  <si>
    <t>CN-211-3740</t>
  </si>
  <si>
    <t>CN-217-2960</t>
  </si>
  <si>
    <t>CN-202-2900</t>
  </si>
  <si>
    <t>CN-212-3740</t>
  </si>
  <si>
    <t>CN-204-4280</t>
  </si>
  <si>
    <t>CN-217-2640</t>
  </si>
  <si>
    <t>CN-212-3850</t>
  </si>
  <si>
    <t>CN-202-3670</t>
  </si>
  <si>
    <t>CN-209-5660</t>
  </si>
  <si>
    <t>CN-206-6190</t>
  </si>
  <si>
    <t>CN-212-3360</t>
  </si>
  <si>
    <t>CN-203-3940</t>
  </si>
  <si>
    <t>CN-212-2840</t>
  </si>
  <si>
    <t>CN-218-1750</t>
  </si>
  <si>
    <t>CN-204-3450</t>
  </si>
  <si>
    <t>CN-211-2580</t>
  </si>
  <si>
    <t>CN-211-2680</t>
  </si>
  <si>
    <t>CN-212-2830</t>
  </si>
  <si>
    <t>CN-214-5130</t>
  </si>
  <si>
    <t>CN-202-3060</t>
  </si>
  <si>
    <t>CN-204-3070</t>
  </si>
  <si>
    <t>CN-212-3230</t>
  </si>
  <si>
    <t>CN-212-3140</t>
  </si>
  <si>
    <t>CN-204-1400</t>
  </si>
  <si>
    <t>CN-209-2480</t>
  </si>
  <si>
    <t>CN-204-5470</t>
  </si>
  <si>
    <t>CN-212-4300</t>
  </si>
  <si>
    <t>CN-203-3320</t>
  </si>
  <si>
    <t>CN-203-3120</t>
  </si>
  <si>
    <t>CN-PW-1010</t>
  </si>
  <si>
    <t>CN-212-4080</t>
  </si>
  <si>
    <t>CN-211-3970</t>
  </si>
  <si>
    <t>CN-212-4280</t>
  </si>
  <si>
    <t>CN-212-3720</t>
  </si>
  <si>
    <t>CN-212-4070</t>
  </si>
  <si>
    <t>CN-210-2080</t>
  </si>
  <si>
    <t>Field Run - Alloy Pipe 12" and Over</t>
  </si>
  <si>
    <t>Field Run - Special Mill 2.5 and Under</t>
  </si>
  <si>
    <t>Actual Total % Complete</t>
  </si>
  <si>
    <t>Actual Total Hours Earned</t>
  </si>
  <si>
    <t>Planned Total % Complete</t>
  </si>
  <si>
    <t>Planned Total Hours Earned</t>
  </si>
  <si>
    <t>Actual Weekly % Gains</t>
  </si>
  <si>
    <t>Actual Weekly Hours Earned</t>
  </si>
  <si>
    <t>Weekly % Gains Needed</t>
  </si>
  <si>
    <t>Weekly Pipe Hours Needed</t>
  </si>
  <si>
    <t>Hours</t>
  </si>
  <si>
    <t xml:space="preserve">Current </t>
  </si>
  <si>
    <t>Budget</t>
  </si>
  <si>
    <t>MANPOWER 50 HR</t>
  </si>
  <si>
    <t>CN-203-9220</t>
  </si>
  <si>
    <t>CN-214-4110</t>
  </si>
  <si>
    <t>CN-214-4460</t>
  </si>
  <si>
    <t>CN-214-4470</t>
  </si>
  <si>
    <t>CN-202-3900</t>
  </si>
  <si>
    <t>CN-202-2810</t>
  </si>
  <si>
    <t>FOREMAN</t>
  </si>
  <si>
    <t>GF</t>
  </si>
  <si>
    <t>CN-207-6841</t>
  </si>
  <si>
    <t>CP-207-1910</t>
  </si>
  <si>
    <t>CN-207-5651</t>
  </si>
  <si>
    <t>CN-209-2650</t>
  </si>
  <si>
    <t>CN-207-6660</t>
  </si>
  <si>
    <t>CN-207-3670</t>
  </si>
  <si>
    <t>CN-207-3531</t>
  </si>
  <si>
    <t>CN-207-5630</t>
  </si>
  <si>
    <t>CN-207-5631</t>
  </si>
  <si>
    <t>CN-207-5680</t>
  </si>
  <si>
    <t>CN-207-6670</t>
  </si>
  <si>
    <t>CN-212-3910</t>
  </si>
  <si>
    <t>CN-212-3300</t>
  </si>
  <si>
    <t>CN-217-2610</t>
  </si>
  <si>
    <t>CN-217-2940</t>
  </si>
  <si>
    <t>reforcasted</t>
  </si>
  <si>
    <t>RECORD #</t>
  </si>
  <si>
    <t>CN-212-3920</t>
  </si>
  <si>
    <t>CN-214-4100</t>
  </si>
  <si>
    <t>INT</t>
  </si>
  <si>
    <t>CP-207-1930</t>
  </si>
  <si>
    <t>CP-207-1900</t>
  </si>
  <si>
    <t>CN-206-2790</t>
  </si>
  <si>
    <t>CP-207-1920</t>
  </si>
  <si>
    <t>CN-207-3532</t>
  </si>
  <si>
    <t>CN-208-6570</t>
  </si>
  <si>
    <t>CP-207-1921</t>
  </si>
  <si>
    <t>FLARE VENDOR PIPING</t>
  </si>
  <si>
    <t>CN-207-5430</t>
  </si>
  <si>
    <t>ACTIVITY ID</t>
  </si>
  <si>
    <t>MODEL AREA</t>
  </si>
  <si>
    <t>DESCRIPTION</t>
  </si>
  <si>
    <t>ACTUAL START DATE</t>
  </si>
  <si>
    <t>CN-FW-3670</t>
  </si>
  <si>
    <t>CN-202-2860</t>
  </si>
  <si>
    <t>CN-202-4440</t>
  </si>
  <si>
    <t>CN-207-5650</t>
  </si>
  <si>
    <t>CN-207-5660</t>
  </si>
  <si>
    <t>CN-207-5670</t>
  </si>
  <si>
    <t>CP-207-1890</t>
  </si>
  <si>
    <t>CN-207-4040</t>
  </si>
  <si>
    <t>CN-207-5460</t>
  </si>
  <si>
    <t>CN-207-6730</t>
  </si>
  <si>
    <t>CN-207-6820</t>
  </si>
  <si>
    <t>CN-207-5180</t>
  </si>
  <si>
    <t>CN-208-2083</t>
  </si>
  <si>
    <t>CN-208-2081</t>
  </si>
  <si>
    <t>CN-208-2084</t>
  </si>
  <si>
    <t>CN-208-8560</t>
  </si>
  <si>
    <t>CN-208-7060</t>
  </si>
  <si>
    <t>CN-208-8190</t>
  </si>
  <si>
    <t>CN-208-6810</t>
  </si>
  <si>
    <t>CN-208-8340</t>
  </si>
  <si>
    <t>CN-208-7880</t>
  </si>
  <si>
    <t>CN-208-8350</t>
  </si>
  <si>
    <t>CN-208-6660</t>
  </si>
  <si>
    <t>CN-208-7050</t>
  </si>
  <si>
    <t>CN-208-7090</t>
  </si>
  <si>
    <t>CN-208-7800</t>
  </si>
  <si>
    <t>CN-208-8180</t>
  </si>
  <si>
    <t>CN-208-1450</t>
  </si>
  <si>
    <t>CN-208-7110</t>
  </si>
  <si>
    <t>CN-211-2560</t>
  </si>
  <si>
    <t>CN-212-3730</t>
  </si>
  <si>
    <t>CN-212-4310</t>
  </si>
  <si>
    <t>CN-206-2770</t>
  </si>
  <si>
    <t>CN-209-2610</t>
  </si>
  <si>
    <t>CN-209-2640</t>
  </si>
  <si>
    <t>CN-209-2470</t>
  </si>
  <si>
    <t>CN-209-2550</t>
  </si>
  <si>
    <t>CN-209-2830</t>
  </si>
  <si>
    <t>CN-214-4670</t>
  </si>
  <si>
    <t>CN-214-4660</t>
  </si>
  <si>
    <t>CN-214-4650</t>
  </si>
  <si>
    <t>CN-217-2620</t>
  </si>
  <si>
    <t>CN-219-1510</t>
  </si>
  <si>
    <t>Area 200 - Install U/G Firewater</t>
  </si>
  <si>
    <t>Area 200 -  Install Revised Potable Water Reroute Spools</t>
  </si>
  <si>
    <t>Area 200 - Install  Firewater Monitors, Valves, Etc...</t>
  </si>
  <si>
    <t>Area 201A - Piperack -  Field Fit-up / Weld-Out Rack Piping</t>
  </si>
  <si>
    <t>Area 201 - Piperack - Field Fit-up / Weld-Out Rack Piping</t>
  </si>
  <si>
    <t>Area 202 - Pipe Install - Area 202 Deethanizer Stripper West Side Area Racks &amp; Tower 208 / HT16.215</t>
  </si>
  <si>
    <t>Area 202 - Pipe Install - Area 202 Refrigeration System Equipment Area</t>
  </si>
  <si>
    <t>Area 202 - PV17.207 Deethanizer Rectifier - Pre-Fab Downcomer Piping</t>
  </si>
  <si>
    <t>Area 202 - PV17.207 Deethanizer Rectifier - Dress-out Downcomer Pipe after Set</t>
  </si>
  <si>
    <t>Area 202 - PV17.207 Deethanizer Rectifier - Install Remaining Piping / Valves</t>
  </si>
  <si>
    <t>Area 202 - Install / Dress-out  Piping - PV17.206  Deethanizer Stripper</t>
  </si>
  <si>
    <t>Area 202 - Install / Dress-out  Piping - PV17.209 Splitter Tower (Section 1)</t>
  </si>
  <si>
    <t>Area 202 - Install / Dress-out  Piping - PV17.209 Splitter Tower (Section 2)</t>
  </si>
  <si>
    <t>Area 202 - Pipe Install - Area 202 Deethanizer Stripper Tower Area (205 Valve Platform to Tower)</t>
  </si>
  <si>
    <t>Area 202 - Pipe Install - Area 202 Pipe rack / HT16.651 A-F Refrigerant Condenser</t>
  </si>
  <si>
    <t>Area 202 - Install Remaining after setting PV17.206 Piping / Valves - Deethanizer Stripper</t>
  </si>
  <si>
    <t>Area 202 - Complete Installation of Piping / Valves on PV17.209 Splitter Tower</t>
  </si>
  <si>
    <t>Area 202 - Install Piping / Valves- Area 202 Splitter Area Base ( HT16.216A/B/C/D)</t>
  </si>
  <si>
    <t>Area 203 - Pipe Install - Area 203 Feed Area</t>
  </si>
  <si>
    <t>Area 203 - Pipe Install - Area 203 Structure D</t>
  </si>
  <si>
    <t>Area 203 - Pipe Install - Area 203 Vessel Reactor &amp; Exchangers</t>
  </si>
  <si>
    <t>Area 203 - Install Large Bore Pipe Below CM12.201 Table Top</t>
  </si>
  <si>
    <t>Area 203 - Pipe Install - Area 203 Solvent Recovery Area</t>
  </si>
  <si>
    <t>Area 203 - Pipe Install - Area 203 Heat Pump Compressor Area West</t>
  </si>
  <si>
    <t>Area 203 -  CM12.201 Install Remaining Compressor Area Piping - CM12.201</t>
  </si>
  <si>
    <t>Area 203 - CM12.201 Install Lube Oil Piping</t>
  </si>
  <si>
    <t>Area 205 - Field Fit-up / Weld-Out Rack Piping West (Column Lines 1-28) (Install)</t>
  </si>
  <si>
    <t>Area 205 - Install / Field Fit-up &amp; Weld-Out Air Cooler Piping</t>
  </si>
  <si>
    <t>Area 207 - Pipe Rack - Install Pipe / Valves in Rack and Weld out</t>
  </si>
  <si>
    <t>Area 207 - Install Piping / Valves and Weld out Ground Level &amp; 115' Elev. under Structure</t>
  </si>
  <si>
    <t>Area 207 - Pipe Installation for 132' elev. to Reactor Set Level 197' &amp; 224' #4 Prior to Reactor Setting Summary</t>
  </si>
  <si>
    <t>Area 207 - HCFE - Install Piping  Prior to HCFE Set overall Summary</t>
  </si>
  <si>
    <t>Area 207 - Elev. 132' Install Piping / Valves and Weld out at Lock Hopper Level</t>
  </si>
  <si>
    <t>Area 207 - Install Horseshoe Large Bore Pipe Prior to Setting Reactors Summary</t>
  </si>
  <si>
    <t>Area 207 - 3rd Level Install Piping / Valves and Weld at Catalyst Collectors Level</t>
  </si>
  <si>
    <t>Area 207 - Elev. 204'  Install Piping / Valves and Weld  at Catalyst Collectors Level</t>
  </si>
  <si>
    <t>Area 207 - Reactors #1 &amp; #2 - Install Remaining Piping / Valves and Weld out in Structure</t>
  </si>
  <si>
    <t>Area 207 - HCFE - Install Piping After to HCFE Set overall Summary</t>
  </si>
  <si>
    <t>Area 207 - Install Vendor Supplied Pipe on Cold Box</t>
  </si>
  <si>
    <t>Area 207 - Overall Large  Bore Pipe Task (Installation Post Reactor Set)</t>
  </si>
  <si>
    <t>Area 207 - Install PV17.121 Structure Piping</t>
  </si>
  <si>
    <t>Area 207 - Install  Cold Box Pipe to Struture / Rack</t>
  </si>
  <si>
    <t>Area 207 - Overall Install Piping above Reactor Head Summary</t>
  </si>
  <si>
    <t>Area 207 - Reactors #3 &amp; #4 - Install Remaining Piping / Valves and Weld out in Structure</t>
  </si>
  <si>
    <t>Area 207 - CCR - Install Ground Level Equipment Piping / Valves and Weldout</t>
  </si>
  <si>
    <t>Area 207 - Install Turboexpanders Piping</t>
  </si>
  <si>
    <t>Area 207 - CCR - Install External Piping / Valves and Weld Lower Levels</t>
  </si>
  <si>
    <t>Area 207 - Install Piping Pumps / Feed Filter / AH-004</t>
  </si>
  <si>
    <t>Area 207 -  Turboexpanders Com. -  Install Lube Oil Piping Turboexpanders</t>
  </si>
  <si>
    <t>Area 207 - CCR - Install External Piping / Valves and Weld Upper Levels</t>
  </si>
  <si>
    <t>Area 207 - Pipe Rack - Install East Loop Pipe / Valves in Rack and Weld out</t>
  </si>
  <si>
    <t>Area 207 - Pipe Rack - Install West Loop Pipe / Valves in Rack and Weld out</t>
  </si>
  <si>
    <t>Area 207 - Reactor / HCFE - Install Remaining Piping / Valves and Weld out</t>
  </si>
  <si>
    <t>Area 208 - Install Area 207 N2 Pipe at Grade</t>
  </si>
  <si>
    <t>Area 208 - HR15.103 Vendor Pipe  - Burner Piping</t>
  </si>
  <si>
    <t>Area 208 - HR15.101 Vendor Pipe  - Burner Piping</t>
  </si>
  <si>
    <t>Area 208 - HR15.104 Vendor Pipe  - Burner Piping</t>
  </si>
  <si>
    <t>Area 208 - HR15.102 Vendor Pipe  - Burner Piping</t>
  </si>
  <si>
    <t>Area 208 - Vendor Pipe HR15.103 - Install  Crossover Piping</t>
  </si>
  <si>
    <t>Area 208 - Vendor Pipe HR15.104 - Install  Crossover Piping</t>
  </si>
  <si>
    <t>Area 208 - Vendor Pipe HR15.101 - Install Crossover Piping</t>
  </si>
  <si>
    <t>Area 208 - Vendor Pipe HR15.102 - Install Crossover Piping</t>
  </si>
  <si>
    <t>Area 208 - Vendor Pipe  HR15.101 - Install Ammonia Piping</t>
  </si>
  <si>
    <t>Area 208 - Vendor Pipe HR15.102 - Install Ammonia Piping</t>
  </si>
  <si>
    <t>Area 208 - Pipe HR15.104 - Install Utility Piping</t>
  </si>
  <si>
    <t>Area 208 - Pipe HR15.103 - Install Utility Piping</t>
  </si>
  <si>
    <t>Area 208 - HR15.102 - Install Utility Piping</t>
  </si>
  <si>
    <t>Area 208 - Vendor Pipe 208 HR15.103 - Install Ammonia Piping</t>
  </si>
  <si>
    <t>Area 208 - Vendor Pipe 208 HR15.104 - Install Ammonia Piping</t>
  </si>
  <si>
    <t>Area 208 - Install Rack Piping</t>
  </si>
  <si>
    <t>Area 208 - HR15.101 - Install Utility Piping</t>
  </si>
  <si>
    <t>Area 211 - Load East Piperack Piping</t>
  </si>
  <si>
    <t>Area 211 - Pipe Dress Out PV17.212- Area 211</t>
  </si>
  <si>
    <t>Area 211 - Pipe Install - Area 211 Coalescer Area (South)</t>
  </si>
  <si>
    <t>Area 211 - Pipe Install - Area 211 Caustic Area</t>
  </si>
  <si>
    <t>Area 211 - Pipe Install - Area 211 Debutanizer (North) Area</t>
  </si>
  <si>
    <t>Area 211 - Pipe Install - Area 211 Wash Water Pumps / Caustic Circulation Pumps  Area (North)</t>
  </si>
  <si>
    <t>Area 211 - Pipe Install - Area 211 Heater / Regen KO Drum Area (South)</t>
  </si>
  <si>
    <t>Area 211 - Field Fit-up / Weld-Out Rack Piping</t>
  </si>
  <si>
    <t>Area 211 - Install / Dress-out  PV17.112 - Piping</t>
  </si>
  <si>
    <t>Area 212 - Install DU22.101 A Piping / Valves - Reactor Effluent Dryers</t>
  </si>
  <si>
    <t>Area 212 - Install DU22.101 B Piping / Valves - Reactor Effluent Dryers</t>
  </si>
  <si>
    <t>Area 212 - Install PV17.109 - Piping / Valves - Chloride Treater</t>
  </si>
  <si>
    <t>Area 212 - PV17.107 - Reactor Effluent Compressor Interstage Contact Cooler - Install Piping / Valves</t>
  </si>
  <si>
    <t>Area 212 - CM12 102 Erect Large Bore Below Table Top (212-12001 &amp; 120021)</t>
  </si>
  <si>
    <t>Area 212 - CM12 102 Install Large Bore Spools(2) to Compressor (212-12001 &amp; 120021)</t>
  </si>
  <si>
    <t>Area 212 - Install Piping - CM12.101 - Piping / Valves - Containment / LO / Sump Pump Piping Area</t>
  </si>
  <si>
    <t>Area 212 - CM12.101 Reactor Effluent Compressor 1st Stage - Install Large Bore Pipe Below Table Top (11810)</t>
  </si>
  <si>
    <t>Area 212 - Field Fit-up / Weld-Out Rack Piping</t>
  </si>
  <si>
    <t>Area 212 - Install Piping - CM12.102 - Piping / Valves - Containment / LO / Sump Pump Piping Area</t>
  </si>
  <si>
    <t>Area 212 - Pipe Install - Area 212 Circulation Pump PM18.103 Area</t>
  </si>
  <si>
    <t>Area 212 - Pipe Install - Area 212 Solvent Circulation Pumps Area PM18.102A/B/C</t>
  </si>
  <si>
    <t>Area 212 - CM12.101 Reactor Effluent Compressor 1st Stage - Install Large Bore Spools(3) to Compressor (11810 / 11810)</t>
  </si>
  <si>
    <t>Area 212 - Install Pipe for PV17.106 &amp; 212 Compr. 1 RV Platform Structure (Compressor Piping and Grade Level)</t>
  </si>
  <si>
    <t>Area 212 - Install Piping - PV17.106 Reactor Effluent Contact Cooler - Piping / Valves</t>
  </si>
  <si>
    <t>Area 212 - CM12 102 Install Compressor Piping</t>
  </si>
  <si>
    <t>Area 212 - Cooler Tie-In and Piping above Cable Tray</t>
  </si>
  <si>
    <t>Pipe Install / Alignment for - Area 212 Solvent Circulation Pumps Area PM18.102A/B/C (11501 / 11502 / 11503 / 11504)</t>
  </si>
  <si>
    <t>Area 212 - CM12 102 Install Lube Oil Piping</t>
  </si>
  <si>
    <t>Area 212 - Install PV17.109 - Piping / Valves on Pipe Rack 201 Valve Platform - Chloride Treater</t>
  </si>
  <si>
    <t>Area 212 - CM12.101 Reactor Effluent Compressor 1st Stage - Install Lube Oil Piping **********</t>
  </si>
  <si>
    <t>Area 213 - Pipe Install - Area 213 Depropanizer (South) Area</t>
  </si>
  <si>
    <t>Area 213 - Pipe Install - Area 213 Depropanizer (North) Area</t>
  </si>
  <si>
    <t>Area 213 - PV17.204 Depropanizer - Install / Dress-out Piping</t>
  </si>
  <si>
    <t>Area 204 - Pipe Install - Area 204 Pipe Rack (West)</t>
  </si>
  <si>
    <t>Area 204 - Pipe Install - Area 204 Caustic Storage Area</t>
  </si>
  <si>
    <t>Area 204 - Pipe Install - Area 204 Raw Water Area</t>
  </si>
  <si>
    <t>Area 204 - Pipe Install - Area 204 Process Water</t>
  </si>
  <si>
    <t>Area 204 - Install  UG Pipe for WS24.831 - Raw Water Clarifier</t>
  </si>
  <si>
    <t>Area 204 - Pipe Install - Area 204 Instrument Air Area</t>
  </si>
  <si>
    <t>Area 204 - Pipe Install - Area 204 Clarified Water Tank &amp; Pumps</t>
  </si>
  <si>
    <t>Area 204 - Pipe Install - Area 204 Sludge Thickener Area</t>
  </si>
  <si>
    <t>Area 206 - Pipe Install - Area 206 KO Drum Area &amp; Finger Racks</t>
  </si>
  <si>
    <t>Area 206 - Pipe Install - Area 206 KO Drum Area</t>
  </si>
  <si>
    <t>Area 206 - Field Fit-up / Weld-Out Rack Piping -  Area 206 Flare Rack</t>
  </si>
  <si>
    <t>Area 206 - Connect / Install Lube Oil spools on Skid(Cooler to Compressor) - Ethane Compressor Area</t>
  </si>
  <si>
    <t>Area 206 - Pipe Install - Ethane Compressor Area</t>
  </si>
  <si>
    <t>Area 206 - Pipe Install Bridge Area - Area 206 Flare Pipe Rack</t>
  </si>
  <si>
    <t>Area 209 - Install Pipe - Load Pipe in Rack</t>
  </si>
  <si>
    <t>Area 209 - Pipe Install - Area 209 Cooler Structure</t>
  </si>
  <si>
    <t>Area 209 - Pipe Install - Area 209 Hot Oil Storage Area / Ammonia Pump / Unloading Skid Area - Finger Rack</t>
  </si>
  <si>
    <t>Area 209 - Pipe Install - Area 209 Hot Oil Heater Area (Blower / Fans / Heater)</t>
  </si>
  <si>
    <t>Area 209 - HR15.601 - Install, Weld and NDE Inlet &amp; Outlet pipes (Vendor Supply)</t>
  </si>
  <si>
    <t>Area 209 - HR15.601 - Install Crossover piping`(Vendor Supply)</t>
  </si>
  <si>
    <t>Area 209 - Install Piping - Install Burner Piping &amp; Supports`(Vendor Supply)</t>
  </si>
  <si>
    <t>Area 209 - Pipe Install - Area 209 Hot Oil Drum Area</t>
  </si>
  <si>
    <t>Area 209 - Install Piping - HR15.601 Area (Heater Burner Pipimg)</t>
  </si>
  <si>
    <t>Area 209 - Pipe Install - Hot Oil Pump Alignment (60102-02 / 60102-02 / 60103-04 / 60104-01 / 60105-01 / 60113-03)</t>
  </si>
  <si>
    <t>Area 209 - Pipe Install - Area 209 Chlorine Storage Area</t>
  </si>
  <si>
    <t>Area 210 - Pipe Install - Area 210 Process Waste Water / Propane Feed Filter Area</t>
  </si>
  <si>
    <t>Area 210 - Pipe Install - Area 210 Fuel Gas Area</t>
  </si>
  <si>
    <t>Area 210 - Pipe Install - Area 210 Solvent Area</t>
  </si>
  <si>
    <t>Area 210 - Pipe Install - Area 210 Sulfur Area</t>
  </si>
  <si>
    <t>Area 214 - Pipe Install / Load in rack - Area 214 Piperack</t>
  </si>
  <si>
    <t>Area 214 - Pipe Install - Area 214 HT16.211 WSAC 8-Cell Spray Water Pumps Area (West Side)</t>
  </si>
  <si>
    <t>Area 214 - Pipe Install - Area 214 Reactor Effluent Compressor Discharge Area (PV17.108)</t>
  </si>
  <si>
    <t>Area 214 - Pipe Install - Area 214 Modular Cooling Tower Area</t>
  </si>
  <si>
    <t>Area 214 - Pipe Install - Area 214 WSAC 4-Cell South Finger Rack</t>
  </si>
  <si>
    <t>Area 214 - Pipe Install - Area 214 HT16.102 WSAC 4-Cell Area</t>
  </si>
  <si>
    <t>Area 214 - Pipe Install - Area 214 WSAC 4-Cell West Finger Rack</t>
  </si>
  <si>
    <t>Area 214 - Pipe Install - Area 214 Modular Cooling Tower Chem Treat Area</t>
  </si>
  <si>
    <t>Area 214 - Install PSV's on valve structure</t>
  </si>
  <si>
    <t>Area 214 - Pipe Install - Area 214 WSAC 4-Cell Chem Treat Area</t>
  </si>
  <si>
    <t>Area 214 - Pipe Install - Area 214 - HT16.211WSAC 8-Cell Area *</t>
  </si>
  <si>
    <t>Area 214 - Pipe Install - Area 214 WSAC 8-Cell Chem Treat Area</t>
  </si>
  <si>
    <t>215 - Pipe Install - Area 215 Meter Skid Area</t>
  </si>
  <si>
    <t>Area 216 - Field Fit-up / Weld-Out Rack Piping  Battery Limit Pipe Rack</t>
  </si>
  <si>
    <t>Area 217 - Install Piping / Valves and Weld out from Building to Rack PCR#1</t>
  </si>
  <si>
    <t>Area 217 - Install Piping Area 217 Electrical Pipe Rack</t>
  </si>
  <si>
    <t>Area 217 - Install Piping / Valves and Weld Out from Building to Rack PCR#2</t>
  </si>
  <si>
    <t>Area 217 - Install Piping / Valves and Weld Out from Building to Rack PCR#3</t>
  </si>
  <si>
    <t>Area 217 - Install Piping / Valves and Weld Out from PKG-SE29.911 - Chlorine Scavenger Skid to Rack</t>
  </si>
  <si>
    <t>Area 218 - Pipe Install - Area 218</t>
  </si>
  <si>
    <t>Area 219 - Pipe Install - Area 219 South Pond Area (Potable Water)  ****************</t>
  </si>
  <si>
    <t>Area 219 - Pipe Install - Area 219 South Pond Area (Pipe Rack and Equipment)</t>
  </si>
  <si>
    <t>SUPERVISOR</t>
  </si>
  <si>
    <t>AREA DESCRIPTION</t>
  </si>
  <si>
    <t>TOTAL
HOUR'S</t>
  </si>
  <si>
    <t>EARNED
HOUR'S</t>
  </si>
  <si>
    <t>TOTAL
 QTY'S</t>
  </si>
  <si>
    <t>EARNED 
ERECTED
  AG QTY'S</t>
  </si>
  <si>
    <t>LEFT 
QTY'S</t>
  </si>
  <si>
    <t>TOTAL SPOOLS
IN AUDIT</t>
  </si>
  <si>
    <t>SPOOLS
REC'V</t>
  </si>
  <si>
    <t>% SPOOLS
REC'V</t>
  </si>
  <si>
    <t>SPOOLS
ERECTED</t>
  </si>
  <si>
    <t>SPOOLS
NOT ON
SITE</t>
  </si>
  <si>
    <t>SPOOLS LEFT
TO ERECT</t>
  </si>
  <si>
    <t>TOTAL
CONST. WHRS</t>
  </si>
  <si>
    <t>EARNED
CONST. WHRS</t>
  </si>
  <si>
    <t>REMAINING
CONST. WHRS</t>
  </si>
  <si>
    <t>ISO
COUNT</t>
  </si>
  <si>
    <t>ISOs AT "F"</t>
  </si>
  <si>
    <t>ISOs AT "QC"</t>
  </si>
  <si>
    <t>ISOs AT "RF"</t>
  </si>
  <si>
    <t>ISO'S AT "O"</t>
  </si>
  <si>
    <t>ISO's
SIGNED-OFF</t>
  </si>
  <si>
    <t>REMAINING ISOs</t>
  </si>
  <si>
    <t>FITTERS</t>
  </si>
  <si>
    <t>HELPERS</t>
  </si>
  <si>
    <t>WELDERS</t>
  </si>
  <si>
    <t>STR-
WELDERS</t>
  </si>
  <si>
    <t>Comments</t>
  </si>
  <si>
    <t>Reforcasted</t>
  </si>
  <si>
    <t>ISBL Period</t>
  </si>
  <si>
    <t>ISBL To-Date</t>
  </si>
  <si>
    <t>ISBL To-Date Hrs</t>
  </si>
  <si>
    <t>FTE</t>
  </si>
  <si>
    <t>OSBL Period</t>
  </si>
  <si>
    <t>OSBL To-Date</t>
  </si>
  <si>
    <t>OSBL To-Date Hrs</t>
  </si>
  <si>
    <t>Total Period</t>
  </si>
  <si>
    <t>Total To-Date</t>
  </si>
  <si>
    <t>Total To-Date Hrs</t>
  </si>
  <si>
    <t>Date</t>
  </si>
  <si>
    <t>FCO Work</t>
  </si>
  <si>
    <t>WEEKLY EI</t>
  </si>
  <si>
    <t>ADDED THIS ROW JUST TO COUNT THE FITTER ON P.P.</t>
  </si>
  <si>
    <t>DELTA % COMPLETE</t>
  </si>
  <si>
    <t>OVER-ALL DELTA</t>
  </si>
  <si>
    <t>ACTUAL MANPOWER 50 HR</t>
  </si>
  <si>
    <t>DELTA</t>
  </si>
  <si>
    <t>TOTAL PIPE DEPT MANPOWER</t>
  </si>
  <si>
    <t>FIREWATER</t>
  </si>
  <si>
    <t>ON HOLD COLD BOX SET</t>
  </si>
  <si>
    <t>08111P</t>
  </si>
  <si>
    <t>08112P</t>
  </si>
  <si>
    <t>08113P</t>
  </si>
  <si>
    <t>08121P</t>
  </si>
  <si>
    <t>08122P</t>
  </si>
  <si>
    <t>08123P</t>
  </si>
  <si>
    <t>08211P</t>
  </si>
  <si>
    <t>08212P</t>
  </si>
  <si>
    <t>08213P</t>
  </si>
  <si>
    <t>08221P</t>
  </si>
  <si>
    <t>08222P</t>
  </si>
  <si>
    <t>08223P</t>
  </si>
  <si>
    <t>08231P</t>
  </si>
  <si>
    <t>08310P</t>
  </si>
  <si>
    <t>08312P</t>
  </si>
  <si>
    <t>08313P</t>
  </si>
  <si>
    <t>08500P</t>
  </si>
  <si>
    <t xml:space="preserve">                                                                                      </t>
  </si>
  <si>
    <t>Week -Ending Spools Erected</t>
  </si>
  <si>
    <t>Weekly Spools Erected</t>
  </si>
  <si>
    <t>Week Ending ERECTED  AG QTY'S</t>
  </si>
  <si>
    <t>Weekly ERECTED  AG QTY'S</t>
  </si>
  <si>
    <t>copy paste special</t>
  </si>
  <si>
    <t xml:space="preserve"> TOTAL
CONSTRUCTION
QTYS</t>
  </si>
  <si>
    <t xml:space="preserve"> EARNED
CONSTRUCTION
QTYS</t>
  </si>
  <si>
    <t>REMAINING CONSTRUCTION QTYS</t>
  </si>
  <si>
    <t>REMAINING
CONST. QTYS</t>
  </si>
  <si>
    <t>REMAINING
CONST. UNIT RATE</t>
  </si>
  <si>
    <t>SPOOLS</t>
  </si>
  <si>
    <t>ISO SIGN OFFS WITH TEST PACKAGES</t>
  </si>
  <si>
    <t xml:space="preserve">  </t>
  </si>
  <si>
    <t>Mech. Sell Off</t>
  </si>
  <si>
    <t>110-4</t>
  </si>
  <si>
    <t>110-1</t>
  </si>
  <si>
    <t>110-7</t>
  </si>
  <si>
    <t>110-6.12</t>
  </si>
  <si>
    <t>110-6.1</t>
  </si>
  <si>
    <t>110-6.7</t>
  </si>
  <si>
    <t>110-6.5</t>
  </si>
  <si>
    <t>110-6.4</t>
  </si>
  <si>
    <t>110-6.2</t>
  </si>
  <si>
    <t>110-6.9</t>
  </si>
  <si>
    <t>110-6.8</t>
  </si>
  <si>
    <t>110-6.6</t>
  </si>
  <si>
    <t>110-3</t>
  </si>
  <si>
    <t>110-6.10</t>
  </si>
  <si>
    <t>110-6.3</t>
  </si>
  <si>
    <t>110-5</t>
  </si>
  <si>
    <t>110-2</t>
  </si>
  <si>
    <t>110-6.13</t>
  </si>
  <si>
    <t>120-DR-590-SHT01</t>
  </si>
  <si>
    <t>CN-2760</t>
  </si>
  <si>
    <t>08331</t>
  </si>
  <si>
    <t>DR</t>
  </si>
  <si>
    <t>DRAINS DRR DRIPS RETURN</t>
  </si>
  <si>
    <t>120-DR-590-SHT01-1</t>
  </si>
  <si>
    <t>02</t>
  </si>
  <si>
    <t>01HDPE</t>
  </si>
  <si>
    <t>Erect</t>
  </si>
  <si>
    <t>Bob</t>
  </si>
  <si>
    <t>N/A</t>
  </si>
  <si>
    <t>120-DR-590-SHT02</t>
  </si>
  <si>
    <t>120-DR-590-SHT02-1</t>
  </si>
  <si>
    <t>Jose</t>
  </si>
  <si>
    <t>120-DR-591-SHT01</t>
  </si>
  <si>
    <t>120-DR-591-SHT01-1</t>
  </si>
  <si>
    <t>Juan</t>
  </si>
  <si>
    <t>120-DR-591-SHT02</t>
  </si>
  <si>
    <t>120-DR-591-SHT02-1</t>
  </si>
  <si>
    <t>Jerry</t>
  </si>
  <si>
    <t>120-GTD-501-SHT01</t>
  </si>
  <si>
    <t>CN-2880</t>
  </si>
  <si>
    <t>GTD</t>
  </si>
  <si>
    <t>GAS TURBINE DRAINS</t>
  </si>
  <si>
    <t>120-GTD-501-SHT01-1</t>
  </si>
  <si>
    <t>PI-401-002</t>
  </si>
  <si>
    <t>Sandra</t>
  </si>
  <si>
    <t>08332</t>
  </si>
  <si>
    <t>120-GTD-501-SHT01-2</t>
  </si>
  <si>
    <t>06</t>
  </si>
  <si>
    <t>120-GTD-501-SHT02</t>
  </si>
  <si>
    <t>120-GTD-501-SHT02-1</t>
  </si>
  <si>
    <t>120-GTD-501-SHT03</t>
  </si>
  <si>
    <t>120-GTD-501-SHT03-1</t>
  </si>
  <si>
    <t>120-GTD-519-SHT01</t>
  </si>
  <si>
    <t>120-GTD-519-SHT01-1</t>
  </si>
  <si>
    <t>120-GTD-519-SHT01-2</t>
  </si>
  <si>
    <t>120-GTD-519-SHT02</t>
  </si>
  <si>
    <t>120-GTD-519-SHT02-1</t>
  </si>
  <si>
    <t>120-GTD-519-SHT03</t>
  </si>
  <si>
    <t>120-GTD-519-SHT03-1</t>
  </si>
  <si>
    <t>120-GTD-537-SHT01</t>
  </si>
  <si>
    <t>120-GTD-537-SHT01-1</t>
  </si>
  <si>
    <t>120-GTD-537-SHT01-2</t>
  </si>
  <si>
    <t>120-GTD-537-SHT02</t>
  </si>
  <si>
    <t>120-GTD-537-SHT02-1</t>
  </si>
  <si>
    <t>120-GTD-537-SHT03</t>
  </si>
  <si>
    <t>120-GTD-537-SHT03-1</t>
  </si>
  <si>
    <t>120-GTD-537-SHT04</t>
  </si>
  <si>
    <t>120-GTD-537-SHT04-1</t>
  </si>
  <si>
    <t>120-IA-1210-SHT01</t>
  </si>
  <si>
    <t>CN-2910</t>
  </si>
  <si>
    <t>08211</t>
  </si>
  <si>
    <t>IA</t>
  </si>
  <si>
    <t>INSTRUMENT AIR</t>
  </si>
  <si>
    <t>120-IA-1210-SHT01-1</t>
  </si>
  <si>
    <t>01CS150</t>
  </si>
  <si>
    <t>Supts</t>
  </si>
  <si>
    <t>Punch</t>
  </si>
  <si>
    <t>PI-401-003</t>
  </si>
  <si>
    <t>CTCE1000-D014</t>
  </si>
  <si>
    <t>120-IA-1210-SHT02</t>
  </si>
  <si>
    <t>120-IA-1210-SHT02-1</t>
  </si>
  <si>
    <t>120-IA-1210-SHT03</t>
  </si>
  <si>
    <t>120-IA-1210-SHT03-1</t>
  </si>
  <si>
    <t>120-IA-1210-SHT04</t>
  </si>
  <si>
    <t>120-IA-1210-SHT04-1</t>
  </si>
  <si>
    <t>120-IA-1210-SHT05</t>
  </si>
  <si>
    <t>120-IA-1210-SHT05-1</t>
  </si>
  <si>
    <t>120-IA-1230-SHT01</t>
  </si>
  <si>
    <t>120-IA-1230-SHT01-1</t>
  </si>
  <si>
    <t>120-IA-1230-SHT02</t>
  </si>
  <si>
    <t>120-IA-1230-SHT02-1</t>
  </si>
  <si>
    <t>120-IA-1230-SHT03</t>
  </si>
  <si>
    <t>120-IA-1230-SHT03-1</t>
  </si>
  <si>
    <t>120-IA-1230-SHT04</t>
  </si>
  <si>
    <t>120-IA-1230-SHT04-1</t>
  </si>
  <si>
    <t>120-IA-1230-SHT05</t>
  </si>
  <si>
    <t>120-IA-1230-SHT05-1</t>
  </si>
  <si>
    <t>120-GCW-802-SHT01</t>
  </si>
  <si>
    <t>CN-2850</t>
  </si>
  <si>
    <t>GCW</t>
  </si>
  <si>
    <t>GLYCOL COOLING WATER</t>
  </si>
  <si>
    <t>120-GCW-802-SHT01-1</t>
  </si>
  <si>
    <t>120-GCW-802-SHT02</t>
  </si>
  <si>
    <t>120-GCW-802-SHT02-1</t>
  </si>
  <si>
    <t>08</t>
  </si>
  <si>
    <t>120-IA-1227-SHT01</t>
  </si>
  <si>
    <t>120-IA-1227-SHT01-1</t>
  </si>
  <si>
    <t>PI-401-004</t>
  </si>
  <si>
    <t>120-IA-1227-SHT02</t>
  </si>
  <si>
    <t>120-IA-1227-SHT02-1</t>
  </si>
  <si>
    <t>120-IA-1227-SHT03</t>
  </si>
  <si>
    <t>120-IA-1227-SHT03-1</t>
  </si>
  <si>
    <t>120-IA-1227-SHT04</t>
  </si>
  <si>
    <t>120-IA-1227-SHT04-1</t>
  </si>
  <si>
    <t>120-DR-587-SHT01</t>
  </si>
  <si>
    <t>120-DR-587-SHT01-1</t>
  </si>
  <si>
    <t>120-DR-587-SHT02</t>
  </si>
  <si>
    <t>120-DR-587-SHT02-1</t>
  </si>
  <si>
    <t>120-NH3-2103-SHT01</t>
  </si>
  <si>
    <t>CN-2970</t>
  </si>
  <si>
    <t>NH3</t>
  </si>
  <si>
    <t>AMMONIA</t>
  </si>
  <si>
    <t>120-NH3-2103-SHT01-1</t>
  </si>
  <si>
    <t>03</t>
  </si>
  <si>
    <t>PI-401-001</t>
  </si>
  <si>
    <t>120-NH3-2103-SHT02</t>
  </si>
  <si>
    <t>120-NH3-2103-SHT02-1</t>
  </si>
  <si>
    <t>120-NH3-2103-SHT03</t>
  </si>
  <si>
    <t>120-NH3-2103-SHT03-1</t>
  </si>
  <si>
    <t>120-PW-1920-SHT01</t>
  </si>
  <si>
    <t>PW</t>
  </si>
  <si>
    <t>POTABLE WATER</t>
  </si>
  <si>
    <t>120-PW-1920-SHT01-1</t>
  </si>
  <si>
    <t>01.5</t>
  </si>
  <si>
    <t>120-PW-1920-SHT02</t>
  </si>
  <si>
    <t>120-PW-1920-SHT02-1</t>
  </si>
  <si>
    <t>120-PW-1920-SHT03</t>
  </si>
  <si>
    <t>120-PW-1920-SHT03-1</t>
  </si>
  <si>
    <t>120-DR-565-SHT01</t>
  </si>
  <si>
    <t>120-DR-565-SHT01-1</t>
  </si>
  <si>
    <t>120-DR-588-SHT01</t>
  </si>
  <si>
    <t>120-DR-588-SHT01-1</t>
  </si>
  <si>
    <t>120-DR-594-SHT01</t>
  </si>
  <si>
    <t>120-DR-594-SHT01-1</t>
  </si>
  <si>
    <t>120-DR-595-SHT01</t>
  </si>
  <si>
    <t>120-DR-595-SHT01-1</t>
  </si>
  <si>
    <t>120-DW-1727-SHT01</t>
  </si>
  <si>
    <t>CN-2790</t>
  </si>
  <si>
    <t>DW</t>
  </si>
  <si>
    <t>DEMIN WATER</t>
  </si>
  <si>
    <t>120-DW-1727-SHT01-1</t>
  </si>
  <si>
    <t>120-FG-200-SHT02</t>
  </si>
  <si>
    <t>CN-2820</t>
  </si>
  <si>
    <t>08212</t>
  </si>
  <si>
    <t>FG</t>
  </si>
  <si>
    <t>FUEL GAS</t>
  </si>
  <si>
    <t>120-FG-200-SHT02-1</t>
  </si>
  <si>
    <t>10</t>
  </si>
  <si>
    <t>01CS300</t>
  </si>
  <si>
    <t>120-FG-203-SHT3</t>
  </si>
  <si>
    <t>120-FG-203-SHT3-1</t>
  </si>
  <si>
    <t>120-FG-211-SHT02</t>
  </si>
  <si>
    <t>120-FG-211-SHT02-1</t>
  </si>
  <si>
    <t>120-FG-219-SHT01</t>
  </si>
  <si>
    <t>120-FG-219-SHT01-1</t>
  </si>
  <si>
    <t>120-FG-227-SHT01</t>
  </si>
  <si>
    <t>120-FG-227-SHT01-1</t>
  </si>
  <si>
    <t>01CS600</t>
  </si>
  <si>
    <t>120-GCW-805-SHT01</t>
  </si>
  <si>
    <t>120-GCW-805-SHT01-1</t>
  </si>
  <si>
    <t>120-GCW-808-SHT01</t>
  </si>
  <si>
    <t>120-GCW-808-SHT01-1</t>
  </si>
  <si>
    <t>120-GCW-810-SHT01</t>
  </si>
  <si>
    <t>120-GCW-810-SHT01-1</t>
  </si>
  <si>
    <t>120-GCW-813-SHT01</t>
  </si>
  <si>
    <t>120-GCW-813-SHT01-1</t>
  </si>
  <si>
    <t>120-GCW-816-SHT01</t>
  </si>
  <si>
    <t>120-GCW-816-SHT01-1</t>
  </si>
  <si>
    <t>120-GCW-818-SHT01</t>
  </si>
  <si>
    <t>120-GCW-818-SHT01-1</t>
  </si>
  <si>
    <t>120-GCW-821-SHT01</t>
  </si>
  <si>
    <t>120-GCW-821-SHT01-1</t>
  </si>
  <si>
    <t>120-GCW-824-SHT01</t>
  </si>
  <si>
    <t>120-GCW-824-SHT01-1</t>
  </si>
  <si>
    <t>120-IA-1212-SHT01</t>
  </si>
  <si>
    <t>120-IA-1212-SHT01-1</t>
  </si>
  <si>
    <t>120-IA-1213-SHT01</t>
  </si>
  <si>
    <t>120-IA-1213-SHT01-1</t>
  </si>
  <si>
    <t>120-IA-1229-SHT01</t>
  </si>
  <si>
    <t>120-IA-1229-SHT01-1</t>
  </si>
  <si>
    <t>120-IA-1421-SHT01</t>
  </si>
  <si>
    <t>120-IA-1421-SHT01-1</t>
  </si>
  <si>
    <t>01</t>
  </si>
  <si>
    <t>120-IA-1422-SHT01</t>
  </si>
  <si>
    <t>120-IA-1422-SHT01-1</t>
  </si>
  <si>
    <t>120-IA-1423-SHT01</t>
  </si>
  <si>
    <t>120-IA-1423-SHT01-1</t>
  </si>
  <si>
    <t>120-NH3-2105-SHT01</t>
  </si>
  <si>
    <t>120-NH3-2105-SHT01-1</t>
  </si>
  <si>
    <t>120-NH3-2107-SHT01</t>
  </si>
  <si>
    <t>120-NH3-2107-SHT01-1</t>
  </si>
  <si>
    <t>120-PW-1909-SHT01</t>
  </si>
  <si>
    <t>120-PW-1909-SHT01-1</t>
  </si>
  <si>
    <t>120-PW-1911-SHT01</t>
  </si>
  <si>
    <t>120-PW-1911-SHT01-1</t>
  </si>
  <si>
    <t>120-PW-1913-SHT01</t>
  </si>
  <si>
    <t>120-PW-1913-SHT01-1</t>
  </si>
  <si>
    <t>120-PW-1915-SHT01</t>
  </si>
  <si>
    <t>120-PW-1915-SHT01-1</t>
  </si>
  <si>
    <t>120-SW-1002-SHT01</t>
  </si>
  <si>
    <t>CN-3000</t>
  </si>
  <si>
    <t>SW</t>
  </si>
  <si>
    <t>SERVICE WATER</t>
  </si>
  <si>
    <t>120-SW-1002-SHT01-1</t>
  </si>
  <si>
    <t>P02.03-PP-120-ISO-00057-01</t>
  </si>
  <si>
    <t>CN-3030</t>
  </si>
  <si>
    <t>P02.03-PP-120-ISO-00057-01-1</t>
  </si>
  <si>
    <t>P02.03-PP-120-ISO-00057-01-2</t>
  </si>
  <si>
    <t>P02.03-PP-120-ISO-00058-01</t>
  </si>
  <si>
    <t>P02.03-PP-120-ISO-00058-01-1</t>
  </si>
  <si>
    <t>P02.03-PP-120-ISO-00058-01-2</t>
  </si>
  <si>
    <t>120-IA-1219-SHT01</t>
  </si>
  <si>
    <t>120-IA-1219-SHT01-1</t>
  </si>
  <si>
    <t>120-IA-1220-SHT01</t>
  </si>
  <si>
    <t>120-IA-1220-SHT01-1</t>
  </si>
  <si>
    <t>120-NH3-2100-SHT02</t>
  </si>
  <si>
    <t>120-NH3-2100-SHT02-1</t>
  </si>
  <si>
    <t>120-NH3-2100-SHT01</t>
  </si>
  <si>
    <t>120-NH3-2100-SHT01-1</t>
  </si>
  <si>
    <t xml:space="preserve">Week Ending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</si>
</sst>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  <numFmt numFmtId="167" formatCode="d\-mmm\-yy;@"/>
    <numFmt numFmtId="168" formatCode="0.0000000000000"/>
    <numFmt numFmtId="169" formatCode="m/d/yy;@"/>
  </numFmts>
  <fonts count="16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sz val="12"/>
      <name val="Arial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b/>
      <sz val="10"/>
      <color indexed="8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20"/>
      <name val="Arial"/>
      <family val="2"/>
    </font>
    <font>
      <b/>
      <sz val="10"/>
      <name val="Bookman Old Style"/>
      <family val="1"/>
    </font>
    <font>
      <b/>
      <i/>
      <sz val="10"/>
      <color indexed="9"/>
      <name val="Arial"/>
      <family val="2"/>
    </font>
    <font>
      <b/>
      <sz val="10"/>
      <color indexed="17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b/>
      <sz val="12"/>
      <color indexed="10"/>
      <name val="Arial"/>
      <family val="2"/>
    </font>
    <font>
      <b/>
      <sz val="12"/>
      <name val="Bookman Old Style"/>
      <family val="1"/>
    </font>
    <font>
      <b/>
      <sz val="14"/>
      <name val="Arial"/>
      <family val="2"/>
    </font>
    <font>
      <b/>
      <sz val="12"/>
      <color indexed="8"/>
      <name val="Arial"/>
      <family val="2"/>
    </font>
    <font>
      <b/>
      <sz val="14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4"/>
      <color indexed="10"/>
      <name val="Bookman Old Style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Arial"/>
      <family val="2"/>
    </font>
    <font>
      <b/>
      <sz val="24"/>
      <color rgb="FFFF0000"/>
      <name val="Arial"/>
      <family val="2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2"/>
      <name val="Bookman Old Style"/>
      <family val="1"/>
    </font>
    <font>
      <b/>
      <i/>
      <sz val="12"/>
      <name val="Bookman Old Style"/>
      <family val="1"/>
    </font>
    <font>
      <sz val="18"/>
      <color theme="3"/>
      <name val="Cambria"/>
      <family val="2"/>
      <scheme val="major"/>
    </font>
    <font>
      <b/>
      <sz val="11"/>
      <color rgb="FFFF0000"/>
      <name val="Arial"/>
      <family val="2"/>
    </font>
    <font>
      <b/>
      <sz val="18"/>
      <color indexed="10"/>
      <name val="Arial"/>
      <family val="2"/>
    </font>
    <font>
      <b/>
      <sz val="13"/>
      <color indexed="8"/>
      <name val="Arial"/>
      <family val="2"/>
    </font>
    <font>
      <b/>
      <sz val="18"/>
      <color rgb="FF005426"/>
      <name val="Arial"/>
      <family val="2"/>
    </font>
    <font>
      <b/>
      <sz val="10"/>
      <color rgb="FF005426"/>
      <name val="Arial"/>
      <family val="2"/>
    </font>
    <font>
      <b/>
      <sz val="14"/>
      <color rgb="FF005426"/>
      <name val="Arial"/>
      <family val="2"/>
    </font>
    <font>
      <b/>
      <sz val="14"/>
      <color rgb="FFFF0000"/>
      <name val="Arial"/>
      <family val="2"/>
    </font>
    <font>
      <b/>
      <sz val="14"/>
      <color theme="0"/>
      <name val="Arial"/>
      <family val="2"/>
    </font>
    <font>
      <b/>
      <sz val="14"/>
      <color rgb="FF00B050"/>
      <name val="Bookman Old Style"/>
      <family val="1"/>
    </font>
    <font>
      <b/>
      <sz val="14"/>
      <color theme="1"/>
      <name val="Arial"/>
      <family val="2"/>
    </font>
    <font>
      <b/>
      <sz val="14"/>
      <color indexed="8"/>
      <name val="Arial"/>
      <family val="2"/>
    </font>
    <font>
      <b/>
      <sz val="14"/>
      <color indexed="10"/>
      <name val="Arial"/>
      <family val="2"/>
    </font>
    <font>
      <b/>
      <sz val="18"/>
      <color rgb="FF00FF00"/>
      <name val="Arial"/>
      <family val="2"/>
    </font>
    <font>
      <sz val="10"/>
      <color rgb="FF00FF00"/>
      <name val="Arial"/>
      <family val="2"/>
    </font>
    <font>
      <sz val="18"/>
      <name val="Cambria"/>
      <family val="1"/>
    </font>
    <font>
      <sz val="12"/>
      <color indexed="8"/>
      <name val="Arial"/>
      <family val="2"/>
    </font>
    <font>
      <b/>
      <i/>
      <u/>
      <sz val="30"/>
      <name val="Bookman Old Style"/>
      <family val="1"/>
    </font>
    <font>
      <sz val="11"/>
      <color rgb="FF9C5700"/>
      <name val="Calibri"/>
      <family val="2"/>
      <scheme val="minor"/>
    </font>
    <font>
      <b/>
      <u/>
      <sz val="14"/>
      <color theme="1"/>
      <name val="Arial"/>
      <family val="2"/>
    </font>
    <font>
      <b/>
      <sz val="22"/>
      <color rgb="FF008000"/>
      <name val="Arial"/>
      <family val="2"/>
    </font>
    <font>
      <sz val="10"/>
      <color theme="0"/>
      <name val="Arial"/>
      <family val="2"/>
    </font>
    <font>
      <sz val="12"/>
      <color theme="0"/>
      <name val="Bookman Old Style"/>
      <family val="1"/>
    </font>
    <font>
      <b/>
      <sz val="18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14"/>
      <name val="Arial"/>
      <family val="2"/>
    </font>
    <font>
      <b/>
      <sz val="9"/>
      <color rgb="FF000000"/>
      <name val="Arial"/>
      <family val="2"/>
    </font>
    <font>
      <b/>
      <sz val="10"/>
      <color rgb="FF00B050"/>
      <name val="Arial"/>
      <family val="2"/>
    </font>
    <font>
      <b/>
      <sz val="10"/>
      <color rgb="FF008000"/>
      <name val="Arial"/>
      <family val="2"/>
    </font>
    <font>
      <b/>
      <sz val="10"/>
      <color rgb="FFFF0000"/>
      <name val="Arial"/>
      <family val="2"/>
    </font>
    <font>
      <b/>
      <sz val="18"/>
      <color indexed="8"/>
      <name val="Bookman Old Style"/>
      <family val="1"/>
    </font>
    <font>
      <b/>
      <sz val="18"/>
      <name val="Bookman Old Style"/>
      <family val="1"/>
    </font>
    <font>
      <sz val="12"/>
      <color indexed="8"/>
      <name val="Bookman Old Style"/>
      <family val="1"/>
    </font>
    <font>
      <b/>
      <sz val="16"/>
      <color indexed="8"/>
      <name val="Bookman Old Style"/>
      <family val="1"/>
    </font>
    <font>
      <sz val="16"/>
      <name val="Bookman Old Style"/>
      <family val="1"/>
    </font>
    <font>
      <sz val="16"/>
      <color indexed="8"/>
      <name val="Bookman Old Style"/>
      <family val="1"/>
    </font>
    <font>
      <sz val="10"/>
      <name val="Bookman Old Style"/>
      <family val="1"/>
    </font>
    <font>
      <b/>
      <sz val="30"/>
      <name val="Bookman Old Style"/>
      <family val="1"/>
    </font>
    <font>
      <b/>
      <sz val="24"/>
      <name val="Bookman Old Style"/>
      <family val="1"/>
    </font>
    <font>
      <b/>
      <sz val="24"/>
      <color indexed="8"/>
      <name val="Bookman Old Style"/>
      <family val="1"/>
    </font>
    <font>
      <b/>
      <sz val="13"/>
      <name val="Arial"/>
      <family val="2"/>
    </font>
    <font>
      <b/>
      <sz val="16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b/>
      <i/>
      <u/>
      <sz val="36"/>
      <color indexed="8"/>
      <name val="Segoe Print"/>
    </font>
    <font>
      <b/>
      <sz val="17"/>
      <color theme="1"/>
      <name val="Cambria"/>
      <family val="1"/>
    </font>
    <font>
      <sz val="16"/>
      <color theme="1"/>
      <name val="Calibri"/>
      <family val="2"/>
    </font>
    <font>
      <sz val="16"/>
      <name val="Calibri"/>
      <family val="2"/>
    </font>
    <font>
      <b/>
      <sz val="18"/>
      <color theme="0"/>
      <name val="Cambria"/>
      <family val="1"/>
    </font>
    <font>
      <b/>
      <sz val="16"/>
      <color theme="1"/>
      <name val="Calibri"/>
      <family val="2"/>
    </font>
    <font>
      <sz val="17"/>
      <color theme="1"/>
      <name val="Cambria"/>
      <family val="1"/>
    </font>
    <font>
      <sz val="14"/>
      <color theme="1"/>
      <name val="Cambria"/>
      <family val="1"/>
    </font>
    <font>
      <sz val="16"/>
      <color theme="1"/>
      <name val="Cambria"/>
      <family val="1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u/>
      <sz val="14"/>
      <color theme="0"/>
      <name val="Arial"/>
      <family val="2"/>
    </font>
    <font>
      <b/>
      <sz val="14"/>
      <name val="Bookman Old Style"/>
      <family val="1"/>
    </font>
    <font>
      <b/>
      <sz val="20"/>
      <color theme="0"/>
      <name val="Arial"/>
      <family val="2"/>
    </font>
    <font>
      <b/>
      <sz val="8"/>
      <color rgb="FFFF0000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b/>
      <sz val="16"/>
      <color theme="1"/>
      <name val="Arial"/>
      <family val="2"/>
    </font>
    <font>
      <sz val="11"/>
      <color rgb="FF000000"/>
      <name val="Calibri"/>
      <family val="2"/>
      <scheme val="minor"/>
    </font>
  </fonts>
  <fills count="10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lightTrellis"/>
    </fill>
    <fill>
      <patternFill patternType="darkGrid"/>
    </fill>
    <fill>
      <patternFill patternType="solid">
        <fgColor indexed="2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gray125">
        <bgColor theme="6" tint="0.59999389629810485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59999389629810485"/>
        <bgColor theme="6" tint="-0.24994659260841701"/>
      </patternFill>
    </fill>
    <fill>
      <patternFill patternType="solid">
        <fgColor rgb="FF99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0625">
        <bgColor rgb="FFFFFF0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auto="1"/>
        <bgColor theme="6" tint="-0.2499465926084170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BFED2"/>
        <bgColor indexed="64"/>
      </patternFill>
    </fill>
    <fill>
      <patternFill patternType="solid">
        <fgColor theme="0" tint="-0.499984740745262"/>
        <bgColor indexed="64"/>
      </patternFill>
    </fill>
  </fills>
  <borders count="8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005426"/>
      </left>
      <right style="thick">
        <color rgb="FF005426"/>
      </right>
      <top style="thick">
        <color rgb="FF005426"/>
      </top>
      <bottom style="thick">
        <color rgb="FF005426"/>
      </bottom>
      <diagonal/>
    </border>
    <border>
      <left style="thick">
        <color rgb="FF005426"/>
      </left>
      <right/>
      <top style="thick">
        <color rgb="FF005426"/>
      </top>
      <bottom style="thick">
        <color rgb="FF005426"/>
      </bottom>
      <diagonal/>
    </border>
    <border>
      <left/>
      <right/>
      <top style="thick">
        <color rgb="FF005426"/>
      </top>
      <bottom style="thick">
        <color rgb="FF005426"/>
      </bottom>
      <diagonal/>
    </border>
    <border>
      <left/>
      <right style="thick">
        <color rgb="FF005426"/>
      </right>
      <top style="thick">
        <color rgb="FF005426"/>
      </top>
      <bottom style="thick">
        <color rgb="FF005426"/>
      </bottom>
      <diagonal/>
    </border>
    <border>
      <left style="thick">
        <color auto="1"/>
      </left>
      <right style="thick">
        <color auto="1"/>
      </right>
      <top style="thick">
        <color rgb="FF005426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 style="medium">
        <color indexed="64"/>
      </right>
      <top style="thick">
        <color rgb="FF005426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thick">
        <color rgb="FF005426"/>
      </top>
      <bottom style="medium">
        <color indexed="64"/>
      </bottom>
      <diagonal/>
    </border>
    <border>
      <left style="thin">
        <color indexed="64"/>
      </left>
      <right style="thick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ck">
        <color rgb="FF005426"/>
      </top>
      <bottom/>
      <diagonal/>
    </border>
    <border>
      <left style="thick">
        <color auto="1"/>
      </left>
      <right/>
      <top style="thick">
        <color rgb="FF005426"/>
      </top>
      <bottom style="thick">
        <color rgb="FF005426"/>
      </bottom>
      <diagonal/>
    </border>
    <border>
      <left/>
      <right style="medium">
        <color indexed="64"/>
      </right>
      <top style="thick">
        <color rgb="FF005426"/>
      </top>
      <bottom style="medium">
        <color indexed="64"/>
      </bottom>
      <diagonal/>
    </border>
    <border>
      <left style="medium">
        <color indexed="64"/>
      </left>
      <right style="thick">
        <color rgb="FF005426"/>
      </right>
      <top style="medium">
        <color indexed="64"/>
      </top>
      <bottom style="thick">
        <color rgb="FF005426"/>
      </bottom>
      <diagonal/>
    </border>
    <border>
      <left style="thick">
        <color rgb="FF005426"/>
      </left>
      <right style="thick">
        <color rgb="FF005426"/>
      </right>
      <top style="medium">
        <color indexed="64"/>
      </top>
      <bottom style="thick">
        <color rgb="FF005426"/>
      </bottom>
      <diagonal/>
    </border>
    <border>
      <left style="thick">
        <color rgb="FF005426"/>
      </left>
      <right style="medium">
        <color indexed="64"/>
      </right>
      <top style="medium">
        <color indexed="64"/>
      </top>
      <bottom style="thick">
        <color rgb="FF005426"/>
      </bottom>
      <diagonal/>
    </border>
    <border>
      <left style="thick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indexed="64"/>
      </bottom>
      <diagonal/>
    </border>
    <border>
      <left style="thick">
        <color auto="1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rgb="FF005426"/>
      </right>
      <top style="thick">
        <color rgb="FF005426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</borders>
  <cellStyleXfs count="1498">
    <xf numFmtId="0" fontId="0" fillId="0" borderId="0"/>
    <xf numFmtId="0" fontId="15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3" fillId="2" borderId="0" applyNumberFormat="0" applyBorder="0" applyAlignment="0" applyProtection="0"/>
    <xf numFmtId="0" fontId="73" fillId="2" borderId="0" applyNumberFormat="0" applyBorder="0" applyAlignment="0" applyProtection="0"/>
    <xf numFmtId="0" fontId="13" fillId="2" borderId="0" applyNumberFormat="0" applyBorder="0" applyAlignment="0" applyProtection="0"/>
    <xf numFmtId="0" fontId="73" fillId="36" borderId="0" applyNumberFormat="0" applyBorder="0" applyAlignment="0" applyProtection="0"/>
    <xf numFmtId="0" fontId="13" fillId="2" borderId="0" applyNumberFormat="0" applyBorder="0" applyAlignment="0" applyProtection="0"/>
    <xf numFmtId="0" fontId="15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3" fillId="3" borderId="0" applyNumberFormat="0" applyBorder="0" applyAlignment="0" applyProtection="0"/>
    <xf numFmtId="0" fontId="73" fillId="3" borderId="0" applyNumberFormat="0" applyBorder="0" applyAlignment="0" applyProtection="0"/>
    <xf numFmtId="0" fontId="13" fillId="3" borderId="0" applyNumberFormat="0" applyBorder="0" applyAlignment="0" applyProtection="0"/>
    <xf numFmtId="0" fontId="73" fillId="37" borderId="0" applyNumberFormat="0" applyBorder="0" applyAlignment="0" applyProtection="0"/>
    <xf numFmtId="0" fontId="13" fillId="3" borderId="0" applyNumberFormat="0" applyBorder="0" applyAlignment="0" applyProtection="0"/>
    <xf numFmtId="0" fontId="15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3" fillId="4" borderId="0" applyNumberFormat="0" applyBorder="0" applyAlignment="0" applyProtection="0"/>
    <xf numFmtId="0" fontId="73" fillId="4" borderId="0" applyNumberFormat="0" applyBorder="0" applyAlignment="0" applyProtection="0"/>
    <xf numFmtId="0" fontId="13" fillId="4" borderId="0" applyNumberFormat="0" applyBorder="0" applyAlignment="0" applyProtection="0"/>
    <xf numFmtId="0" fontId="73" fillId="38" borderId="0" applyNumberFormat="0" applyBorder="0" applyAlignment="0" applyProtection="0"/>
    <xf numFmtId="0" fontId="13" fillId="4" borderId="0" applyNumberFormat="0" applyBorder="0" applyAlignment="0" applyProtection="0"/>
    <xf numFmtId="0" fontId="15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3" fillId="5" borderId="0" applyNumberFormat="0" applyBorder="0" applyAlignment="0" applyProtection="0"/>
    <xf numFmtId="0" fontId="73" fillId="5" borderId="0" applyNumberFormat="0" applyBorder="0" applyAlignment="0" applyProtection="0"/>
    <xf numFmtId="0" fontId="13" fillId="5" borderId="0" applyNumberFormat="0" applyBorder="0" applyAlignment="0" applyProtection="0"/>
    <xf numFmtId="0" fontId="73" fillId="39" borderId="0" applyNumberFormat="0" applyBorder="0" applyAlignment="0" applyProtection="0"/>
    <xf numFmtId="0" fontId="13" fillId="5" borderId="0" applyNumberFormat="0" applyBorder="0" applyAlignment="0" applyProtection="0"/>
    <xf numFmtId="0" fontId="15" fillId="6" borderId="0" applyNumberFormat="0" applyBorder="0" applyAlignment="0" applyProtection="0"/>
    <xf numFmtId="0" fontId="13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3" fillId="6" borderId="0" applyNumberFormat="0" applyBorder="0" applyAlignment="0" applyProtection="0"/>
    <xf numFmtId="0" fontId="73" fillId="40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5" fillId="7" borderId="0" applyNumberFormat="0" applyBorder="0" applyAlignment="0" applyProtection="0"/>
    <xf numFmtId="0" fontId="13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3" fillId="7" borderId="0" applyNumberFormat="0" applyBorder="0" applyAlignment="0" applyProtection="0"/>
    <xf numFmtId="0" fontId="73" fillId="4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5" fillId="8" borderId="0" applyNumberFormat="0" applyBorder="0" applyAlignment="0" applyProtection="0"/>
    <xf numFmtId="0" fontId="13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3" fillId="8" borderId="0" applyNumberFormat="0" applyBorder="0" applyAlignment="0" applyProtection="0"/>
    <xf numFmtId="0" fontId="73" fillId="42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5" fillId="9" borderId="0" applyNumberFormat="0" applyBorder="0" applyAlignment="0" applyProtection="0"/>
    <xf numFmtId="0" fontId="13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3" fillId="9" borderId="0" applyNumberFormat="0" applyBorder="0" applyAlignment="0" applyProtection="0"/>
    <xf numFmtId="0" fontId="73" fillId="43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5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3" fillId="10" borderId="0" applyNumberFormat="0" applyBorder="0" applyAlignment="0" applyProtection="0"/>
    <xf numFmtId="0" fontId="73" fillId="10" borderId="0" applyNumberFormat="0" applyBorder="0" applyAlignment="0" applyProtection="0"/>
    <xf numFmtId="0" fontId="13" fillId="10" borderId="0" applyNumberFormat="0" applyBorder="0" applyAlignment="0" applyProtection="0"/>
    <xf numFmtId="0" fontId="73" fillId="44" borderId="0" applyNumberFormat="0" applyBorder="0" applyAlignment="0" applyProtection="0"/>
    <xf numFmtId="0" fontId="13" fillId="10" borderId="0" applyNumberFormat="0" applyBorder="0" applyAlignment="0" applyProtection="0"/>
    <xf numFmtId="0" fontId="15" fillId="5" borderId="0" applyNumberFormat="0" applyBorder="0" applyAlignment="0" applyProtection="0"/>
    <xf numFmtId="0" fontId="13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3" fillId="5" borderId="0" applyNumberFormat="0" applyBorder="0" applyAlignment="0" applyProtection="0"/>
    <xf numFmtId="0" fontId="73" fillId="4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5" fillId="8" borderId="0" applyNumberFormat="0" applyBorder="0" applyAlignment="0" applyProtection="0"/>
    <xf numFmtId="0" fontId="13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3" fillId="8" borderId="0" applyNumberFormat="0" applyBorder="0" applyAlignment="0" applyProtection="0"/>
    <xf numFmtId="0" fontId="73" fillId="46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5" fillId="11" borderId="0" applyNumberFormat="0" applyBorder="0" applyAlignment="0" applyProtection="0"/>
    <xf numFmtId="0" fontId="13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3" fillId="11" borderId="0" applyNumberFormat="0" applyBorder="0" applyAlignment="0" applyProtection="0"/>
    <xf numFmtId="0" fontId="73" fillId="4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7" fillId="12" borderId="0" applyNumberFormat="0" applyBorder="0" applyAlignment="0" applyProtection="0"/>
    <xf numFmtId="0" fontId="74" fillId="48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74" fillId="4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7" fillId="10" borderId="0" applyNumberFormat="0" applyBorder="0" applyAlignment="0" applyProtection="0"/>
    <xf numFmtId="0" fontId="74" fillId="10" borderId="0" applyNumberFormat="0" applyBorder="0" applyAlignment="0" applyProtection="0"/>
    <xf numFmtId="0" fontId="17" fillId="10" borderId="0" applyNumberFormat="0" applyBorder="0" applyAlignment="0" applyProtection="0"/>
    <xf numFmtId="0" fontId="74" fillId="50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7" fillId="13" borderId="0" applyNumberFormat="0" applyBorder="0" applyAlignment="0" applyProtection="0"/>
    <xf numFmtId="0" fontId="74" fillId="13" borderId="0" applyNumberFormat="0" applyBorder="0" applyAlignment="0" applyProtection="0"/>
    <xf numFmtId="0" fontId="17" fillId="13" borderId="0" applyNumberFormat="0" applyBorder="0" applyAlignment="0" applyProtection="0"/>
    <xf numFmtId="0" fontId="74" fillId="51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7" fillId="14" borderId="0" applyNumberFormat="0" applyBorder="0" applyAlignment="0" applyProtection="0"/>
    <xf numFmtId="0" fontId="74" fillId="52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7" fillId="15" borderId="0" applyNumberFormat="0" applyBorder="0" applyAlignment="0" applyProtection="0"/>
    <xf numFmtId="0" fontId="74" fillId="15" borderId="0" applyNumberFormat="0" applyBorder="0" applyAlignment="0" applyProtection="0"/>
    <xf numFmtId="0" fontId="17" fillId="15" borderId="0" applyNumberFormat="0" applyBorder="0" applyAlignment="0" applyProtection="0"/>
    <xf numFmtId="0" fontId="74" fillId="53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7" fillId="16" borderId="0" applyNumberFormat="0" applyBorder="0" applyAlignment="0" applyProtection="0"/>
    <xf numFmtId="0" fontId="74" fillId="54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7" fillId="17" borderId="0" applyNumberFormat="0" applyBorder="0" applyAlignment="0" applyProtection="0"/>
    <xf numFmtId="0" fontId="74" fillId="55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7" fillId="18" borderId="0" applyNumberFormat="0" applyBorder="0" applyAlignment="0" applyProtection="0"/>
    <xf numFmtId="0" fontId="74" fillId="56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7" fillId="13" borderId="0" applyNumberFormat="0" applyBorder="0" applyAlignment="0" applyProtection="0"/>
    <xf numFmtId="0" fontId="74" fillId="57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7" fillId="14" borderId="0" applyNumberFormat="0" applyBorder="0" applyAlignment="0" applyProtection="0"/>
    <xf numFmtId="0" fontId="74" fillId="58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7" fillId="19" borderId="0" applyNumberFormat="0" applyBorder="0" applyAlignment="0" applyProtection="0"/>
    <xf numFmtId="0" fontId="74" fillId="5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19" fillId="3" borderId="0" applyNumberFormat="0" applyBorder="0" applyAlignment="0" applyProtection="0"/>
    <xf numFmtId="0" fontId="75" fillId="60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21" fillId="20" borderId="1" applyNumberFormat="0" applyAlignment="0" applyProtection="0"/>
    <xf numFmtId="0" fontId="76" fillId="61" borderId="38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3" fillId="21" borderId="2" applyNumberFormat="0" applyAlignment="0" applyProtection="0"/>
    <xf numFmtId="0" fontId="77" fillId="62" borderId="39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0" fontId="23" fillId="21" borderId="2" applyNumberFormat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8" fillId="4" borderId="0" applyNumberFormat="0" applyBorder="0" applyAlignment="0" applyProtection="0"/>
    <xf numFmtId="0" fontId="79" fillId="63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1" fillId="0" borderId="3" applyNumberFormat="0" applyFill="0" applyAlignment="0" applyProtection="0"/>
    <xf numFmtId="0" fontId="31" fillId="0" borderId="3" applyNumberFormat="0" applyFill="0" applyAlignment="0" applyProtection="0"/>
    <xf numFmtId="0" fontId="31" fillId="0" borderId="3" applyNumberFormat="0" applyFill="0" applyAlignment="0" applyProtection="0"/>
    <xf numFmtId="0" fontId="31" fillId="0" borderId="3" applyNumberFormat="0" applyFill="0" applyAlignment="0" applyProtection="0"/>
    <xf numFmtId="0" fontId="31" fillId="0" borderId="3" applyNumberFormat="0" applyFill="0" applyAlignment="0" applyProtection="0"/>
    <xf numFmtId="0" fontId="31" fillId="0" borderId="3" applyNumberFormat="0" applyFill="0" applyAlignment="0" applyProtection="0"/>
    <xf numFmtId="0" fontId="31" fillId="0" borderId="3" applyNumberFormat="0" applyFill="0" applyAlignment="0" applyProtection="0"/>
    <xf numFmtId="0" fontId="31" fillId="0" borderId="3" applyNumberFormat="0" applyFill="0" applyAlignment="0" applyProtection="0"/>
    <xf numFmtId="0" fontId="31" fillId="0" borderId="3" applyNumberFormat="0" applyFill="0" applyAlignment="0" applyProtection="0"/>
    <xf numFmtId="0" fontId="31" fillId="0" borderId="3" applyNumberFormat="0" applyFill="0" applyAlignment="0" applyProtection="0"/>
    <xf numFmtId="0" fontId="31" fillId="0" borderId="3" applyNumberFormat="0" applyFill="0" applyAlignment="0" applyProtection="0"/>
    <xf numFmtId="0" fontId="31" fillId="0" borderId="3" applyNumberFormat="0" applyFill="0" applyAlignment="0" applyProtection="0"/>
    <xf numFmtId="0" fontId="31" fillId="0" borderId="3" applyNumberFormat="0" applyFill="0" applyAlignment="0" applyProtection="0"/>
    <xf numFmtId="0" fontId="31" fillId="0" borderId="3" applyNumberFormat="0" applyFill="0" applyAlignment="0" applyProtection="0"/>
    <xf numFmtId="0" fontId="31" fillId="0" borderId="3" applyNumberFormat="0" applyFill="0" applyAlignment="0" applyProtection="0"/>
    <xf numFmtId="0" fontId="30" fillId="0" borderId="3" applyNumberFormat="0" applyFill="0" applyAlignment="0" applyProtection="0"/>
    <xf numFmtId="0" fontId="80" fillId="0" borderId="40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2" fillId="0" borderId="4" applyNumberFormat="0" applyFill="0" applyAlignment="0" applyProtection="0"/>
    <xf numFmtId="0" fontId="81" fillId="0" borderId="41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4" fillId="0" borderId="5" applyNumberFormat="0" applyFill="0" applyAlignment="0" applyProtection="0"/>
    <xf numFmtId="0" fontId="82" fillId="0" borderId="42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8" fillId="7" borderId="1" applyNumberFormat="0" applyAlignment="0" applyProtection="0"/>
    <xf numFmtId="0" fontId="38" fillId="7" borderId="1" applyNumberFormat="0" applyAlignment="0" applyProtection="0"/>
    <xf numFmtId="0" fontId="38" fillId="7" borderId="1" applyNumberFormat="0" applyAlignment="0" applyProtection="0"/>
    <xf numFmtId="0" fontId="38" fillId="7" borderId="1" applyNumberFormat="0" applyAlignment="0" applyProtection="0"/>
    <xf numFmtId="0" fontId="38" fillId="7" borderId="1" applyNumberFormat="0" applyAlignment="0" applyProtection="0"/>
    <xf numFmtId="0" fontId="38" fillId="7" borderId="1" applyNumberFormat="0" applyAlignment="0" applyProtection="0"/>
    <xf numFmtId="0" fontId="38" fillId="7" borderId="1" applyNumberFormat="0" applyAlignment="0" applyProtection="0"/>
    <xf numFmtId="0" fontId="38" fillId="7" borderId="1" applyNumberFormat="0" applyAlignment="0" applyProtection="0"/>
    <xf numFmtId="0" fontId="38" fillId="7" borderId="1" applyNumberFormat="0" applyAlignment="0" applyProtection="0"/>
    <xf numFmtId="0" fontId="38" fillId="7" borderId="1" applyNumberFormat="0" applyAlignment="0" applyProtection="0"/>
    <xf numFmtId="0" fontId="38" fillId="7" borderId="1" applyNumberFormat="0" applyAlignment="0" applyProtection="0"/>
    <xf numFmtId="0" fontId="38" fillId="7" borderId="1" applyNumberFormat="0" applyAlignment="0" applyProtection="0"/>
    <xf numFmtId="0" fontId="38" fillId="7" borderId="1" applyNumberFormat="0" applyAlignment="0" applyProtection="0"/>
    <xf numFmtId="0" fontId="38" fillId="7" borderId="1" applyNumberFormat="0" applyAlignment="0" applyProtection="0"/>
    <xf numFmtId="0" fontId="38" fillId="7" borderId="1" applyNumberFormat="0" applyAlignment="0" applyProtection="0"/>
    <xf numFmtId="0" fontId="37" fillId="7" borderId="1" applyNumberFormat="0" applyAlignment="0" applyProtection="0"/>
    <xf numFmtId="0" fontId="83" fillId="64" borderId="38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39" fillId="0" borderId="6" applyNumberFormat="0" applyFill="0" applyAlignment="0" applyProtection="0"/>
    <xf numFmtId="0" fontId="84" fillId="0" borderId="43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1" fillId="22" borderId="0" applyNumberFormat="0" applyBorder="0" applyAlignment="0" applyProtection="0"/>
    <xf numFmtId="0" fontId="85" fillId="65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25" fillId="0" borderId="0"/>
    <xf numFmtId="0" fontId="14" fillId="0" borderId="0"/>
    <xf numFmtId="0" fontId="14" fillId="0" borderId="0"/>
    <xf numFmtId="0" fontId="25" fillId="0" borderId="0"/>
    <xf numFmtId="0" fontId="14" fillId="0" borderId="0"/>
    <xf numFmtId="0" fontId="14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25" fillId="0" borderId="0"/>
    <xf numFmtId="0" fontId="14" fillId="0" borderId="0"/>
    <xf numFmtId="0" fontId="14" fillId="0" borderId="0"/>
    <xf numFmtId="0" fontId="25" fillId="0" borderId="0"/>
    <xf numFmtId="0" fontId="14" fillId="0" borderId="0"/>
    <xf numFmtId="0" fontId="14" fillId="0" borderId="0"/>
    <xf numFmtId="0" fontId="25" fillId="0" borderId="0"/>
    <xf numFmtId="0" fontId="14" fillId="0" borderId="0"/>
    <xf numFmtId="0" fontId="14" fillId="0" borderId="0"/>
    <xf numFmtId="0" fontId="25" fillId="0" borderId="0"/>
    <xf numFmtId="0" fontId="14" fillId="0" borderId="0"/>
    <xf numFmtId="0" fontId="14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4" fillId="0" borderId="0"/>
    <xf numFmtId="0" fontId="73" fillId="0" borderId="0"/>
    <xf numFmtId="0" fontId="69" fillId="0" borderId="0"/>
    <xf numFmtId="0" fontId="14" fillId="0" borderId="0"/>
    <xf numFmtId="0" fontId="73" fillId="0" borderId="0"/>
    <xf numFmtId="0" fontId="73" fillId="0" borderId="0"/>
    <xf numFmtId="0" fontId="73" fillId="0" borderId="0"/>
    <xf numFmtId="0" fontId="14" fillId="0" borderId="0"/>
    <xf numFmtId="0" fontId="73" fillId="0" borderId="0"/>
    <xf numFmtId="0" fontId="1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3" fillId="0" borderId="0"/>
    <xf numFmtId="0" fontId="14" fillId="0" borderId="0"/>
    <xf numFmtId="0" fontId="1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3" fillId="0" borderId="0"/>
    <xf numFmtId="0" fontId="73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14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14" fillId="0" borderId="0"/>
    <xf numFmtId="0" fontId="14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5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4" fillId="23" borderId="7" applyNumberFormat="0" applyFont="0" applyAlignment="0" applyProtection="0"/>
    <xf numFmtId="0" fontId="70" fillId="66" borderId="44" applyNumberFormat="0" applyFont="0" applyAlignment="0" applyProtection="0"/>
    <xf numFmtId="0" fontId="13" fillId="66" borderId="44" applyNumberFormat="0" applyFont="0" applyAlignment="0" applyProtection="0"/>
    <xf numFmtId="0" fontId="14" fillId="23" borderId="7" applyNumberFormat="0" applyFont="0" applyAlignment="0" applyProtection="0"/>
    <xf numFmtId="0" fontId="73" fillId="66" borderId="44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5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5" fillId="23" borderId="7" applyNumberFormat="0" applyFont="0" applyAlignment="0" applyProtection="0"/>
    <xf numFmtId="0" fontId="13" fillId="23" borderId="7" applyNumberFormat="0" applyFont="0" applyAlignment="0" applyProtection="0"/>
    <xf numFmtId="0" fontId="13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44" fillId="20" borderId="8" applyNumberFormat="0" applyAlignment="0" applyProtection="0"/>
    <xf numFmtId="0" fontId="44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4" fillId="20" borderId="8" applyNumberFormat="0" applyAlignment="0" applyProtection="0"/>
    <xf numFmtId="0" fontId="86" fillId="61" borderId="45" applyNumberFormat="0" applyAlignment="0" applyProtection="0"/>
    <xf numFmtId="0" fontId="44" fillId="20" borderId="8" applyNumberFormat="0" applyAlignment="0" applyProtection="0"/>
    <xf numFmtId="0" fontId="44" fillId="20" borderId="8" applyNumberFormat="0" applyAlignment="0" applyProtection="0"/>
    <xf numFmtId="0" fontId="44" fillId="20" borderId="8" applyNumberFormat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46" fillId="0" borderId="9" applyBorder="0" applyAlignment="0" applyProtection="0">
      <alignment horizontal="left"/>
      <protection locked="0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10" applyNumberFormat="0" applyFill="0" applyAlignment="0" applyProtection="0"/>
    <xf numFmtId="0" fontId="48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8" fillId="0" borderId="10" applyNumberFormat="0" applyFill="0" applyAlignment="0" applyProtection="0"/>
    <xf numFmtId="0" fontId="88" fillId="0" borderId="46" applyNumberFormat="0" applyFill="0" applyAlignment="0" applyProtection="0"/>
    <xf numFmtId="0" fontId="48" fillId="0" borderId="10" applyNumberFormat="0" applyFill="0" applyAlignment="0" applyProtection="0"/>
    <xf numFmtId="0" fontId="48" fillId="0" borderId="10" applyNumberFormat="0" applyFill="0" applyAlignment="0" applyProtection="0"/>
    <xf numFmtId="0" fontId="48" fillId="0" borderId="10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2" fillId="0" borderId="0"/>
    <xf numFmtId="9" fontId="14" fillId="0" borderId="0" applyFont="0" applyFill="0" applyBorder="0" applyAlignment="0" applyProtection="0"/>
    <xf numFmtId="0" fontId="14" fillId="0" borderId="0"/>
    <xf numFmtId="0" fontId="11" fillId="0" borderId="0"/>
    <xf numFmtId="0" fontId="11" fillId="0" borderId="0"/>
    <xf numFmtId="0" fontId="10" fillId="0" borderId="0"/>
    <xf numFmtId="0" fontId="96" fillId="0" borderId="0" applyNumberFormat="0" applyFill="0" applyBorder="0" applyAlignment="0" applyProtection="0"/>
    <xf numFmtId="0" fontId="10" fillId="66" borderId="44" applyNumberFormat="0" applyFont="0" applyAlignment="0" applyProtection="0"/>
    <xf numFmtId="0" fontId="10" fillId="36" borderId="0" applyNumberFormat="0" applyBorder="0" applyAlignment="0" applyProtection="0"/>
    <xf numFmtId="0" fontId="10" fillId="42" borderId="0" applyNumberFormat="0" applyBorder="0" applyAlignment="0" applyProtection="0"/>
    <xf numFmtId="0" fontId="10" fillId="37" borderId="0" applyNumberFormat="0" applyBorder="0" applyAlignment="0" applyProtection="0"/>
    <xf numFmtId="0" fontId="10" fillId="43" borderId="0" applyNumberFormat="0" applyBorder="0" applyAlignment="0" applyProtection="0"/>
    <xf numFmtId="0" fontId="10" fillId="38" borderId="0" applyNumberFormat="0" applyBorder="0" applyAlignment="0" applyProtection="0"/>
    <xf numFmtId="0" fontId="10" fillId="44" borderId="0" applyNumberFormat="0" applyBorder="0" applyAlignment="0" applyProtection="0"/>
    <xf numFmtId="0" fontId="10" fillId="39" borderId="0" applyNumberFormat="0" applyBorder="0" applyAlignment="0" applyProtection="0"/>
    <xf numFmtId="0" fontId="10" fillId="45" borderId="0" applyNumberFormat="0" applyBorder="0" applyAlignment="0" applyProtection="0"/>
    <xf numFmtId="0" fontId="10" fillId="40" borderId="0" applyNumberFormat="0" applyBorder="0" applyAlignment="0" applyProtection="0"/>
    <xf numFmtId="0" fontId="10" fillId="46" borderId="0" applyNumberFormat="0" applyBorder="0" applyAlignment="0" applyProtection="0"/>
    <xf numFmtId="0" fontId="10" fillId="41" borderId="0" applyNumberFormat="0" applyBorder="0" applyAlignment="0" applyProtection="0"/>
    <xf numFmtId="0" fontId="10" fillId="47" borderId="0" applyNumberFormat="0" applyBorder="0" applyAlignment="0" applyProtection="0"/>
    <xf numFmtId="0" fontId="14" fillId="0" borderId="0"/>
    <xf numFmtId="0" fontId="9" fillId="0" borderId="0"/>
    <xf numFmtId="0" fontId="9" fillId="66" borderId="44" applyNumberFormat="0" applyFont="0" applyAlignment="0" applyProtection="0"/>
    <xf numFmtId="0" fontId="9" fillId="36" borderId="0" applyNumberFormat="0" applyBorder="0" applyAlignment="0" applyProtection="0"/>
    <xf numFmtId="0" fontId="9" fillId="42" borderId="0" applyNumberFormat="0" applyBorder="0" applyAlignment="0" applyProtection="0"/>
    <xf numFmtId="0" fontId="9" fillId="37" borderId="0" applyNumberFormat="0" applyBorder="0" applyAlignment="0" applyProtection="0"/>
    <xf numFmtId="0" fontId="9" fillId="43" borderId="0" applyNumberFormat="0" applyBorder="0" applyAlignment="0" applyProtection="0"/>
    <xf numFmtId="0" fontId="9" fillId="38" borderId="0" applyNumberFormat="0" applyBorder="0" applyAlignment="0" applyProtection="0"/>
    <xf numFmtId="0" fontId="9" fillId="44" borderId="0" applyNumberFormat="0" applyBorder="0" applyAlignment="0" applyProtection="0"/>
    <xf numFmtId="0" fontId="9" fillId="39" borderId="0" applyNumberFormat="0" applyBorder="0" applyAlignment="0" applyProtection="0"/>
    <xf numFmtId="0" fontId="9" fillId="45" borderId="0" applyNumberFormat="0" applyBorder="0" applyAlignment="0" applyProtection="0"/>
    <xf numFmtId="0" fontId="9" fillId="40" borderId="0" applyNumberFormat="0" applyBorder="0" applyAlignment="0" applyProtection="0"/>
    <xf numFmtId="0" fontId="9" fillId="46" borderId="0" applyNumberFormat="0" applyBorder="0" applyAlignment="0" applyProtection="0"/>
    <xf numFmtId="0" fontId="9" fillId="41" borderId="0" applyNumberFormat="0" applyBorder="0" applyAlignment="0" applyProtection="0"/>
    <xf numFmtId="0" fontId="9" fillId="47" borderId="0" applyNumberFormat="0" applyBorder="0" applyAlignment="0" applyProtection="0"/>
    <xf numFmtId="0" fontId="8" fillId="0" borderId="0"/>
    <xf numFmtId="0" fontId="8" fillId="0" borderId="0"/>
    <xf numFmtId="0" fontId="8" fillId="66" borderId="44" applyNumberFormat="0" applyFont="0" applyAlignment="0" applyProtection="0"/>
    <xf numFmtId="0" fontId="8" fillId="36" borderId="0" applyNumberFormat="0" applyBorder="0" applyAlignment="0" applyProtection="0"/>
    <xf numFmtId="0" fontId="8" fillId="42" borderId="0" applyNumberFormat="0" applyBorder="0" applyAlignment="0" applyProtection="0"/>
    <xf numFmtId="0" fontId="8" fillId="0" borderId="0"/>
    <xf numFmtId="0" fontId="8" fillId="37" borderId="0" applyNumberFormat="0" applyBorder="0" applyAlignment="0" applyProtection="0"/>
    <xf numFmtId="0" fontId="8" fillId="43" borderId="0" applyNumberFormat="0" applyBorder="0" applyAlignment="0" applyProtection="0"/>
    <xf numFmtId="0" fontId="8" fillId="38" borderId="0" applyNumberFormat="0" applyBorder="0" applyAlignment="0" applyProtection="0"/>
    <xf numFmtId="0" fontId="8" fillId="44" borderId="0" applyNumberFormat="0" applyBorder="0" applyAlignment="0" applyProtection="0"/>
    <xf numFmtId="0" fontId="8" fillId="39" borderId="0" applyNumberFormat="0" applyBorder="0" applyAlignment="0" applyProtection="0"/>
    <xf numFmtId="0" fontId="8" fillId="45" borderId="0" applyNumberFormat="0" applyBorder="0" applyAlignment="0" applyProtection="0"/>
    <xf numFmtId="0" fontId="8" fillId="40" borderId="0" applyNumberFormat="0" applyBorder="0" applyAlignment="0" applyProtection="0"/>
    <xf numFmtId="0" fontId="8" fillId="46" borderId="0" applyNumberFormat="0" applyBorder="0" applyAlignment="0" applyProtection="0"/>
    <xf numFmtId="0" fontId="8" fillId="41" borderId="0" applyNumberFormat="0" applyBorder="0" applyAlignment="0" applyProtection="0"/>
    <xf numFmtId="0" fontId="8" fillId="47" borderId="0" applyNumberFormat="0" applyBorder="0" applyAlignment="0" applyProtection="0"/>
    <xf numFmtId="0" fontId="8" fillId="0" borderId="0"/>
    <xf numFmtId="0" fontId="8" fillId="0" borderId="0"/>
    <xf numFmtId="0" fontId="7" fillId="0" borderId="0"/>
    <xf numFmtId="0" fontId="114" fillId="65" borderId="0" applyNumberFormat="0" applyBorder="0" applyAlignment="0" applyProtection="0"/>
    <xf numFmtId="0" fontId="7" fillId="66" borderId="44" applyNumberFormat="0" applyFont="0" applyAlignment="0" applyProtection="0"/>
    <xf numFmtId="0" fontId="7" fillId="36" borderId="0" applyNumberFormat="0" applyBorder="0" applyAlignment="0" applyProtection="0"/>
    <xf numFmtId="0" fontId="7" fillId="42" borderId="0" applyNumberFormat="0" applyBorder="0" applyAlignment="0" applyProtection="0"/>
    <xf numFmtId="0" fontId="7" fillId="48" borderId="0" applyNumberFormat="0" applyBorder="0" applyAlignment="0" applyProtection="0"/>
    <xf numFmtId="0" fontId="7" fillId="37" borderId="0" applyNumberFormat="0" applyBorder="0" applyAlignment="0" applyProtection="0"/>
    <xf numFmtId="0" fontId="7" fillId="43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44" borderId="0" applyNumberFormat="0" applyBorder="0" applyAlignment="0" applyProtection="0"/>
    <xf numFmtId="0" fontId="7" fillId="50" borderId="0" applyNumberFormat="0" applyBorder="0" applyAlignment="0" applyProtection="0"/>
    <xf numFmtId="0" fontId="7" fillId="39" borderId="0" applyNumberFormat="0" applyBorder="0" applyAlignment="0" applyProtection="0"/>
    <xf numFmtId="0" fontId="7" fillId="45" borderId="0" applyNumberFormat="0" applyBorder="0" applyAlignment="0" applyProtection="0"/>
    <xf numFmtId="0" fontId="7" fillId="51" borderId="0" applyNumberFormat="0" applyBorder="0" applyAlignment="0" applyProtection="0"/>
    <xf numFmtId="0" fontId="7" fillId="40" borderId="0" applyNumberFormat="0" applyBorder="0" applyAlignment="0" applyProtection="0"/>
    <xf numFmtId="0" fontId="7" fillId="46" borderId="0" applyNumberFormat="0" applyBorder="0" applyAlignment="0" applyProtection="0"/>
    <xf numFmtId="0" fontId="7" fillId="52" borderId="0" applyNumberFormat="0" applyBorder="0" applyAlignment="0" applyProtection="0"/>
    <xf numFmtId="0" fontId="7" fillId="41" borderId="0" applyNumberFormat="0" applyBorder="0" applyAlignment="0" applyProtection="0"/>
    <xf numFmtId="0" fontId="7" fillId="47" borderId="0" applyNumberFormat="0" applyBorder="0" applyAlignment="0" applyProtection="0"/>
    <xf numFmtId="0" fontId="7" fillId="53" borderId="0" applyNumberFormat="0" applyBorder="0" applyAlignment="0" applyProtection="0"/>
    <xf numFmtId="0" fontId="6" fillId="0" borderId="0"/>
    <xf numFmtId="0" fontId="6" fillId="66" borderId="44" applyNumberFormat="0" applyFont="0" applyAlignment="0" applyProtection="0"/>
    <xf numFmtId="0" fontId="6" fillId="36" borderId="0" applyNumberFormat="0" applyBorder="0" applyAlignment="0" applyProtection="0"/>
    <xf numFmtId="0" fontId="6" fillId="42" borderId="0" applyNumberFormat="0" applyBorder="0" applyAlignment="0" applyProtection="0"/>
    <xf numFmtId="0" fontId="6" fillId="48" borderId="0" applyNumberFormat="0" applyBorder="0" applyAlignment="0" applyProtection="0"/>
    <xf numFmtId="0" fontId="6" fillId="37" borderId="0" applyNumberFormat="0" applyBorder="0" applyAlignment="0" applyProtection="0"/>
    <xf numFmtId="0" fontId="6" fillId="43" borderId="0" applyNumberFormat="0" applyBorder="0" applyAlignment="0" applyProtection="0"/>
    <xf numFmtId="0" fontId="6" fillId="49" borderId="0" applyNumberFormat="0" applyBorder="0" applyAlignment="0" applyProtection="0"/>
    <xf numFmtId="0" fontId="6" fillId="38" borderId="0" applyNumberFormat="0" applyBorder="0" applyAlignment="0" applyProtection="0"/>
    <xf numFmtId="0" fontId="6" fillId="44" borderId="0" applyNumberFormat="0" applyBorder="0" applyAlignment="0" applyProtection="0"/>
    <xf numFmtId="0" fontId="6" fillId="50" borderId="0" applyNumberFormat="0" applyBorder="0" applyAlignment="0" applyProtection="0"/>
    <xf numFmtId="0" fontId="6" fillId="39" borderId="0" applyNumberFormat="0" applyBorder="0" applyAlignment="0" applyProtection="0"/>
    <xf numFmtId="0" fontId="6" fillId="45" borderId="0" applyNumberFormat="0" applyBorder="0" applyAlignment="0" applyProtection="0"/>
    <xf numFmtId="0" fontId="6" fillId="51" borderId="0" applyNumberFormat="0" applyBorder="0" applyAlignment="0" applyProtection="0"/>
    <xf numFmtId="0" fontId="6" fillId="40" borderId="0" applyNumberFormat="0" applyBorder="0" applyAlignment="0" applyProtection="0"/>
    <xf numFmtId="0" fontId="6" fillId="46" borderId="0" applyNumberFormat="0" applyBorder="0" applyAlignment="0" applyProtection="0"/>
    <xf numFmtId="0" fontId="6" fillId="52" borderId="0" applyNumberFormat="0" applyBorder="0" applyAlignment="0" applyProtection="0"/>
    <xf numFmtId="0" fontId="6" fillId="41" borderId="0" applyNumberFormat="0" applyBorder="0" applyAlignment="0" applyProtection="0"/>
    <xf numFmtId="0" fontId="6" fillId="47" borderId="0" applyNumberFormat="0" applyBorder="0" applyAlignment="0" applyProtection="0"/>
    <xf numFmtId="0" fontId="6" fillId="5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66" borderId="44" applyNumberFormat="0" applyFont="0" applyAlignment="0" applyProtection="0"/>
    <xf numFmtId="0" fontId="5" fillId="36" borderId="0" applyNumberFormat="0" applyBorder="0" applyAlignment="0" applyProtection="0"/>
    <xf numFmtId="0" fontId="5" fillId="42" borderId="0" applyNumberFormat="0" applyBorder="0" applyAlignment="0" applyProtection="0"/>
    <xf numFmtId="0" fontId="5" fillId="48" borderId="0" applyNumberFormat="0" applyBorder="0" applyAlignment="0" applyProtection="0"/>
    <xf numFmtId="0" fontId="5" fillId="37" borderId="0" applyNumberFormat="0" applyBorder="0" applyAlignment="0" applyProtection="0"/>
    <xf numFmtId="0" fontId="5" fillId="43" borderId="0" applyNumberFormat="0" applyBorder="0" applyAlignment="0" applyProtection="0"/>
    <xf numFmtId="0" fontId="5" fillId="49" borderId="0" applyNumberFormat="0" applyBorder="0" applyAlignment="0" applyProtection="0"/>
    <xf numFmtId="0" fontId="5" fillId="38" borderId="0" applyNumberFormat="0" applyBorder="0" applyAlignment="0" applyProtection="0"/>
    <xf numFmtId="0" fontId="5" fillId="44" borderId="0" applyNumberFormat="0" applyBorder="0" applyAlignment="0" applyProtection="0"/>
    <xf numFmtId="0" fontId="5" fillId="50" borderId="0" applyNumberFormat="0" applyBorder="0" applyAlignment="0" applyProtection="0"/>
    <xf numFmtId="0" fontId="5" fillId="39" borderId="0" applyNumberFormat="0" applyBorder="0" applyAlignment="0" applyProtection="0"/>
    <xf numFmtId="0" fontId="5" fillId="45" borderId="0" applyNumberFormat="0" applyBorder="0" applyAlignment="0" applyProtection="0"/>
    <xf numFmtId="0" fontId="5" fillId="51" borderId="0" applyNumberFormat="0" applyBorder="0" applyAlignment="0" applyProtection="0"/>
    <xf numFmtId="0" fontId="5" fillId="40" borderId="0" applyNumberFormat="0" applyBorder="0" applyAlignment="0" applyProtection="0"/>
    <xf numFmtId="0" fontId="5" fillId="46" borderId="0" applyNumberFormat="0" applyBorder="0" applyAlignment="0" applyProtection="0"/>
    <xf numFmtId="0" fontId="5" fillId="52" borderId="0" applyNumberFormat="0" applyBorder="0" applyAlignment="0" applyProtection="0"/>
    <xf numFmtId="0" fontId="5" fillId="41" borderId="0" applyNumberFormat="0" applyBorder="0" applyAlignment="0" applyProtection="0"/>
    <xf numFmtId="0" fontId="5" fillId="47" borderId="0" applyNumberFormat="0" applyBorder="0" applyAlignment="0" applyProtection="0"/>
    <xf numFmtId="0" fontId="5" fillId="53" borderId="0" applyNumberFormat="0" applyBorder="0" applyAlignment="0" applyProtection="0"/>
    <xf numFmtId="0" fontId="4" fillId="0" borderId="0"/>
    <xf numFmtId="0" fontId="3" fillId="0" borderId="0"/>
    <xf numFmtId="0" fontId="3" fillId="66" borderId="44" applyNumberFormat="0" applyFont="0" applyAlignment="0" applyProtection="0"/>
    <xf numFmtId="0" fontId="3" fillId="36" borderId="0" applyNumberFormat="0" applyBorder="0" applyAlignment="0" applyProtection="0"/>
    <xf numFmtId="0" fontId="3" fillId="42" borderId="0" applyNumberFormat="0" applyBorder="0" applyAlignment="0" applyProtection="0"/>
    <xf numFmtId="0" fontId="3" fillId="48" borderId="0" applyNumberFormat="0" applyBorder="0" applyAlignment="0" applyProtection="0"/>
    <xf numFmtId="0" fontId="3" fillId="37" borderId="0" applyNumberFormat="0" applyBorder="0" applyAlignment="0" applyProtection="0"/>
    <xf numFmtId="0" fontId="3" fillId="43" borderId="0" applyNumberFormat="0" applyBorder="0" applyAlignment="0" applyProtection="0"/>
    <xf numFmtId="0" fontId="3" fillId="49" borderId="0" applyNumberFormat="0" applyBorder="0" applyAlignment="0" applyProtection="0"/>
    <xf numFmtId="0" fontId="3" fillId="38" borderId="0" applyNumberFormat="0" applyBorder="0" applyAlignment="0" applyProtection="0"/>
    <xf numFmtId="0" fontId="3" fillId="44" borderId="0" applyNumberFormat="0" applyBorder="0" applyAlignment="0" applyProtection="0"/>
    <xf numFmtId="0" fontId="3" fillId="50" borderId="0" applyNumberFormat="0" applyBorder="0" applyAlignment="0" applyProtection="0"/>
    <xf numFmtId="0" fontId="3" fillId="39" borderId="0" applyNumberFormat="0" applyBorder="0" applyAlignment="0" applyProtection="0"/>
    <xf numFmtId="0" fontId="3" fillId="45" borderId="0" applyNumberFormat="0" applyBorder="0" applyAlignment="0" applyProtection="0"/>
    <xf numFmtId="0" fontId="3" fillId="51" borderId="0" applyNumberFormat="0" applyBorder="0" applyAlignment="0" applyProtection="0"/>
    <xf numFmtId="0" fontId="3" fillId="40" borderId="0" applyNumberFormat="0" applyBorder="0" applyAlignment="0" applyProtection="0"/>
    <xf numFmtId="0" fontId="3" fillId="46" borderId="0" applyNumberFormat="0" applyBorder="0" applyAlignment="0" applyProtection="0"/>
    <xf numFmtId="0" fontId="3" fillId="52" borderId="0" applyNumberFormat="0" applyBorder="0" applyAlignment="0" applyProtection="0"/>
    <xf numFmtId="0" fontId="3" fillId="41" borderId="0" applyNumberFormat="0" applyBorder="0" applyAlignment="0" applyProtection="0"/>
    <xf numFmtId="0" fontId="3" fillId="47" borderId="0" applyNumberFormat="0" applyBorder="0" applyAlignment="0" applyProtection="0"/>
    <xf numFmtId="0" fontId="3" fillId="53" borderId="0" applyNumberFormat="0" applyBorder="0" applyAlignment="0" applyProtection="0"/>
    <xf numFmtId="0" fontId="2" fillId="0" borderId="0"/>
    <xf numFmtId="0" fontId="2" fillId="0" borderId="0"/>
    <xf numFmtId="0" fontId="2" fillId="66" borderId="44" applyNumberFormat="0" applyFont="0" applyAlignment="0" applyProtection="0"/>
    <xf numFmtId="0" fontId="2" fillId="36" borderId="0" applyNumberFormat="0" applyBorder="0" applyAlignment="0" applyProtection="0"/>
    <xf numFmtId="0" fontId="2" fillId="42" borderId="0" applyNumberFormat="0" applyBorder="0" applyAlignment="0" applyProtection="0"/>
    <xf numFmtId="0" fontId="2" fillId="48" borderId="0" applyNumberFormat="0" applyBorder="0" applyAlignment="0" applyProtection="0"/>
    <xf numFmtId="0" fontId="2" fillId="37" borderId="0" applyNumberFormat="0" applyBorder="0" applyAlignment="0" applyProtection="0"/>
    <xf numFmtId="0" fontId="2" fillId="43" borderId="0" applyNumberFormat="0" applyBorder="0" applyAlignment="0" applyProtection="0"/>
    <xf numFmtId="0" fontId="2" fillId="49" borderId="0" applyNumberFormat="0" applyBorder="0" applyAlignment="0" applyProtection="0"/>
    <xf numFmtId="0" fontId="2" fillId="38" borderId="0" applyNumberFormat="0" applyBorder="0" applyAlignment="0" applyProtection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2" fillId="39" borderId="0" applyNumberFormat="0" applyBorder="0" applyAlignment="0" applyProtection="0"/>
    <xf numFmtId="0" fontId="2" fillId="45" borderId="0" applyNumberFormat="0" applyBorder="0" applyAlignment="0" applyProtection="0"/>
    <xf numFmtId="0" fontId="2" fillId="51" borderId="0" applyNumberFormat="0" applyBorder="0" applyAlignment="0" applyProtection="0"/>
    <xf numFmtId="0" fontId="2" fillId="40" borderId="0" applyNumberFormat="0" applyBorder="0" applyAlignment="0" applyProtection="0"/>
    <xf numFmtId="0" fontId="2" fillId="46" borderId="0" applyNumberFormat="0" applyBorder="0" applyAlignment="0" applyProtection="0"/>
    <xf numFmtId="0" fontId="2" fillId="52" borderId="0" applyNumberFormat="0" applyBorder="0" applyAlignment="0" applyProtection="0"/>
    <xf numFmtId="0" fontId="2" fillId="41" borderId="0" applyNumberFormat="0" applyBorder="0" applyAlignment="0" applyProtection="0"/>
    <xf numFmtId="0" fontId="2" fillId="47" borderId="0" applyNumberFormat="0" applyBorder="0" applyAlignment="0" applyProtection="0"/>
    <xf numFmtId="0" fontId="2" fillId="53" borderId="0" applyNumberFormat="0" applyBorder="0" applyAlignment="0" applyProtection="0"/>
    <xf numFmtId="0" fontId="1" fillId="0" borderId="0"/>
    <xf numFmtId="0" fontId="1" fillId="66" borderId="44" applyNumberFormat="0" applyFont="0" applyAlignment="0" applyProtection="0"/>
    <xf numFmtId="0" fontId="1" fillId="36" borderId="0" applyNumberFormat="0" applyBorder="0" applyAlignment="0" applyProtection="0"/>
    <xf numFmtId="0" fontId="1" fillId="42" borderId="0" applyNumberFormat="0" applyBorder="0" applyAlignment="0" applyProtection="0"/>
    <xf numFmtId="0" fontId="1" fillId="48" borderId="0" applyNumberFormat="0" applyBorder="0" applyAlignment="0" applyProtection="0"/>
    <xf numFmtId="0" fontId="1" fillId="37" borderId="0" applyNumberFormat="0" applyBorder="0" applyAlignment="0" applyProtection="0"/>
    <xf numFmtId="0" fontId="1" fillId="43" borderId="0" applyNumberFormat="0" applyBorder="0" applyAlignment="0" applyProtection="0"/>
    <xf numFmtId="0" fontId="1" fillId="49" borderId="0" applyNumberFormat="0" applyBorder="0" applyAlignment="0" applyProtection="0"/>
    <xf numFmtId="0" fontId="1" fillId="38" borderId="0" applyNumberFormat="0" applyBorder="0" applyAlignment="0" applyProtection="0"/>
    <xf numFmtId="0" fontId="1" fillId="44" borderId="0" applyNumberFormat="0" applyBorder="0" applyAlignment="0" applyProtection="0"/>
    <xf numFmtId="0" fontId="1" fillId="50" borderId="0" applyNumberFormat="0" applyBorder="0" applyAlignment="0" applyProtection="0"/>
    <xf numFmtId="0" fontId="1" fillId="39" borderId="0" applyNumberFormat="0" applyBorder="0" applyAlignment="0" applyProtection="0"/>
    <xf numFmtId="0" fontId="1" fillId="45" borderId="0" applyNumberFormat="0" applyBorder="0" applyAlignment="0" applyProtection="0"/>
    <xf numFmtId="0" fontId="1" fillId="51" borderId="0" applyNumberFormat="0" applyBorder="0" applyAlignment="0" applyProtection="0"/>
    <xf numFmtId="0" fontId="1" fillId="40" borderId="0" applyNumberFormat="0" applyBorder="0" applyAlignment="0" applyProtection="0"/>
    <xf numFmtId="0" fontId="1" fillId="46" borderId="0" applyNumberFormat="0" applyBorder="0" applyAlignment="0" applyProtection="0"/>
    <xf numFmtId="0" fontId="1" fillId="52" borderId="0" applyNumberFormat="0" applyBorder="0" applyAlignment="0" applyProtection="0"/>
    <xf numFmtId="0" fontId="1" fillId="41" borderId="0" applyNumberFormat="0" applyBorder="0" applyAlignment="0" applyProtection="0"/>
    <xf numFmtId="0" fontId="1" fillId="47" borderId="0" applyNumberFormat="0" applyBorder="0" applyAlignment="0" applyProtection="0"/>
    <xf numFmtId="0" fontId="1" fillId="53" borderId="0" applyNumberFormat="0" applyBorder="0" applyAlignment="0" applyProtection="0"/>
  </cellStyleXfs>
  <cellXfs count="520">
    <xf numFmtId="0" fontId="0" fillId="0" borderId="0" xfId="0"/>
    <xf numFmtId="0" fontId="5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8" fillId="24" borderId="13" xfId="0" applyFont="1" applyFill="1" applyBorder="1" applyAlignment="1">
      <alignment horizontal="center" vertical="center"/>
    </xf>
    <xf numFmtId="0" fontId="58" fillId="25" borderId="13" xfId="0" applyFont="1" applyFill="1" applyBorder="1" applyAlignment="1">
      <alignment horizontal="center" vertical="center"/>
    </xf>
    <xf numFmtId="0" fontId="55" fillId="0" borderId="14" xfId="0" applyFont="1" applyBorder="1" applyAlignment="1">
      <alignment horizontal="left"/>
    </xf>
    <xf numFmtId="0" fontId="55" fillId="0" borderId="13" xfId="0" applyFont="1" applyBorder="1" applyAlignment="1">
      <alignment horizontal="center"/>
    </xf>
    <xf numFmtId="2" fontId="55" fillId="24" borderId="13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63" fillId="0" borderId="15" xfId="0" applyNumberFormat="1" applyFont="1" applyBorder="1" applyAlignment="1">
      <alignment horizontal="center" vertical="center" wrapText="1"/>
    </xf>
    <xf numFmtId="2" fontId="62" fillId="26" borderId="13" xfId="0" applyNumberFormat="1" applyFont="1" applyFill="1" applyBorder="1" applyAlignment="1">
      <alignment horizontal="center" vertical="top" wrapText="1"/>
    </xf>
    <xf numFmtId="1" fontId="56" fillId="0" borderId="0" xfId="0" applyNumberFormat="1" applyFont="1" applyAlignment="1">
      <alignment horizontal="center"/>
    </xf>
    <xf numFmtId="2" fontId="0" fillId="0" borderId="0" xfId="0" applyNumberFormat="1"/>
    <xf numFmtId="1" fontId="64" fillId="0" borderId="0" xfId="0" applyNumberFormat="1" applyFont="1" applyAlignment="1">
      <alignment horizontal="center"/>
    </xf>
    <xf numFmtId="2" fontId="62" fillId="25" borderId="13" xfId="0" applyNumberFormat="1" applyFont="1" applyFill="1" applyBorder="1" applyAlignment="1">
      <alignment horizontal="center" vertical="top" wrapText="1"/>
    </xf>
    <xf numFmtId="0" fontId="55" fillId="0" borderId="23" xfId="0" applyFont="1" applyBorder="1" applyAlignment="1">
      <alignment horizontal="center"/>
    </xf>
    <xf numFmtId="2" fontId="0" fillId="25" borderId="23" xfId="0" applyNumberFormat="1" applyFill="1" applyBorder="1" applyAlignment="1">
      <alignment horizontal="center"/>
    </xf>
    <xf numFmtId="0" fontId="60" fillId="34" borderId="28" xfId="0" applyFont="1" applyFill="1" applyBorder="1" applyAlignment="1">
      <alignment horizontal="center"/>
    </xf>
    <xf numFmtId="2" fontId="60" fillId="34" borderId="28" xfId="0" applyNumberFormat="1" applyFont="1" applyFill="1" applyBorder="1" applyAlignment="1">
      <alignment horizontal="center"/>
    </xf>
    <xf numFmtId="1" fontId="60" fillId="34" borderId="29" xfId="0" applyNumberFormat="1" applyFont="1" applyFill="1" applyBorder="1" applyAlignment="1">
      <alignment horizontal="center"/>
    </xf>
    <xf numFmtId="14" fontId="59" fillId="34" borderId="30" xfId="0" applyNumberFormat="1" applyFont="1" applyFill="1" applyBorder="1" applyAlignment="1">
      <alignment horizontal="center"/>
    </xf>
    <xf numFmtId="2" fontId="0" fillId="31" borderId="32" xfId="0" applyNumberFormat="1" applyFill="1" applyBorder="1" applyAlignment="1">
      <alignment horizontal="center"/>
    </xf>
    <xf numFmtId="2" fontId="0" fillId="29" borderId="9" xfId="0" applyNumberFormat="1" applyFill="1" applyBorder="1" applyAlignment="1">
      <alignment horizontal="center"/>
    </xf>
    <xf numFmtId="2" fontId="0" fillId="30" borderId="13" xfId="0" applyNumberFormat="1" applyFill="1" applyBorder="1" applyAlignment="1">
      <alignment horizontal="center"/>
    </xf>
    <xf numFmtId="2" fontId="63" fillId="67" borderId="13" xfId="0" applyNumberFormat="1" applyFont="1" applyFill="1" applyBorder="1" applyAlignment="1">
      <alignment horizontal="center" vertical="top" wrapText="1"/>
    </xf>
    <xf numFmtId="2" fontId="63" fillId="68" borderId="15" xfId="0" quotePrefix="1" applyNumberFormat="1" applyFont="1" applyFill="1" applyBorder="1" applyAlignment="1">
      <alignment horizontal="center" vertical="top" wrapText="1"/>
    </xf>
    <xf numFmtId="0" fontId="14" fillId="0" borderId="0" xfId="0" applyFont="1" applyAlignment="1">
      <alignment horizontal="center"/>
    </xf>
    <xf numFmtId="0" fontId="66" fillId="0" borderId="0" xfId="0" applyFont="1" applyAlignment="1">
      <alignment horizontal="center" vertical="center"/>
    </xf>
    <xf numFmtId="2" fontId="65" fillId="32" borderId="24" xfId="0" applyNumberFormat="1" applyFont="1" applyFill="1" applyBorder="1" applyAlignment="1">
      <alignment horizontal="center"/>
    </xf>
    <xf numFmtId="0" fontId="94" fillId="0" borderId="0" xfId="0" applyFont="1"/>
    <xf numFmtId="0" fontId="64" fillId="0" borderId="0" xfId="0" applyFont="1" applyAlignment="1">
      <alignment horizontal="center"/>
    </xf>
    <xf numFmtId="1" fontId="64" fillId="75" borderId="26" xfId="0" applyNumberFormat="1" applyFont="1" applyFill="1" applyBorder="1" applyAlignment="1">
      <alignment horizontal="center" vertical="center" wrapText="1"/>
    </xf>
    <xf numFmtId="9" fontId="64" fillId="75" borderId="26" xfId="1177" applyFont="1" applyFill="1" applyBorder="1" applyAlignment="1">
      <alignment horizontal="center" vertical="center" wrapText="1"/>
    </xf>
    <xf numFmtId="1" fontId="64" fillId="75" borderId="26" xfId="1177" applyNumberFormat="1" applyFont="1" applyFill="1" applyBorder="1" applyAlignment="1">
      <alignment horizontal="center" vertical="center" wrapText="1"/>
    </xf>
    <xf numFmtId="9" fontId="64" fillId="75" borderId="26" xfId="1177" quotePrefix="1" applyFont="1" applyFill="1" applyBorder="1" applyAlignment="1">
      <alignment horizontal="center" vertical="center" wrapText="1"/>
    </xf>
    <xf numFmtId="1" fontId="64" fillId="75" borderId="26" xfId="1177" quotePrefix="1" applyNumberFormat="1" applyFont="1" applyFill="1" applyBorder="1" applyAlignment="1">
      <alignment horizontal="center" vertical="center" wrapText="1"/>
    </xf>
    <xf numFmtId="1" fontId="94" fillId="0" borderId="23" xfId="0" applyNumberFormat="1" applyFont="1" applyBorder="1" applyAlignment="1">
      <alignment horizontal="center" vertical="center"/>
    </xf>
    <xf numFmtId="3" fontId="94" fillId="0" borderId="23" xfId="0" applyNumberFormat="1" applyFont="1" applyBorder="1" applyAlignment="1">
      <alignment horizontal="center" vertical="center"/>
    </xf>
    <xf numFmtId="0" fontId="94" fillId="0" borderId="0" xfId="0" applyFont="1" applyAlignment="1">
      <alignment horizontal="center"/>
    </xf>
    <xf numFmtId="3" fontId="64" fillId="0" borderId="16" xfId="0" applyNumberFormat="1" applyFont="1" applyBorder="1" applyAlignment="1">
      <alignment horizontal="center" vertical="center"/>
    </xf>
    <xf numFmtId="165" fontId="64" fillId="0" borderId="16" xfId="1177" applyNumberFormat="1" applyFont="1" applyFill="1" applyBorder="1" applyAlignment="1">
      <alignment horizontal="center" vertical="center"/>
    </xf>
    <xf numFmtId="9" fontId="64" fillId="0" borderId="35" xfId="1177" applyFont="1" applyFill="1" applyBorder="1" applyAlignment="1">
      <alignment horizontal="center" vertical="center"/>
    </xf>
    <xf numFmtId="1" fontId="94" fillId="0" borderId="0" xfId="0" applyNumberFormat="1" applyFont="1"/>
    <xf numFmtId="14" fontId="94" fillId="0" borderId="0" xfId="0" applyNumberFormat="1" applyFont="1" applyAlignment="1">
      <alignment horizontal="center"/>
    </xf>
    <xf numFmtId="1" fontId="94" fillId="0" borderId="0" xfId="0" applyNumberFormat="1" applyFont="1" applyAlignment="1">
      <alignment horizontal="center"/>
    </xf>
    <xf numFmtId="9" fontId="94" fillId="0" borderId="0" xfId="1177" applyFont="1"/>
    <xf numFmtId="0" fontId="64" fillId="75" borderId="54" xfId="0" quotePrefix="1" applyFont="1" applyFill="1" applyBorder="1" applyAlignment="1">
      <alignment horizontal="center" vertical="center" wrapText="1"/>
    </xf>
    <xf numFmtId="0" fontId="94" fillId="0" borderId="55" xfId="0" applyFont="1" applyBorder="1" applyAlignment="1">
      <alignment horizontal="center"/>
    </xf>
    <xf numFmtId="2" fontId="94" fillId="0" borderId="56" xfId="0" applyNumberFormat="1" applyFont="1" applyBorder="1" applyAlignment="1">
      <alignment horizontal="center" vertical="center" wrapText="1"/>
    </xf>
    <xf numFmtId="1" fontId="64" fillId="75" borderId="57" xfId="0" applyNumberFormat="1" applyFont="1" applyFill="1" applyBorder="1" applyAlignment="1">
      <alignment horizontal="center" vertical="center" wrapText="1"/>
    </xf>
    <xf numFmtId="9" fontId="64" fillId="75" borderId="59" xfId="1177" applyFont="1" applyFill="1" applyBorder="1" applyAlignment="1">
      <alignment horizontal="center" vertical="center" wrapText="1"/>
    </xf>
    <xf numFmtId="165" fontId="94" fillId="0" borderId="60" xfId="1177" applyNumberFormat="1" applyFont="1" applyFill="1" applyBorder="1" applyAlignment="1">
      <alignment horizontal="center" vertical="center"/>
    </xf>
    <xf numFmtId="1" fontId="64" fillId="75" borderId="37" xfId="1177" applyNumberFormat="1" applyFont="1" applyFill="1" applyBorder="1" applyAlignment="1">
      <alignment horizontal="center" vertical="center" wrapText="1"/>
    </xf>
    <xf numFmtId="1" fontId="64" fillId="75" borderId="59" xfId="1177" applyNumberFormat="1" applyFont="1" applyFill="1" applyBorder="1" applyAlignment="1">
      <alignment horizontal="center" vertical="center" wrapText="1"/>
    </xf>
    <xf numFmtId="10" fontId="64" fillId="0" borderId="16" xfId="1177" applyNumberFormat="1" applyFont="1" applyFill="1" applyBorder="1" applyAlignment="1">
      <alignment horizontal="center" vertical="center"/>
    </xf>
    <xf numFmtId="1" fontId="64" fillId="75" borderId="16" xfId="1177" quotePrefix="1" applyNumberFormat="1" applyFont="1" applyFill="1" applyBorder="1" applyAlignment="1">
      <alignment horizontal="center" vertical="center" wrapText="1"/>
    </xf>
    <xf numFmtId="3" fontId="94" fillId="0" borderId="58" xfId="0" applyNumberFormat="1" applyFont="1" applyBorder="1" applyAlignment="1">
      <alignment horizontal="center" vertical="center"/>
    </xf>
    <xf numFmtId="1" fontId="94" fillId="0" borderId="48" xfId="0" applyNumberFormat="1" applyFont="1" applyBorder="1" applyAlignment="1">
      <alignment horizontal="center" vertical="center" wrapText="1"/>
    </xf>
    <xf numFmtId="0" fontId="95" fillId="75" borderId="63" xfId="0" quotePrefix="1" applyFont="1" applyFill="1" applyBorder="1" applyAlignment="1">
      <alignment horizontal="center" vertical="center" wrapText="1"/>
    </xf>
    <xf numFmtId="1" fontId="64" fillId="75" borderId="64" xfId="0" applyNumberFormat="1" applyFont="1" applyFill="1" applyBorder="1" applyAlignment="1">
      <alignment horizontal="center" vertical="center" wrapText="1"/>
    </xf>
    <xf numFmtId="0" fontId="64" fillId="75" borderId="16" xfId="0" quotePrefix="1" applyFont="1" applyFill="1" applyBorder="1" applyAlignment="1">
      <alignment horizontal="center" vertical="center" wrapText="1"/>
    </xf>
    <xf numFmtId="9" fontId="64" fillId="0" borderId="35" xfId="1178" applyFont="1" applyFill="1" applyBorder="1" applyAlignment="1">
      <alignment horizontal="center" vertical="center"/>
    </xf>
    <xf numFmtId="10" fontId="98" fillId="0" borderId="0" xfId="0" applyNumberFormat="1" applyFont="1" applyAlignment="1">
      <alignment horizontal="center"/>
    </xf>
    <xf numFmtId="1" fontId="64" fillId="76" borderId="26" xfId="1177" applyNumberFormat="1" applyFont="1" applyFill="1" applyBorder="1" applyAlignment="1">
      <alignment horizontal="center" vertical="center" wrapText="1"/>
    </xf>
    <xf numFmtId="3" fontId="64" fillId="0" borderId="68" xfId="0" applyNumberFormat="1" applyFont="1" applyBorder="1" applyAlignment="1">
      <alignment horizontal="center" vertical="center"/>
    </xf>
    <xf numFmtId="3" fontId="64" fillId="72" borderId="16" xfId="0" applyNumberFormat="1" applyFont="1" applyFill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14" fontId="59" fillId="34" borderId="69" xfId="0" applyNumberFormat="1" applyFont="1" applyFill="1" applyBorder="1" applyAlignment="1">
      <alignment horizontal="center"/>
    </xf>
    <xf numFmtId="1" fontId="65" fillId="71" borderId="16" xfId="0" applyNumberFormat="1" applyFont="1" applyFill="1" applyBorder="1" applyAlignment="1">
      <alignment horizontal="center"/>
    </xf>
    <xf numFmtId="2" fontId="65" fillId="71" borderId="16" xfId="0" applyNumberFormat="1" applyFont="1" applyFill="1" applyBorder="1" applyAlignment="1">
      <alignment horizontal="center"/>
    </xf>
    <xf numFmtId="0" fontId="55" fillId="0" borderId="0" xfId="0" applyFont="1" applyAlignment="1">
      <alignment horizontal="center" wrapText="1"/>
    </xf>
    <xf numFmtId="0" fontId="65" fillId="0" borderId="0" xfId="0" applyFont="1" applyAlignment="1">
      <alignment horizontal="center" wrapText="1"/>
    </xf>
    <xf numFmtId="0" fontId="102" fillId="0" borderId="0" xfId="0" applyFont="1" applyAlignment="1">
      <alignment horizontal="center" wrapText="1"/>
    </xf>
    <xf numFmtId="2" fontId="105" fillId="0" borderId="0" xfId="0" applyNumberFormat="1" applyFont="1" applyAlignment="1">
      <alignment horizontal="center"/>
    </xf>
    <xf numFmtId="0" fontId="14" fillId="0" borderId="0" xfId="0" applyFont="1"/>
    <xf numFmtId="0" fontId="93" fillId="0" borderId="0" xfId="0" applyFont="1" applyAlignment="1">
      <alignment horizontal="center" vertical="center"/>
    </xf>
    <xf numFmtId="1" fontId="65" fillId="73" borderId="16" xfId="0" applyNumberFormat="1" applyFont="1" applyFill="1" applyBorder="1" applyAlignment="1">
      <alignment horizontal="center"/>
    </xf>
    <xf numFmtId="0" fontId="107" fillId="0" borderId="0" xfId="0" applyFont="1" applyAlignment="1">
      <alignment horizontal="center" vertical="center"/>
    </xf>
    <xf numFmtId="0" fontId="110" fillId="83" borderId="12" xfId="0" applyFont="1" applyFill="1" applyBorder="1" applyAlignment="1">
      <alignment horizontal="center"/>
    </xf>
    <xf numFmtId="0" fontId="65" fillId="73" borderId="23" xfId="0" applyFont="1" applyFill="1" applyBorder="1" applyAlignment="1" applyProtection="1">
      <alignment horizontal="center" vertical="center"/>
      <protection locked="0"/>
    </xf>
    <xf numFmtId="0" fontId="111" fillId="0" borderId="13" xfId="1340" applyFont="1" applyBorder="1" applyAlignment="1" applyProtection="1">
      <alignment horizontal="center" vertical="center"/>
      <protection locked="0"/>
    </xf>
    <xf numFmtId="165" fontId="111" fillId="0" borderId="13" xfId="1178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/>
    <xf numFmtId="0" fontId="66" fillId="79" borderId="65" xfId="0" applyFont="1" applyFill="1" applyBorder="1" applyAlignment="1">
      <alignment horizontal="center" vertical="center" wrapText="1"/>
    </xf>
    <xf numFmtId="1" fontId="66" fillId="84" borderId="66" xfId="0" quotePrefix="1" applyNumberFormat="1" applyFont="1" applyFill="1" applyBorder="1" applyAlignment="1">
      <alignment horizontal="center" vertical="center" wrapText="1"/>
    </xf>
    <xf numFmtId="9" fontId="61" fillId="77" borderId="66" xfId="1178" applyFont="1" applyFill="1" applyBorder="1" applyAlignment="1">
      <alignment horizontal="center" vertical="center" wrapText="1"/>
    </xf>
    <xf numFmtId="1" fontId="90" fillId="78" borderId="66" xfId="0" applyNumberFormat="1" applyFont="1" applyFill="1" applyBorder="1" applyAlignment="1">
      <alignment horizontal="center" vertical="center" wrapText="1"/>
    </xf>
    <xf numFmtId="9" fontId="90" fillId="78" borderId="66" xfId="1178" applyFont="1" applyFill="1" applyBorder="1" applyAlignment="1">
      <alignment horizontal="center" vertical="center" wrapText="1"/>
    </xf>
    <xf numFmtId="1" fontId="90" fillId="82" borderId="66" xfId="0" applyNumberFormat="1" applyFont="1" applyFill="1" applyBorder="1" applyAlignment="1">
      <alignment horizontal="center" vertical="center" wrapText="1"/>
    </xf>
    <xf numFmtId="9" fontId="90" fillId="82" borderId="66" xfId="1178" applyFont="1" applyFill="1" applyBorder="1" applyAlignment="1">
      <alignment horizontal="center" vertical="center" wrapText="1"/>
    </xf>
    <xf numFmtId="1" fontId="61" fillId="79" borderId="66" xfId="1178" applyNumberFormat="1" applyFont="1" applyFill="1" applyBorder="1" applyAlignment="1">
      <alignment horizontal="center" vertical="center" wrapText="1"/>
    </xf>
    <xf numFmtId="9" fontId="61" fillId="79" borderId="66" xfId="1178" applyFont="1" applyFill="1" applyBorder="1" applyAlignment="1">
      <alignment horizontal="center" vertical="center" wrapText="1"/>
    </xf>
    <xf numFmtId="9" fontId="61" fillId="79" borderId="66" xfId="1178" quotePrefix="1" applyFont="1" applyFill="1" applyBorder="1" applyAlignment="1">
      <alignment horizontal="center" vertical="center" wrapText="1"/>
    </xf>
    <xf numFmtId="1" fontId="61" fillId="79" borderId="66" xfId="1178" quotePrefix="1" applyNumberFormat="1" applyFont="1" applyFill="1" applyBorder="1" applyAlignment="1">
      <alignment horizontal="center" vertical="center" wrapText="1"/>
    </xf>
    <xf numFmtId="1" fontId="61" fillId="79" borderId="67" xfId="1178" quotePrefix="1" applyNumberFormat="1" applyFont="1" applyFill="1" applyBorder="1" applyAlignment="1">
      <alignment horizontal="center" vertical="center" wrapText="1"/>
    </xf>
    <xf numFmtId="0" fontId="112" fillId="75" borderId="36" xfId="0" applyFont="1" applyFill="1" applyBorder="1" applyAlignment="1">
      <alignment horizontal="center" vertical="center" wrapText="1"/>
    </xf>
    <xf numFmtId="1" fontId="112" fillId="75" borderId="0" xfId="0" quotePrefix="1" applyNumberFormat="1" applyFont="1" applyFill="1" applyAlignment="1">
      <alignment horizontal="center" vertical="center" wrapText="1"/>
    </xf>
    <xf numFmtId="9" fontId="112" fillId="75" borderId="0" xfId="1178" applyFont="1" applyFill="1" applyBorder="1" applyAlignment="1">
      <alignment horizontal="center" vertical="center" wrapText="1"/>
    </xf>
    <xf numFmtId="1" fontId="112" fillId="75" borderId="0" xfId="0" applyNumberFormat="1" applyFont="1" applyFill="1" applyAlignment="1">
      <alignment horizontal="center" vertical="center" wrapText="1"/>
    </xf>
    <xf numFmtId="1" fontId="112" fillId="75" borderId="0" xfId="1178" applyNumberFormat="1" applyFont="1" applyFill="1" applyBorder="1" applyAlignment="1">
      <alignment horizontal="center" vertical="center" wrapText="1"/>
    </xf>
    <xf numFmtId="9" fontId="112" fillId="75" borderId="0" xfId="1178" quotePrefix="1" applyFont="1" applyFill="1" applyBorder="1" applyAlignment="1">
      <alignment horizontal="center" vertical="center" wrapText="1"/>
    </xf>
    <xf numFmtId="1" fontId="112" fillId="75" borderId="22" xfId="1178" quotePrefix="1" applyNumberFormat="1" applyFont="1" applyFill="1" applyBorder="1" applyAlignment="1">
      <alignment horizontal="center" vertical="center" wrapText="1"/>
    </xf>
    <xf numFmtId="1" fontId="112" fillId="75" borderId="61" xfId="1178" quotePrefix="1" applyNumberFormat="1" applyFont="1" applyFill="1" applyBorder="1" applyAlignment="1">
      <alignment horizontal="center" vertical="center" wrapText="1"/>
    </xf>
    <xf numFmtId="0" fontId="43" fillId="0" borderId="13" xfId="0" applyFont="1" applyBorder="1" applyAlignment="1">
      <alignment horizontal="center"/>
    </xf>
    <xf numFmtId="3" fontId="43" fillId="0" borderId="13" xfId="0" applyNumberFormat="1" applyFont="1" applyBorder="1" applyAlignment="1">
      <alignment horizontal="center"/>
    </xf>
    <xf numFmtId="9" fontId="43" fillId="28" borderId="13" xfId="1178" applyFont="1" applyFill="1" applyBorder="1" applyAlignment="1">
      <alignment horizontal="center"/>
    </xf>
    <xf numFmtId="9" fontId="112" fillId="28" borderId="13" xfId="1178" applyFont="1" applyFill="1" applyBorder="1" applyAlignment="1">
      <alignment horizontal="center"/>
    </xf>
    <xf numFmtId="1" fontId="43" fillId="31" borderId="13" xfId="0" applyNumberFormat="1" applyFont="1" applyFill="1" applyBorder="1" applyAlignment="1">
      <alignment horizontal="center"/>
    </xf>
    <xf numFmtId="9" fontId="43" fillId="35" borderId="13" xfId="1178" applyFont="1" applyFill="1" applyBorder="1" applyAlignment="1">
      <alignment horizontal="center"/>
    </xf>
    <xf numFmtId="1" fontId="43" fillId="0" borderId="13" xfId="0" applyNumberFormat="1" applyFont="1" applyBorder="1" applyAlignment="1">
      <alignment horizontal="center"/>
    </xf>
    <xf numFmtId="3" fontId="43" fillId="0" borderId="32" xfId="1178" applyNumberFormat="1" applyFont="1" applyBorder="1" applyAlignment="1">
      <alignment horizontal="center"/>
    </xf>
    <xf numFmtId="165" fontId="43" fillId="0" borderId="20" xfId="1178" applyNumberFormat="1" applyFont="1" applyBorder="1" applyAlignment="1">
      <alignment horizontal="center"/>
    </xf>
    <xf numFmtId="0" fontId="61" fillId="0" borderId="70" xfId="0" applyFont="1" applyBorder="1"/>
    <xf numFmtId="0" fontId="61" fillId="0" borderId="47" xfId="0" applyFont="1" applyBorder="1"/>
    <xf numFmtId="3" fontId="61" fillId="0" borderId="16" xfId="0" applyNumberFormat="1" applyFont="1" applyBorder="1" applyAlignment="1">
      <alignment horizontal="center"/>
    </xf>
    <xf numFmtId="165" fontId="61" fillId="28" borderId="16" xfId="1178" applyNumberFormat="1" applyFont="1" applyFill="1" applyBorder="1" applyAlignment="1">
      <alignment horizontal="center"/>
    </xf>
    <xf numFmtId="165" fontId="66" fillId="28" borderId="16" xfId="1178" applyNumberFormat="1" applyFont="1" applyFill="1" applyBorder="1" applyAlignment="1">
      <alignment horizontal="center"/>
    </xf>
    <xf numFmtId="165" fontId="61" fillId="35" borderId="16" xfId="1178" applyNumberFormat="1" applyFont="1" applyFill="1" applyBorder="1" applyAlignment="1">
      <alignment horizontal="center"/>
    </xf>
    <xf numFmtId="3" fontId="61" fillId="0" borderId="16" xfId="1178" applyNumberFormat="1" applyFont="1" applyBorder="1" applyAlignment="1">
      <alignment horizontal="center"/>
    </xf>
    <xf numFmtId="165" fontId="61" fillId="0" borderId="16" xfId="1178" applyNumberFormat="1" applyFont="1" applyBorder="1" applyAlignment="1">
      <alignment horizontal="center"/>
    </xf>
    <xf numFmtId="0" fontId="68" fillId="0" borderId="26" xfId="0" quotePrefix="1" applyFont="1" applyBorder="1" applyAlignment="1">
      <alignment horizontal="left"/>
    </xf>
    <xf numFmtId="0" fontId="65" fillId="0" borderId="26" xfId="0" applyFont="1" applyBorder="1" applyAlignment="1">
      <alignment horizontal="center" vertical="center"/>
    </xf>
    <xf numFmtId="2" fontId="61" fillId="24" borderId="26" xfId="0" applyNumberFormat="1" applyFont="1" applyFill="1" applyBorder="1" applyAlignment="1">
      <alignment horizontal="center" vertical="center"/>
    </xf>
    <xf numFmtId="1" fontId="65" fillId="71" borderId="26" xfId="0" applyNumberFormat="1" applyFont="1" applyFill="1" applyBorder="1" applyAlignment="1">
      <alignment horizontal="center"/>
    </xf>
    <xf numFmtId="164" fontId="107" fillId="0" borderId="0" xfId="0" applyNumberFormat="1" applyFont="1" applyAlignment="1">
      <alignment horizontal="center" vertical="center"/>
    </xf>
    <xf numFmtId="2" fontId="107" fillId="0" borderId="0" xfId="0" applyNumberFormat="1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14" fillId="0" borderId="0" xfId="0" applyFont="1" applyAlignment="1">
      <alignment horizontal="center" wrapText="1"/>
    </xf>
    <xf numFmtId="0" fontId="55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2" fontId="53" fillId="0" borderId="0" xfId="0" applyNumberFormat="1" applyFont="1" applyAlignment="1">
      <alignment horizontal="center" wrapText="1"/>
    </xf>
    <xf numFmtId="1" fontId="94" fillId="0" borderId="9" xfId="1178" applyNumberFormat="1" applyFont="1" applyFill="1" applyBorder="1" applyAlignment="1">
      <alignment horizontal="center" vertical="center"/>
    </xf>
    <xf numFmtId="1" fontId="94" fillId="0" borderId="23" xfId="1178" applyNumberFormat="1" applyFont="1" applyFill="1" applyBorder="1" applyAlignment="1">
      <alignment horizontal="center" vertical="center"/>
    </xf>
    <xf numFmtId="9" fontId="94" fillId="0" borderId="31" xfId="1178" applyFont="1" applyFill="1" applyBorder="1" applyAlignment="1">
      <alignment horizontal="center" vertical="center"/>
    </xf>
    <xf numFmtId="165" fontId="94" fillId="0" borderId="23" xfId="1178" applyNumberFormat="1" applyFont="1" applyFill="1" applyBorder="1" applyAlignment="1">
      <alignment horizontal="center" vertical="center"/>
    </xf>
    <xf numFmtId="1" fontId="94" fillId="0" borderId="31" xfId="1178" applyNumberFormat="1" applyFont="1" applyFill="1" applyBorder="1" applyAlignment="1">
      <alignment horizontal="center" vertical="center"/>
    </xf>
    <xf numFmtId="165" fontId="64" fillId="0" borderId="60" xfId="1178" applyNumberFormat="1" applyFont="1" applyFill="1" applyBorder="1" applyAlignment="1">
      <alignment horizontal="center" vertical="center"/>
    </xf>
    <xf numFmtId="2" fontId="61" fillId="0" borderId="0" xfId="0" applyNumberFormat="1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2" fontId="0" fillId="69" borderId="9" xfId="0" applyNumberFormat="1" applyFill="1" applyBorder="1" applyAlignment="1">
      <alignment horizontal="center"/>
    </xf>
    <xf numFmtId="1" fontId="64" fillId="75" borderId="25" xfId="1177" applyNumberFormat="1" applyFont="1" applyFill="1" applyBorder="1" applyAlignment="1">
      <alignment horizontal="center" vertical="center" wrapText="1"/>
    </xf>
    <xf numFmtId="1" fontId="64" fillId="75" borderId="57" xfId="1177" applyNumberFormat="1" applyFont="1" applyFill="1" applyBorder="1" applyAlignment="1">
      <alignment horizontal="center" vertical="center" wrapText="1"/>
    </xf>
    <xf numFmtId="1" fontId="94" fillId="0" borderId="58" xfId="0" applyNumberFormat="1" applyFont="1" applyBorder="1" applyAlignment="1">
      <alignment horizontal="center" vertical="center"/>
    </xf>
    <xf numFmtId="14" fontId="115" fillId="83" borderId="19" xfId="0" applyNumberFormat="1" applyFont="1" applyFill="1" applyBorder="1" applyAlignment="1" applyProtection="1">
      <alignment horizontal="center" vertical="center" wrapText="1"/>
      <protection locked="0"/>
    </xf>
    <xf numFmtId="0" fontId="107" fillId="73" borderId="0" xfId="0" applyFont="1" applyFill="1" applyAlignment="1">
      <alignment horizontal="center" vertical="center"/>
    </xf>
    <xf numFmtId="1" fontId="107" fillId="0" borderId="0" xfId="0" applyNumberFormat="1" applyFont="1" applyAlignment="1">
      <alignment horizontal="center" vertical="center"/>
    </xf>
    <xf numFmtId="9" fontId="65" fillId="0" borderId="0" xfId="1178" applyFont="1" applyFill="1" applyBorder="1" applyAlignment="1">
      <alignment horizontal="center" vertical="center"/>
    </xf>
    <xf numFmtId="9" fontId="107" fillId="0" borderId="0" xfId="1178" applyFont="1" applyFill="1" applyBorder="1" applyAlignment="1">
      <alignment horizontal="center" vertical="center"/>
    </xf>
    <xf numFmtId="9" fontId="107" fillId="0" borderId="0" xfId="1178" applyFont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9" fontId="103" fillId="0" borderId="0" xfId="1177" applyFont="1" applyFill="1" applyBorder="1" applyAlignment="1">
      <alignment horizontal="center" vertical="center"/>
    </xf>
    <xf numFmtId="9" fontId="65" fillId="0" borderId="0" xfId="1177" applyFont="1" applyFill="1" applyBorder="1" applyAlignment="1">
      <alignment horizontal="center" vertical="center"/>
    </xf>
    <xf numFmtId="0" fontId="55" fillId="72" borderId="16" xfId="0" applyFont="1" applyFill="1" applyBorder="1" applyAlignment="1">
      <alignment horizontal="center" vertical="center"/>
    </xf>
    <xf numFmtId="43" fontId="52" fillId="72" borderId="16" xfId="603" applyFont="1" applyFill="1" applyBorder="1" applyAlignment="1">
      <alignment horizontal="center" vertical="center" wrapText="1"/>
    </xf>
    <xf numFmtId="1" fontId="92" fillId="72" borderId="25" xfId="0" applyNumberFormat="1" applyFont="1" applyFill="1" applyBorder="1" applyAlignment="1">
      <alignment horizontal="center" vertical="center"/>
    </xf>
    <xf numFmtId="43" fontId="116" fillId="72" borderId="26" xfId="0" applyNumberFormat="1" applyFont="1" applyFill="1" applyBorder="1" applyAlignment="1">
      <alignment horizontal="center" vertical="center" wrapText="1"/>
    </xf>
    <xf numFmtId="10" fontId="57" fillId="0" borderId="0" xfId="1178" applyNumberFormat="1" applyFont="1" applyAlignment="1">
      <alignment horizontal="center"/>
    </xf>
    <xf numFmtId="10" fontId="0" fillId="0" borderId="0" xfId="1178" applyNumberFormat="1" applyFont="1" applyAlignment="1">
      <alignment horizontal="center"/>
    </xf>
    <xf numFmtId="10" fontId="91" fillId="0" borderId="0" xfId="1178" applyNumberFormat="1" applyFont="1"/>
    <xf numFmtId="10" fontId="100" fillId="0" borderId="0" xfId="1178" applyNumberFormat="1" applyFont="1" applyAlignment="1">
      <alignment horizontal="center"/>
    </xf>
    <xf numFmtId="0" fontId="101" fillId="72" borderId="0" xfId="0" applyFont="1" applyFill="1" applyAlignment="1">
      <alignment horizontal="center"/>
    </xf>
    <xf numFmtId="3" fontId="55" fillId="86" borderId="13" xfId="0" applyNumberFormat="1" applyFont="1" applyFill="1" applyBorder="1" applyAlignment="1">
      <alignment horizontal="center" vertical="center"/>
    </xf>
    <xf numFmtId="3" fontId="94" fillId="86" borderId="13" xfId="0" applyNumberFormat="1" applyFont="1" applyFill="1" applyBorder="1" applyAlignment="1">
      <alignment horizontal="center" vertical="center"/>
    </xf>
    <xf numFmtId="1" fontId="64" fillId="72" borderId="26" xfId="1177" applyNumberFormat="1" applyFont="1" applyFill="1" applyBorder="1" applyAlignment="1">
      <alignment horizontal="center" vertical="center" wrapText="1"/>
    </xf>
    <xf numFmtId="1" fontId="64" fillId="72" borderId="16" xfId="1177" quotePrefix="1" applyNumberFormat="1" applyFont="1" applyFill="1" applyBorder="1" applyAlignment="1">
      <alignment horizontal="center" vertical="center" wrapText="1"/>
    </xf>
    <xf numFmtId="0" fontId="65" fillId="72" borderId="23" xfId="0" applyFont="1" applyFill="1" applyBorder="1" applyAlignment="1" applyProtection="1">
      <alignment horizontal="center" vertical="center"/>
      <protection locked="0"/>
    </xf>
    <xf numFmtId="0" fontId="113" fillId="72" borderId="13" xfId="0" applyFont="1" applyFill="1" applyBorder="1" applyAlignment="1" applyProtection="1">
      <alignment horizontal="center"/>
      <protection locked="0"/>
    </xf>
    <xf numFmtId="0" fontId="111" fillId="72" borderId="13" xfId="1340" applyFont="1" applyFill="1" applyBorder="1" applyAlignment="1" applyProtection="1">
      <alignment horizontal="center" vertical="center"/>
      <protection locked="0"/>
    </xf>
    <xf numFmtId="14" fontId="109" fillId="83" borderId="34" xfId="739" applyNumberFormat="1" applyFont="1" applyFill="1" applyBorder="1" applyAlignment="1" applyProtection="1">
      <alignment vertical="center" wrapText="1"/>
      <protection locked="0"/>
    </xf>
    <xf numFmtId="14" fontId="109" fillId="83" borderId="27" xfId="0" applyNumberFormat="1" applyFont="1" applyFill="1" applyBorder="1" applyAlignment="1" applyProtection="1">
      <alignment vertical="center" wrapText="1"/>
      <protection locked="0"/>
    </xf>
    <xf numFmtId="0" fontId="64" fillId="87" borderId="50" xfId="0" applyFont="1" applyFill="1" applyBorder="1" applyAlignment="1">
      <alignment horizontal="center"/>
    </xf>
    <xf numFmtId="0" fontId="64" fillId="87" borderId="62" xfId="0" applyFont="1" applyFill="1" applyBorder="1" applyAlignment="1">
      <alignment horizontal="center"/>
    </xf>
    <xf numFmtId="2" fontId="117" fillId="85" borderId="9" xfId="0" applyNumberFormat="1" applyFont="1" applyFill="1" applyBorder="1" applyAlignment="1">
      <alignment horizontal="center"/>
    </xf>
    <xf numFmtId="2" fontId="117" fillId="26" borderId="20" xfId="0" applyNumberFormat="1" applyFont="1" applyFill="1" applyBorder="1" applyAlignment="1">
      <alignment horizontal="center"/>
    </xf>
    <xf numFmtId="2" fontId="117" fillId="26" borderId="21" xfId="0" applyNumberFormat="1" applyFont="1" applyFill="1" applyBorder="1" applyAlignment="1">
      <alignment horizontal="center"/>
    </xf>
    <xf numFmtId="1" fontId="104" fillId="26" borderId="16" xfId="0" applyNumberFormat="1" applyFont="1" applyFill="1" applyBorder="1" applyAlignment="1">
      <alignment horizontal="center"/>
    </xf>
    <xf numFmtId="0" fontId="118" fillId="88" borderId="55" xfId="0" applyFont="1" applyFill="1" applyBorder="1" applyAlignment="1">
      <alignment horizontal="center"/>
    </xf>
    <xf numFmtId="0" fontId="94" fillId="83" borderId="55" xfId="0" applyFont="1" applyFill="1" applyBorder="1" applyAlignment="1">
      <alignment horizontal="center"/>
    </xf>
    <xf numFmtId="0" fontId="0" fillId="0" borderId="0" xfId="0" applyAlignment="1">
      <alignment horizontal="center" vertical="center" textRotation="180" wrapText="1"/>
    </xf>
    <xf numFmtId="0" fontId="14" fillId="0" borderId="0" xfId="0" applyFont="1" applyAlignment="1">
      <alignment horizontal="center" vertical="center" textRotation="180" wrapText="1"/>
    </xf>
    <xf numFmtId="0" fontId="55" fillId="0" borderId="72" xfId="0" applyFont="1" applyBorder="1" applyAlignment="1">
      <alignment horizontal="center"/>
    </xf>
    <xf numFmtId="0" fontId="0" fillId="89" borderId="0" xfId="0" applyFill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72" xfId="0" applyBorder="1" applyAlignment="1">
      <alignment horizontal="center"/>
    </xf>
    <xf numFmtId="10" fontId="0" fillId="89" borderId="13" xfId="0" applyNumberFormat="1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0" fontId="14" fillId="0" borderId="72" xfId="0" applyFont="1" applyBorder="1" applyAlignment="1">
      <alignment horizontal="center"/>
    </xf>
    <xf numFmtId="1" fontId="120" fillId="0" borderId="13" xfId="1178" applyNumberFormat="1" applyFont="1" applyBorder="1" applyAlignment="1">
      <alignment horizontal="center"/>
    </xf>
    <xf numFmtId="1" fontId="120" fillId="89" borderId="13" xfId="1178" applyNumberFormat="1" applyFont="1" applyFill="1" applyBorder="1" applyAlignment="1">
      <alignment horizontal="center"/>
    </xf>
    <xf numFmtId="10" fontId="120" fillId="0" borderId="13" xfId="1178" applyNumberFormat="1" applyFont="1" applyFill="1" applyBorder="1" applyAlignment="1">
      <alignment horizontal="center"/>
    </xf>
    <xf numFmtId="0" fontId="14" fillId="90" borderId="72" xfId="0" applyFont="1" applyFill="1" applyBorder="1" applyAlignment="1">
      <alignment horizontal="center"/>
    </xf>
    <xf numFmtId="0" fontId="122" fillId="0" borderId="72" xfId="0" applyFont="1" applyBorder="1" applyAlignment="1">
      <alignment horizontal="center"/>
    </xf>
    <xf numFmtId="0" fontId="14" fillId="0" borderId="74" xfId="0" applyFont="1" applyBorder="1" applyAlignment="1">
      <alignment horizontal="center"/>
    </xf>
    <xf numFmtId="15" fontId="0" fillId="0" borderId="13" xfId="0" applyNumberFormat="1" applyBorder="1" applyAlignment="1">
      <alignment horizontal="center"/>
    </xf>
    <xf numFmtId="15" fontId="0" fillId="73" borderId="13" xfId="0" applyNumberFormat="1" applyFill="1" applyBorder="1" applyAlignment="1">
      <alignment horizontal="center"/>
    </xf>
    <xf numFmtId="0" fontId="0" fillId="73" borderId="13" xfId="0" applyFill="1" applyBorder="1" applyAlignment="1">
      <alignment horizontal="center"/>
    </xf>
    <xf numFmtId="0" fontId="55" fillId="73" borderId="13" xfId="0" applyFont="1" applyFill="1" applyBorder="1" applyAlignment="1">
      <alignment horizontal="center"/>
    </xf>
    <xf numFmtId="0" fontId="0" fillId="89" borderId="13" xfId="0" applyFill="1" applyBorder="1" applyAlignment="1">
      <alignment horizontal="center"/>
    </xf>
    <xf numFmtId="10" fontId="121" fillId="0" borderId="13" xfId="0" applyNumberFormat="1" applyFont="1" applyBorder="1" applyAlignment="1">
      <alignment horizontal="center" vertical="top" shrinkToFit="1"/>
    </xf>
    <xf numFmtId="165" fontId="0" fillId="0" borderId="13" xfId="1178" applyNumberFormat="1" applyFont="1" applyBorder="1" applyAlignment="1">
      <alignment horizontal="center"/>
    </xf>
    <xf numFmtId="165" fontId="0" fillId="0" borderId="13" xfId="1178" applyNumberFormat="1" applyFont="1" applyFill="1" applyBorder="1" applyAlignment="1">
      <alignment horizontal="center"/>
    </xf>
    <xf numFmtId="9" fontId="0" fillId="0" borderId="13" xfId="1178" applyFont="1" applyFill="1" applyBorder="1" applyAlignment="1">
      <alignment horizontal="center"/>
    </xf>
    <xf numFmtId="9" fontId="55" fillId="0" borderId="13" xfId="1178" applyFont="1" applyFill="1" applyBorder="1" applyAlignment="1">
      <alignment horizontal="center"/>
    </xf>
    <xf numFmtId="0" fontId="0" fillId="73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165" fontId="0" fillId="0" borderId="28" xfId="1178" applyNumberFormat="1" applyFont="1" applyBorder="1" applyAlignment="1">
      <alignment horizontal="center"/>
    </xf>
    <xf numFmtId="10" fontId="0" fillId="0" borderId="28" xfId="1178" applyNumberFormat="1" applyFont="1" applyBorder="1" applyAlignment="1">
      <alignment horizontal="center"/>
    </xf>
    <xf numFmtId="10" fontId="0" fillId="0" borderId="28" xfId="1178" applyNumberFormat="1" applyFont="1" applyFill="1" applyBorder="1" applyAlignment="1">
      <alignment horizontal="center"/>
    </xf>
    <xf numFmtId="167" fontId="123" fillId="89" borderId="13" xfId="0" applyNumberFormat="1" applyFont="1" applyFill="1" applyBorder="1" applyAlignment="1">
      <alignment horizontal="center" vertical="top" shrinkToFit="1"/>
    </xf>
    <xf numFmtId="15" fontId="0" fillId="89" borderId="13" xfId="0" applyNumberFormat="1" applyFill="1" applyBorder="1" applyAlignment="1">
      <alignment horizontal="center"/>
    </xf>
    <xf numFmtId="10" fontId="121" fillId="89" borderId="13" xfId="0" applyNumberFormat="1" applyFont="1" applyFill="1" applyBorder="1" applyAlignment="1">
      <alignment horizontal="center" vertical="top" shrinkToFit="1"/>
    </xf>
    <xf numFmtId="9" fontId="0" fillId="89" borderId="13" xfId="1178" applyFont="1" applyFill="1" applyBorder="1" applyAlignment="1">
      <alignment horizontal="center"/>
    </xf>
    <xf numFmtId="10" fontId="0" fillId="89" borderId="28" xfId="1178" applyNumberFormat="1" applyFont="1" applyFill="1" applyBorder="1" applyAlignment="1">
      <alignment horizontal="center"/>
    </xf>
    <xf numFmtId="0" fontId="0" fillId="89" borderId="23" xfId="0" applyFill="1" applyBorder="1" applyAlignment="1">
      <alignment horizontal="center"/>
    </xf>
    <xf numFmtId="10" fontId="120" fillId="89" borderId="13" xfId="1178" applyNumberFormat="1" applyFont="1" applyFill="1" applyBorder="1" applyAlignment="1">
      <alignment horizontal="center"/>
    </xf>
    <xf numFmtId="1" fontId="0" fillId="89" borderId="0" xfId="0" applyNumberFormat="1" applyFill="1" applyAlignment="1">
      <alignment horizontal="center"/>
    </xf>
    <xf numFmtId="1" fontId="120" fillId="0" borderId="13" xfId="1178" applyNumberFormat="1" applyFont="1" applyFill="1" applyBorder="1" applyAlignment="1">
      <alignment horizontal="center"/>
    </xf>
    <xf numFmtId="10" fontId="120" fillId="91" borderId="13" xfId="1178" applyNumberFormat="1" applyFont="1" applyFill="1" applyBorder="1" applyAlignment="1">
      <alignment horizontal="center"/>
    </xf>
    <xf numFmtId="0" fontId="124" fillId="0" borderId="72" xfId="0" applyFont="1" applyBorder="1" applyAlignment="1">
      <alignment horizontal="center"/>
    </xf>
    <xf numFmtId="10" fontId="0" fillId="0" borderId="0" xfId="0" applyNumberFormat="1" applyAlignment="1">
      <alignment horizontal="center"/>
    </xf>
    <xf numFmtId="0" fontId="125" fillId="0" borderId="72" xfId="0" applyFont="1" applyBorder="1" applyAlignment="1">
      <alignment horizontal="center"/>
    </xf>
    <xf numFmtId="165" fontId="125" fillId="0" borderId="13" xfId="1178" applyNumberFormat="1" applyFont="1" applyBorder="1" applyAlignment="1">
      <alignment horizontal="center"/>
    </xf>
    <xf numFmtId="166" fontId="125" fillId="0" borderId="13" xfId="603" applyNumberFormat="1" applyFont="1" applyBorder="1" applyAlignment="1">
      <alignment horizontal="center"/>
    </xf>
    <xf numFmtId="166" fontId="125" fillId="0" borderId="13" xfId="603" applyNumberFormat="1" applyFont="1" applyFill="1" applyBorder="1" applyAlignment="1">
      <alignment horizontal="center"/>
    </xf>
    <xf numFmtId="1" fontId="125" fillId="0" borderId="13" xfId="1178" applyNumberFormat="1" applyFont="1" applyFill="1" applyBorder="1" applyAlignment="1">
      <alignment horizontal="center"/>
    </xf>
    <xf numFmtId="0" fontId="125" fillId="0" borderId="0" xfId="0" applyFont="1" applyAlignment="1">
      <alignment horizontal="center"/>
    </xf>
    <xf numFmtId="166" fontId="126" fillId="0" borderId="13" xfId="603" applyNumberFormat="1" applyFont="1" applyFill="1" applyBorder="1" applyAlignment="1">
      <alignment horizontal="center"/>
    </xf>
    <xf numFmtId="166" fontId="126" fillId="0" borderId="13" xfId="603" applyNumberFormat="1" applyFont="1" applyBorder="1" applyAlignment="1">
      <alignment horizontal="center"/>
    </xf>
    <xf numFmtId="166" fontId="126" fillId="0" borderId="13" xfId="603" applyNumberFormat="1" applyFont="1" applyFill="1" applyBorder="1" applyAlignment="1">
      <alignment horizontal="center" vertical="center"/>
    </xf>
    <xf numFmtId="166" fontId="126" fillId="89" borderId="13" xfId="603" applyNumberFormat="1" applyFont="1" applyFill="1" applyBorder="1" applyAlignment="1">
      <alignment horizontal="center"/>
    </xf>
    <xf numFmtId="0" fontId="126" fillId="0" borderId="13" xfId="0" applyFont="1" applyBorder="1" applyAlignment="1">
      <alignment horizontal="center"/>
    </xf>
    <xf numFmtId="0" fontId="126" fillId="0" borderId="0" xfId="0" applyFont="1" applyAlignment="1">
      <alignment horizontal="center"/>
    </xf>
    <xf numFmtId="0" fontId="0" fillId="92" borderId="0" xfId="0" applyFill="1" applyAlignment="1">
      <alignment horizontal="center"/>
    </xf>
    <xf numFmtId="4" fontId="0" fillId="0" borderId="0" xfId="0" applyNumberFormat="1" applyAlignment="1">
      <alignment horizontal="center"/>
    </xf>
    <xf numFmtId="2" fontId="55" fillId="24" borderId="15" xfId="0" applyNumberFormat="1" applyFont="1" applyFill="1" applyBorder="1" applyAlignment="1">
      <alignment horizontal="center"/>
    </xf>
    <xf numFmtId="0" fontId="60" fillId="33" borderId="75" xfId="0" applyFont="1" applyFill="1" applyBorder="1" applyAlignment="1">
      <alignment horizontal="center"/>
    </xf>
    <xf numFmtId="0" fontId="60" fillId="34" borderId="76" xfId="0" applyFont="1" applyFill="1" applyBorder="1" applyAlignment="1">
      <alignment horizontal="center"/>
    </xf>
    <xf numFmtId="0" fontId="55" fillId="0" borderId="23" xfId="0" applyFont="1" applyBorder="1" applyAlignment="1">
      <alignment horizontal="left"/>
    </xf>
    <xf numFmtId="0" fontId="55" fillId="0" borderId="19" xfId="0" applyFont="1" applyBorder="1" applyAlignment="1">
      <alignment horizontal="left"/>
    </xf>
    <xf numFmtId="0" fontId="55" fillId="0" borderId="77" xfId="0" applyFont="1" applyBorder="1" applyAlignment="1">
      <alignment horizontal="center"/>
    </xf>
    <xf numFmtId="0" fontId="55" fillId="0" borderId="20" xfId="0" applyFont="1" applyBorder="1" applyAlignment="1">
      <alignment horizontal="center"/>
    </xf>
    <xf numFmtId="0" fontId="55" fillId="0" borderId="78" xfId="0" applyFont="1" applyBorder="1" applyAlignment="1">
      <alignment horizontal="left"/>
    </xf>
    <xf numFmtId="0" fontId="55" fillId="0" borderId="79" xfId="0" applyFont="1" applyBorder="1" applyAlignment="1">
      <alignment horizontal="center"/>
    </xf>
    <xf numFmtId="167" fontId="123" fillId="93" borderId="13" xfId="0" applyNumberFormat="1" applyFont="1" applyFill="1" applyBorder="1" applyAlignment="1">
      <alignment horizontal="center" vertical="top" shrinkToFit="1"/>
    </xf>
    <xf numFmtId="15" fontId="0" fillId="93" borderId="13" xfId="0" applyNumberFormat="1" applyFill="1" applyBorder="1" applyAlignment="1">
      <alignment horizontal="center"/>
    </xf>
    <xf numFmtId="10" fontId="121" fillId="93" borderId="13" xfId="0" applyNumberFormat="1" applyFont="1" applyFill="1" applyBorder="1" applyAlignment="1">
      <alignment horizontal="center" vertical="top" shrinkToFit="1"/>
    </xf>
    <xf numFmtId="9" fontId="0" fillId="93" borderId="13" xfId="1178" applyFont="1" applyFill="1" applyBorder="1" applyAlignment="1">
      <alignment horizontal="center"/>
    </xf>
    <xf numFmtId="1" fontId="125" fillId="93" borderId="13" xfId="1178" applyNumberFormat="1" applyFont="1" applyFill="1" applyBorder="1" applyAlignment="1">
      <alignment horizontal="center"/>
    </xf>
    <xf numFmtId="10" fontId="0" fillId="93" borderId="28" xfId="1178" applyNumberFormat="1" applyFont="1" applyFill="1" applyBorder="1" applyAlignment="1">
      <alignment horizontal="center"/>
    </xf>
    <xf numFmtId="0" fontId="0" fillId="93" borderId="23" xfId="0" applyFill="1" applyBorder="1" applyAlignment="1">
      <alignment horizontal="center"/>
    </xf>
    <xf numFmtId="1" fontId="120" fillId="93" borderId="13" xfId="1178" applyNumberFormat="1" applyFont="1" applyFill="1" applyBorder="1" applyAlignment="1">
      <alignment horizontal="center"/>
    </xf>
    <xf numFmtId="0" fontId="0" fillId="93" borderId="13" xfId="0" applyFill="1" applyBorder="1" applyAlignment="1">
      <alignment horizontal="center"/>
    </xf>
    <xf numFmtId="166" fontId="126" fillId="93" borderId="13" xfId="603" applyNumberFormat="1" applyFont="1" applyFill="1" applyBorder="1" applyAlignment="1">
      <alignment horizontal="center"/>
    </xf>
    <xf numFmtId="10" fontId="0" fillId="93" borderId="13" xfId="0" applyNumberFormat="1" applyFill="1" applyBorder="1" applyAlignment="1">
      <alignment horizontal="center"/>
    </xf>
    <xf numFmtId="166" fontId="124" fillId="93" borderId="13" xfId="0" applyNumberFormat="1" applyFont="1" applyFill="1" applyBorder="1" applyAlignment="1">
      <alignment horizontal="center"/>
    </xf>
    <xf numFmtId="166" fontId="0" fillId="93" borderId="13" xfId="0" applyNumberFormat="1" applyFill="1" applyBorder="1" applyAlignment="1">
      <alignment horizontal="center"/>
    </xf>
    <xf numFmtId="0" fontId="0" fillId="93" borderId="0" xfId="0" applyFill="1" applyAlignment="1">
      <alignment horizontal="center"/>
    </xf>
    <xf numFmtId="1" fontId="0" fillId="93" borderId="0" xfId="0" applyNumberFormat="1" applyFill="1" applyAlignment="1">
      <alignment horizontal="center"/>
    </xf>
    <xf numFmtId="1" fontId="64" fillId="75" borderId="25" xfId="0" applyNumberFormat="1" applyFont="1" applyFill="1" applyBorder="1" applyAlignment="1">
      <alignment horizontal="center" vertical="center" wrapText="1"/>
    </xf>
    <xf numFmtId="3" fontId="94" fillId="0" borderId="31" xfId="0" applyNumberFormat="1" applyFont="1" applyBorder="1" applyAlignment="1">
      <alignment horizontal="center" vertical="center"/>
    </xf>
    <xf numFmtId="3" fontId="64" fillId="0" borderId="35" xfId="0" applyNumberFormat="1" applyFont="1" applyBorder="1" applyAlignment="1">
      <alignment horizontal="center" vertical="center"/>
    </xf>
    <xf numFmtId="3" fontId="64" fillId="0" borderId="18" xfId="0" applyNumberFormat="1" applyFont="1" applyBorder="1" applyAlignment="1">
      <alignment horizontal="center" vertical="center"/>
    </xf>
    <xf numFmtId="165" fontId="94" fillId="0" borderId="81" xfId="1177" applyNumberFormat="1" applyFont="1" applyFill="1" applyBorder="1" applyAlignment="1">
      <alignment horizontal="center" vertical="center"/>
    </xf>
    <xf numFmtId="165" fontId="94" fillId="0" borderId="82" xfId="1177" applyNumberFormat="1" applyFont="1" applyFill="1" applyBorder="1" applyAlignment="1">
      <alignment horizontal="center" vertical="center"/>
    </xf>
    <xf numFmtId="1" fontId="64" fillId="75" borderId="16" xfId="1177" applyNumberFormat="1" applyFont="1" applyFill="1" applyBorder="1" applyAlignment="1">
      <alignment horizontal="center" vertical="center" wrapText="1"/>
    </xf>
    <xf numFmtId="0" fontId="127" fillId="79" borderId="65" xfId="0" applyFont="1" applyFill="1" applyBorder="1" applyAlignment="1">
      <alignment horizontal="center" vertical="center" wrapText="1"/>
    </xf>
    <xf numFmtId="0" fontId="127" fillId="79" borderId="66" xfId="0" applyFont="1" applyFill="1" applyBorder="1" applyAlignment="1">
      <alignment horizontal="center" vertical="center" wrapText="1"/>
    </xf>
    <xf numFmtId="0" fontId="127" fillId="79" borderId="66" xfId="0" quotePrefix="1" applyFont="1" applyFill="1" applyBorder="1" applyAlignment="1">
      <alignment horizontal="center" vertical="center" wrapText="1"/>
    </xf>
    <xf numFmtId="1" fontId="127" fillId="94" borderId="66" xfId="0" quotePrefix="1" applyNumberFormat="1" applyFont="1" applyFill="1" applyBorder="1" applyAlignment="1">
      <alignment horizontal="center" vertical="center" wrapText="1"/>
    </xf>
    <xf numFmtId="9" fontId="128" fillId="79" borderId="66" xfId="1178" applyFont="1" applyFill="1" applyBorder="1" applyAlignment="1">
      <alignment horizontal="center" vertical="center" wrapText="1"/>
    </xf>
    <xf numFmtId="1" fontId="127" fillId="79" borderId="66" xfId="0" applyNumberFormat="1" applyFont="1" applyFill="1" applyBorder="1" applyAlignment="1">
      <alignment horizontal="center" vertical="center" wrapText="1"/>
    </xf>
    <xf numFmtId="1" fontId="128" fillId="79" borderId="66" xfId="1178" applyNumberFormat="1" applyFont="1" applyFill="1" applyBorder="1" applyAlignment="1">
      <alignment horizontal="center" vertical="center" wrapText="1"/>
    </xf>
    <xf numFmtId="9" fontId="128" fillId="79" borderId="66" xfId="1178" quotePrefix="1" applyFont="1" applyFill="1" applyBorder="1" applyAlignment="1">
      <alignment horizontal="center" vertical="center" wrapText="1"/>
    </xf>
    <xf numFmtId="1" fontId="128" fillId="79" borderId="66" xfId="1178" quotePrefix="1" applyNumberFormat="1" applyFont="1" applyFill="1" applyBorder="1" applyAlignment="1">
      <alignment horizontal="center" vertical="center" wrapText="1"/>
    </xf>
    <xf numFmtId="1" fontId="128" fillId="79" borderId="67" xfId="1178" quotePrefix="1" applyNumberFormat="1" applyFont="1" applyFill="1" applyBorder="1" applyAlignment="1">
      <alignment horizontal="center" vertical="center" wrapText="1"/>
    </xf>
    <xf numFmtId="0" fontId="129" fillId="75" borderId="36" xfId="0" applyFont="1" applyFill="1" applyBorder="1" applyAlignment="1">
      <alignment horizontal="center" vertical="center" wrapText="1"/>
    </xf>
    <xf numFmtId="0" fontId="129" fillId="75" borderId="0" xfId="0" applyFont="1" applyFill="1" applyAlignment="1">
      <alignment horizontal="center" vertical="center" wrapText="1"/>
    </xf>
    <xf numFmtId="0" fontId="129" fillId="75" borderId="0" xfId="0" quotePrefix="1" applyFont="1" applyFill="1" applyAlignment="1">
      <alignment horizontal="center" vertical="center" wrapText="1"/>
    </xf>
    <xf numFmtId="1" fontId="129" fillId="75" borderId="0" xfId="0" quotePrefix="1" applyNumberFormat="1" applyFont="1" applyFill="1" applyAlignment="1">
      <alignment horizontal="center" vertical="center" wrapText="1"/>
    </xf>
    <xf numFmtId="9" fontId="129" fillId="75" borderId="0" xfId="1178" applyFont="1" applyFill="1" applyBorder="1" applyAlignment="1">
      <alignment horizontal="center" vertical="center" wrapText="1"/>
    </xf>
    <xf numFmtId="1" fontId="129" fillId="75" borderId="0" xfId="0" applyNumberFormat="1" applyFont="1" applyFill="1" applyAlignment="1">
      <alignment horizontal="center" vertical="center" wrapText="1"/>
    </xf>
    <xf numFmtId="1" fontId="129" fillId="75" borderId="0" xfId="1178" applyNumberFormat="1" applyFont="1" applyFill="1" applyBorder="1" applyAlignment="1">
      <alignment horizontal="center" vertical="center" wrapText="1"/>
    </xf>
    <xf numFmtId="9" fontId="129" fillId="75" borderId="0" xfId="1178" quotePrefix="1" applyFont="1" applyFill="1" applyBorder="1" applyAlignment="1">
      <alignment horizontal="center" vertical="center" wrapText="1"/>
    </xf>
    <xf numFmtId="1" fontId="129" fillId="75" borderId="22" xfId="1178" quotePrefix="1" applyNumberFormat="1" applyFont="1" applyFill="1" applyBorder="1" applyAlignment="1">
      <alignment horizontal="center" vertical="center" wrapText="1"/>
    </xf>
    <xf numFmtId="1" fontId="129" fillId="75" borderId="61" xfId="1178" quotePrefix="1" applyNumberFormat="1" applyFont="1" applyFill="1" applyBorder="1" applyAlignment="1">
      <alignment horizontal="center" vertical="center" wrapText="1"/>
    </xf>
    <xf numFmtId="15" fontId="130" fillId="0" borderId="13" xfId="828" applyNumberFormat="1" applyFont="1" applyBorder="1" applyAlignment="1" applyProtection="1">
      <alignment horizontal="center"/>
      <protection locked="0"/>
    </xf>
    <xf numFmtId="3" fontId="131" fillId="0" borderId="13" xfId="0" applyNumberFormat="1" applyFont="1" applyBorder="1" applyAlignment="1">
      <alignment horizontal="center"/>
    </xf>
    <xf numFmtId="9" fontId="131" fillId="28" borderId="13" xfId="1178" applyFont="1" applyFill="1" applyBorder="1" applyAlignment="1">
      <alignment horizontal="center"/>
    </xf>
    <xf numFmtId="9" fontId="132" fillId="28" borderId="13" xfId="1178" applyFont="1" applyFill="1" applyBorder="1" applyAlignment="1">
      <alignment horizontal="center"/>
    </xf>
    <xf numFmtId="1" fontId="131" fillId="31" borderId="13" xfId="0" applyNumberFormat="1" applyFont="1" applyFill="1" applyBorder="1" applyAlignment="1">
      <alignment horizontal="center"/>
    </xf>
    <xf numFmtId="9" fontId="131" fillId="35" borderId="13" xfId="1178" applyFont="1" applyFill="1" applyBorder="1" applyAlignment="1">
      <alignment horizontal="center"/>
    </xf>
    <xf numFmtId="1" fontId="131" fillId="0" borderId="13" xfId="0" applyNumberFormat="1" applyFont="1" applyBorder="1" applyAlignment="1">
      <alignment horizontal="center"/>
    </xf>
    <xf numFmtId="3" fontId="131" fillId="0" borderId="32" xfId="1178" applyNumberFormat="1" applyFont="1" applyBorder="1" applyAlignment="1">
      <alignment horizontal="center"/>
    </xf>
    <xf numFmtId="165" fontId="131" fillId="0" borderId="20" xfId="1178" applyNumberFormat="1" applyFont="1" applyBorder="1" applyAlignment="1">
      <alignment horizontal="center"/>
    </xf>
    <xf numFmtId="0" fontId="133" fillId="0" borderId="0" xfId="0" applyFont="1" applyAlignment="1">
      <alignment horizontal="center"/>
    </xf>
    <xf numFmtId="0" fontId="134" fillId="0" borderId="18" xfId="0" applyFont="1" applyBorder="1"/>
    <xf numFmtId="3" fontId="135" fillId="0" borderId="16" xfId="0" applyNumberFormat="1" applyFont="1" applyBorder="1" applyAlignment="1">
      <alignment horizontal="center"/>
    </xf>
    <xf numFmtId="165" fontId="135" fillId="28" borderId="16" xfId="1178" applyNumberFormat="1" applyFont="1" applyFill="1" applyBorder="1" applyAlignment="1">
      <alignment horizontal="center"/>
    </xf>
    <xf numFmtId="165" fontId="136" fillId="28" borderId="16" xfId="1178" applyNumberFormat="1" applyFont="1" applyFill="1" applyBorder="1" applyAlignment="1">
      <alignment horizontal="center"/>
    </xf>
    <xf numFmtId="165" fontId="135" fillId="35" borderId="16" xfId="1178" applyNumberFormat="1" applyFont="1" applyFill="1" applyBorder="1" applyAlignment="1">
      <alignment horizontal="center"/>
    </xf>
    <xf numFmtId="165" fontId="135" fillId="0" borderId="16" xfId="1178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34" fillId="0" borderId="25" xfId="0" applyFont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0" fontId="128" fillId="0" borderId="13" xfId="0" applyFont="1" applyBorder="1" applyAlignment="1" applyProtection="1">
      <alignment horizontal="center"/>
      <protection locked="0"/>
    </xf>
    <xf numFmtId="0" fontId="137" fillId="0" borderId="13" xfId="0" applyFont="1" applyBorder="1" applyAlignment="1">
      <alignment horizontal="center" vertical="center"/>
    </xf>
    <xf numFmtId="0" fontId="138" fillId="95" borderId="16" xfId="1340" applyFont="1" applyFill="1" applyBorder="1" applyAlignment="1">
      <alignment horizontal="center" vertical="center"/>
    </xf>
    <xf numFmtId="0" fontId="139" fillId="95" borderId="18" xfId="1340" applyFont="1" applyFill="1" applyBorder="1" applyAlignment="1">
      <alignment horizontal="center" vertical="center"/>
    </xf>
    <xf numFmtId="1" fontId="140" fillId="95" borderId="16" xfId="1340" applyNumberFormat="1" applyFont="1" applyFill="1" applyBorder="1" applyAlignment="1">
      <alignment horizontal="center" vertical="center" wrapText="1"/>
    </xf>
    <xf numFmtId="0" fontId="140" fillId="95" borderId="16" xfId="1340" applyFont="1" applyFill="1" applyBorder="1" applyAlignment="1">
      <alignment horizontal="center" vertical="center" wrapText="1"/>
    </xf>
    <xf numFmtId="1" fontId="140" fillId="95" borderId="16" xfId="1181" applyNumberFormat="1" applyFont="1" applyFill="1" applyBorder="1" applyAlignment="1">
      <alignment horizontal="center" vertical="center" wrapText="1"/>
    </xf>
    <xf numFmtId="9" fontId="140" fillId="95" borderId="16" xfId="1181" applyFont="1" applyFill="1" applyBorder="1" applyAlignment="1">
      <alignment horizontal="center" vertical="center" wrapText="1"/>
    </xf>
    <xf numFmtId="0" fontId="141" fillId="96" borderId="16" xfId="897" applyFont="1" applyFill="1" applyBorder="1" applyAlignment="1">
      <alignment horizontal="center" vertical="center" wrapText="1"/>
    </xf>
    <xf numFmtId="0" fontId="139" fillId="81" borderId="0" xfId="1340" applyFont="1" applyFill="1" applyAlignment="1">
      <alignment horizontal="center" vertical="center"/>
    </xf>
    <xf numFmtId="1" fontId="140" fillId="81" borderId="0" xfId="1340" applyNumberFormat="1" applyFont="1" applyFill="1" applyAlignment="1">
      <alignment horizontal="center" vertical="center" wrapText="1"/>
    </xf>
    <xf numFmtId="0" fontId="140" fillId="81" borderId="0" xfId="1340" applyFont="1" applyFill="1" applyAlignment="1">
      <alignment horizontal="center" vertical="center" wrapText="1"/>
    </xf>
    <xf numFmtId="1" fontId="140" fillId="81" borderId="0" xfId="1181" applyNumberFormat="1" applyFont="1" applyFill="1" applyBorder="1" applyAlignment="1">
      <alignment horizontal="center" vertical="center" wrapText="1"/>
    </xf>
    <xf numFmtId="9" fontId="140" fillId="81" borderId="0" xfId="1181" applyFont="1" applyFill="1" applyBorder="1" applyAlignment="1">
      <alignment horizontal="center" vertical="center" wrapText="1"/>
    </xf>
    <xf numFmtId="0" fontId="141" fillId="81" borderId="0" xfId="897" applyFont="1" applyFill="1" applyAlignment="1">
      <alignment horizontal="center" vertical="center" wrapText="1"/>
    </xf>
    <xf numFmtId="0" fontId="106" fillId="75" borderId="81" xfId="1340" applyFont="1" applyFill="1" applyBorder="1" applyAlignment="1">
      <alignment horizontal="center" vertical="center"/>
    </xf>
    <xf numFmtId="3" fontId="142" fillId="75" borderId="13" xfId="1340" applyNumberFormat="1" applyFont="1" applyFill="1" applyBorder="1" applyAlignment="1">
      <alignment horizontal="center" vertical="center"/>
    </xf>
    <xf numFmtId="3" fontId="143" fillId="0" borderId="13" xfId="1340" applyNumberFormat="1" applyFont="1" applyBorder="1" applyAlignment="1">
      <alignment horizontal="center"/>
    </xf>
    <xf numFmtId="1" fontId="144" fillId="0" borderId="13" xfId="0" applyNumberFormat="1" applyFont="1" applyBorder="1" applyAlignment="1">
      <alignment horizontal="center" vertical="center"/>
    </xf>
    <xf numFmtId="9" fontId="143" fillId="0" borderId="13" xfId="1181" applyFont="1" applyFill="1" applyBorder="1" applyAlignment="1">
      <alignment horizontal="center"/>
    </xf>
    <xf numFmtId="0" fontId="144" fillId="0" borderId="13" xfId="1340" applyFont="1" applyBorder="1" applyAlignment="1">
      <alignment horizontal="center"/>
    </xf>
    <xf numFmtId="0" fontId="106" fillId="0" borderId="13" xfId="1436" applyFont="1" applyBorder="1" applyAlignment="1">
      <alignment horizontal="center" vertical="center"/>
    </xf>
    <xf numFmtId="0" fontId="106" fillId="75" borderId="13" xfId="1436" applyFont="1" applyFill="1" applyBorder="1" applyAlignment="1">
      <alignment horizontal="center" vertical="center"/>
    </xf>
    <xf numFmtId="0" fontId="106" fillId="0" borderId="13" xfId="1436" applyFont="1" applyBorder="1" applyAlignment="1">
      <alignment horizontal="center"/>
    </xf>
    <xf numFmtId="0" fontId="145" fillId="97" borderId="26" xfId="1340" applyFont="1" applyFill="1" applyBorder="1" applyAlignment="1">
      <alignment horizontal="center"/>
    </xf>
    <xf numFmtId="0" fontId="145" fillId="97" borderId="37" xfId="1340" applyFont="1" applyFill="1" applyBorder="1" applyAlignment="1">
      <alignment horizontal="center" vertical="center"/>
    </xf>
    <xf numFmtId="3" fontId="145" fillId="92" borderId="26" xfId="1340" applyNumberFormat="1" applyFont="1" applyFill="1" applyBorder="1" applyAlignment="1">
      <alignment horizontal="center" vertical="center"/>
    </xf>
    <xf numFmtId="3" fontId="64" fillId="72" borderId="71" xfId="0" applyNumberFormat="1" applyFont="1" applyFill="1" applyBorder="1" applyAlignment="1">
      <alignment horizontal="center" vertical="center"/>
    </xf>
    <xf numFmtId="1" fontId="0" fillId="0" borderId="0" xfId="0" applyNumberFormat="1"/>
    <xf numFmtId="168" fontId="0" fillId="0" borderId="0" xfId="0" applyNumberFormat="1"/>
    <xf numFmtId="3" fontId="146" fillId="75" borderId="13" xfId="1340" applyNumberFormat="1" applyFont="1" applyFill="1" applyBorder="1" applyAlignment="1">
      <alignment horizontal="center"/>
    </xf>
    <xf numFmtId="0" fontId="147" fillId="75" borderId="15" xfId="1340" applyFont="1" applyFill="1" applyBorder="1" applyAlignment="1">
      <alignment horizontal="center" vertical="center"/>
    </xf>
    <xf numFmtId="0" fontId="148" fillId="0" borderId="15" xfId="1340" applyFont="1" applyBorder="1" applyAlignment="1">
      <alignment horizontal="center" vertical="center"/>
    </xf>
    <xf numFmtId="0" fontId="148" fillId="75" borderId="15" xfId="1340" applyFont="1" applyFill="1" applyBorder="1" applyAlignment="1">
      <alignment horizontal="center" vertical="center"/>
    </xf>
    <xf numFmtId="3" fontId="148" fillId="0" borderId="15" xfId="1340" applyNumberFormat="1" applyFont="1" applyBorder="1" applyAlignment="1">
      <alignment horizontal="center"/>
    </xf>
    <xf numFmtId="0" fontId="148" fillId="90" borderId="15" xfId="1340" applyFont="1" applyFill="1" applyBorder="1" applyAlignment="1">
      <alignment horizontal="center" vertical="center"/>
    </xf>
    <xf numFmtId="3" fontId="143" fillId="90" borderId="13" xfId="1340" applyNumberFormat="1" applyFont="1" applyFill="1" applyBorder="1" applyAlignment="1">
      <alignment horizontal="center"/>
    </xf>
    <xf numFmtId="167" fontId="123" fillId="91" borderId="13" xfId="0" applyNumberFormat="1" applyFont="1" applyFill="1" applyBorder="1" applyAlignment="1">
      <alignment horizontal="center" vertical="top" shrinkToFit="1"/>
    </xf>
    <xf numFmtId="0" fontId="0" fillId="91" borderId="13" xfId="0" applyFill="1" applyBorder="1" applyAlignment="1">
      <alignment horizontal="center"/>
    </xf>
    <xf numFmtId="9" fontId="0" fillId="91" borderId="13" xfId="1178" applyFont="1" applyFill="1" applyBorder="1" applyAlignment="1">
      <alignment horizontal="center"/>
    </xf>
    <xf numFmtId="1" fontId="125" fillId="91" borderId="13" xfId="1178" applyNumberFormat="1" applyFont="1" applyFill="1" applyBorder="1" applyAlignment="1">
      <alignment horizontal="center"/>
    </xf>
    <xf numFmtId="10" fontId="0" fillId="91" borderId="28" xfId="1178" applyNumberFormat="1" applyFont="1" applyFill="1" applyBorder="1" applyAlignment="1">
      <alignment horizontal="center"/>
    </xf>
    <xf numFmtId="0" fontId="0" fillId="91" borderId="23" xfId="0" applyFill="1" applyBorder="1" applyAlignment="1">
      <alignment horizontal="center"/>
    </xf>
    <xf numFmtId="1" fontId="120" fillId="91" borderId="13" xfId="1178" applyNumberFormat="1" applyFont="1" applyFill="1" applyBorder="1" applyAlignment="1">
      <alignment horizontal="center"/>
    </xf>
    <xf numFmtId="1" fontId="126" fillId="91" borderId="13" xfId="0" applyNumberFormat="1" applyFont="1" applyFill="1" applyBorder="1" applyAlignment="1">
      <alignment horizontal="center"/>
    </xf>
    <xf numFmtId="10" fontId="0" fillId="91" borderId="13" xfId="0" applyNumberFormat="1" applyFill="1" applyBorder="1" applyAlignment="1">
      <alignment horizontal="center"/>
    </xf>
    <xf numFmtId="166" fontId="0" fillId="91" borderId="13" xfId="0" applyNumberFormat="1" applyFill="1" applyBorder="1" applyAlignment="1">
      <alignment horizontal="center"/>
    </xf>
    <xf numFmtId="0" fontId="0" fillId="91" borderId="0" xfId="0" applyFill="1" applyAlignment="1">
      <alignment horizontal="center"/>
    </xf>
    <xf numFmtId="1" fontId="0" fillId="91" borderId="0" xfId="0" applyNumberFormat="1" applyFill="1" applyAlignment="1">
      <alignment horizontal="center"/>
    </xf>
    <xf numFmtId="169" fontId="0" fillId="0" borderId="0" xfId="0" applyNumberFormat="1" applyAlignment="1">
      <alignment horizontal="center"/>
    </xf>
    <xf numFmtId="169" fontId="0" fillId="91" borderId="0" xfId="0" applyNumberFormat="1" applyFill="1" applyAlignment="1">
      <alignment horizontal="center"/>
    </xf>
    <xf numFmtId="10" fontId="0" fillId="91" borderId="0" xfId="0" applyNumberFormat="1" applyFill="1" applyAlignment="1">
      <alignment horizontal="center"/>
    </xf>
    <xf numFmtId="169" fontId="14" fillId="90" borderId="0" xfId="0" applyNumberFormat="1" applyFont="1" applyFill="1"/>
    <xf numFmtId="169" fontId="0" fillId="90" borderId="0" xfId="0" applyNumberFormat="1" applyFill="1"/>
    <xf numFmtId="10" fontId="0" fillId="90" borderId="0" xfId="0" applyNumberFormat="1" applyFill="1"/>
    <xf numFmtId="0" fontId="0" fillId="90" borderId="0" xfId="0" applyFill="1"/>
    <xf numFmtId="169" fontId="0" fillId="90" borderId="0" xfId="0" applyNumberFormat="1" applyFill="1" applyAlignment="1">
      <alignment horizontal="center"/>
    </xf>
    <xf numFmtId="10" fontId="0" fillId="90" borderId="0" xfId="0" applyNumberFormat="1" applyFill="1" applyAlignment="1">
      <alignment horizontal="center"/>
    </xf>
    <xf numFmtId="0" fontId="0" fillId="90" borderId="0" xfId="0" applyFill="1" applyAlignment="1">
      <alignment horizontal="center"/>
    </xf>
    <xf numFmtId="10" fontId="121" fillId="91" borderId="13" xfId="0" applyNumberFormat="1" applyFont="1" applyFill="1" applyBorder="1" applyAlignment="1">
      <alignment horizontal="center" vertical="top" shrinkToFit="1"/>
    </xf>
    <xf numFmtId="3" fontId="64" fillId="72" borderId="18" xfId="0" applyNumberFormat="1" applyFont="1" applyFill="1" applyBorder="1" applyAlignment="1">
      <alignment horizontal="center" vertical="center"/>
    </xf>
    <xf numFmtId="165" fontId="64" fillId="0" borderId="16" xfId="1178" applyNumberFormat="1" applyFont="1" applyFill="1" applyBorder="1" applyAlignment="1">
      <alignment horizontal="center" vertical="center"/>
    </xf>
    <xf numFmtId="0" fontId="64" fillId="0" borderId="35" xfId="0" applyFont="1" applyBorder="1" applyAlignment="1">
      <alignment vertical="center"/>
    </xf>
    <xf numFmtId="2" fontId="94" fillId="0" borderId="16" xfId="0" applyNumberFormat="1" applyFont="1" applyBorder="1" applyAlignment="1">
      <alignment horizontal="center" vertical="center" wrapText="1"/>
    </xf>
    <xf numFmtId="167" fontId="123" fillId="0" borderId="13" xfId="0" applyNumberFormat="1" applyFont="1" applyBorder="1" applyAlignment="1">
      <alignment horizontal="center" vertical="top" shrinkToFit="1"/>
    </xf>
    <xf numFmtId="10" fontId="125" fillId="0" borderId="28" xfId="1178" applyNumberFormat="1" applyFont="1" applyFill="1" applyBorder="1" applyAlignment="1">
      <alignment horizontal="center"/>
    </xf>
    <xf numFmtId="10" fontId="0" fillId="93" borderId="0" xfId="1178" applyNumberFormat="1" applyFont="1" applyFill="1" applyAlignment="1">
      <alignment horizontal="center"/>
    </xf>
    <xf numFmtId="10" fontId="0" fillId="91" borderId="13" xfId="1178" applyNumberFormat="1" applyFont="1" applyFill="1" applyBorder="1" applyAlignment="1">
      <alignment horizontal="center"/>
    </xf>
    <xf numFmtId="10" fontId="0" fillId="0" borderId="13" xfId="1178" applyNumberFormat="1" applyFont="1" applyFill="1" applyBorder="1" applyAlignment="1">
      <alignment horizontal="center"/>
    </xf>
    <xf numFmtId="1" fontId="126" fillId="72" borderId="72" xfId="0" applyNumberFormat="1" applyFont="1" applyFill="1" applyBorder="1" applyAlignment="1">
      <alignment horizontal="center"/>
    </xf>
    <xf numFmtId="1" fontId="126" fillId="0" borderId="13" xfId="0" applyNumberFormat="1" applyFon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124" fillId="0" borderId="13" xfId="0" applyNumberFormat="1" applyFont="1" applyBorder="1" applyAlignment="1">
      <alignment horizontal="center"/>
    </xf>
    <xf numFmtId="0" fontId="126" fillId="72" borderId="72" xfId="0" applyFont="1" applyFill="1" applyBorder="1" applyAlignment="1">
      <alignment horizontal="center"/>
    </xf>
    <xf numFmtId="0" fontId="151" fillId="0" borderId="13" xfId="0" applyFont="1" applyBorder="1" applyAlignment="1">
      <alignment horizontal="center"/>
    </xf>
    <xf numFmtId="1" fontId="151" fillId="0" borderId="13" xfId="0" applyNumberFormat="1" applyFont="1" applyBorder="1" applyAlignment="1">
      <alignment horizontal="center"/>
    </xf>
    <xf numFmtId="1" fontId="151" fillId="89" borderId="13" xfId="0" applyNumberFormat="1" applyFont="1" applyFill="1" applyBorder="1" applyAlignment="1">
      <alignment horizontal="center"/>
    </xf>
    <xf numFmtId="1" fontId="151" fillId="93" borderId="13" xfId="0" applyNumberFormat="1" applyFont="1" applyFill="1" applyBorder="1" applyAlignment="1">
      <alignment horizontal="center"/>
    </xf>
    <xf numFmtId="0" fontId="151" fillId="91" borderId="13" xfId="0" applyFont="1" applyFill="1" applyBorder="1" applyAlignment="1">
      <alignment horizontal="center"/>
    </xf>
    <xf numFmtId="0" fontId="151" fillId="0" borderId="0" xfId="0" applyFont="1" applyAlignment="1">
      <alignment horizontal="center"/>
    </xf>
    <xf numFmtId="0" fontId="14" fillId="0" borderId="73" xfId="0" applyFont="1" applyBorder="1" applyAlignment="1">
      <alignment horizontal="center" vertical="center" wrapText="1"/>
    </xf>
    <xf numFmtId="0" fontId="151" fillId="93" borderId="0" xfId="0" applyFont="1" applyFill="1" applyAlignment="1">
      <alignment horizontal="center"/>
    </xf>
    <xf numFmtId="0" fontId="151" fillId="91" borderId="0" xfId="0" applyFont="1" applyFill="1" applyAlignment="1">
      <alignment horizontal="center"/>
    </xf>
    <xf numFmtId="1" fontId="0" fillId="77" borderId="0" xfId="0" applyNumberFormat="1" applyFill="1" applyAlignment="1">
      <alignment horizontal="center"/>
    </xf>
    <xf numFmtId="0" fontId="14" fillId="72" borderId="0" xfId="0" applyFont="1" applyFill="1" applyAlignment="1">
      <alignment horizontal="center"/>
    </xf>
    <xf numFmtId="2" fontId="14" fillId="0" borderId="0" xfId="0" applyNumberFormat="1" applyFont="1"/>
    <xf numFmtId="0" fontId="148" fillId="98" borderId="15" xfId="1340" applyFont="1" applyFill="1" applyBorder="1" applyAlignment="1">
      <alignment horizontal="center" vertical="center"/>
    </xf>
    <xf numFmtId="3" fontId="143" fillId="98" borderId="13" xfId="1340" applyNumberFormat="1" applyFont="1" applyFill="1" applyBorder="1" applyAlignment="1">
      <alignment horizontal="center"/>
    </xf>
    <xf numFmtId="0" fontId="92" fillId="0" borderId="0" xfId="0" applyFont="1" applyAlignment="1">
      <alignment horizontal="center" vertical="center"/>
    </xf>
    <xf numFmtId="1" fontId="90" fillId="82" borderId="13" xfId="0" applyNumberFormat="1" applyFont="1" applyFill="1" applyBorder="1" applyAlignment="1">
      <alignment horizontal="center" vertical="center" wrapText="1"/>
    </xf>
    <xf numFmtId="0" fontId="90" fillId="82" borderId="13" xfId="0" applyFont="1" applyFill="1" applyBorder="1" applyAlignment="1">
      <alignment horizontal="center" vertical="center" wrapText="1"/>
    </xf>
    <xf numFmtId="0" fontId="90" fillId="82" borderId="13" xfId="0" quotePrefix="1" applyFont="1" applyFill="1" applyBorder="1" applyAlignment="1">
      <alignment horizontal="center" vertical="center" wrapText="1"/>
    </xf>
    <xf numFmtId="2" fontId="90" fillId="82" borderId="13" xfId="0" applyNumberFormat="1" applyFont="1" applyFill="1" applyBorder="1" applyAlignment="1">
      <alignment horizontal="center" vertical="center" wrapText="1"/>
    </xf>
    <xf numFmtId="9" fontId="150" fillId="82" borderId="13" xfId="1177" applyFont="1" applyFill="1" applyBorder="1" applyAlignment="1">
      <alignment horizontal="center" vertical="center" wrapText="1"/>
    </xf>
    <xf numFmtId="9" fontId="90" fillId="82" borderId="13" xfId="1178" quotePrefix="1" applyFont="1" applyFill="1" applyBorder="1" applyAlignment="1">
      <alignment horizontal="center" vertical="center" wrapText="1"/>
    </xf>
    <xf numFmtId="9" fontId="150" fillId="72" borderId="13" xfId="1178" quotePrefix="1" applyFont="1" applyFill="1" applyBorder="1" applyAlignment="1">
      <alignment horizontal="center" vertical="center" wrapText="1"/>
    </xf>
    <xf numFmtId="0" fontId="61" fillId="82" borderId="13" xfId="0" applyFont="1" applyFill="1" applyBorder="1" applyAlignment="1">
      <alignment horizontal="center" vertical="center" wrapText="1"/>
    </xf>
    <xf numFmtId="9" fontId="150" fillId="73" borderId="13" xfId="1178" quotePrefix="1" applyFont="1" applyFill="1" applyBorder="1" applyAlignment="1">
      <alignment horizontal="center" vertical="center" wrapText="1"/>
    </xf>
    <xf numFmtId="0" fontId="61" fillId="73" borderId="13" xfId="0" applyFont="1" applyFill="1" applyBorder="1" applyAlignment="1">
      <alignment horizontal="center" vertical="center" wrapText="1"/>
    </xf>
    <xf numFmtId="0" fontId="90" fillId="80" borderId="13" xfId="0" applyFont="1" applyFill="1" applyBorder="1" applyAlignment="1">
      <alignment horizontal="center" vertical="center" textRotation="90" wrapText="1"/>
    </xf>
    <xf numFmtId="0" fontId="61" fillId="27" borderId="13" xfId="0" applyFont="1" applyFill="1" applyBorder="1" applyAlignment="1">
      <alignment horizontal="center" vertical="center" wrapText="1"/>
    </xf>
    <xf numFmtId="0" fontId="61" fillId="27" borderId="13" xfId="0" quotePrefix="1" applyFont="1" applyFill="1" applyBorder="1" applyAlignment="1">
      <alignment horizontal="center" vertical="center" wrapText="1"/>
    </xf>
    <xf numFmtId="1" fontId="55" fillId="0" borderId="13" xfId="0" applyNumberFormat="1" applyFont="1" applyBorder="1" applyAlignment="1">
      <alignment horizontal="center"/>
    </xf>
    <xf numFmtId="1" fontId="55" fillId="89" borderId="13" xfId="0" applyNumberFormat="1" applyFont="1" applyFill="1" applyBorder="1" applyAlignment="1">
      <alignment horizontal="center"/>
    </xf>
    <xf numFmtId="1" fontId="55" fillId="93" borderId="13" xfId="0" applyNumberFormat="1" applyFont="1" applyFill="1" applyBorder="1" applyAlignment="1">
      <alignment horizontal="center"/>
    </xf>
    <xf numFmtId="1" fontId="55" fillId="91" borderId="13" xfId="0" applyNumberFormat="1" applyFont="1" applyFill="1" applyBorder="1" applyAlignment="1">
      <alignment horizontal="center"/>
    </xf>
    <xf numFmtId="0" fontId="106" fillId="99" borderId="13" xfId="1436" applyFont="1" applyFill="1" applyBorder="1" applyAlignment="1">
      <alignment horizontal="center" vertical="center"/>
    </xf>
    <xf numFmtId="0" fontId="148" fillId="99" borderId="15" xfId="1340" applyFont="1" applyFill="1" applyBorder="1" applyAlignment="1">
      <alignment horizontal="center" vertical="center"/>
    </xf>
    <xf numFmtId="3" fontId="143" fillId="99" borderId="13" xfId="1340" applyNumberFormat="1" applyFont="1" applyFill="1" applyBorder="1" applyAlignment="1">
      <alignment horizontal="center"/>
    </xf>
    <xf numFmtId="0" fontId="147" fillId="0" borderId="15" xfId="1340" applyFont="1" applyBorder="1" applyAlignment="1">
      <alignment horizontal="center" vertical="center"/>
    </xf>
    <xf numFmtId="3" fontId="143" fillId="75" borderId="13" xfId="1340" applyNumberFormat="1" applyFont="1" applyFill="1" applyBorder="1" applyAlignment="1">
      <alignment horizontal="center"/>
    </xf>
    <xf numFmtId="3" fontId="148" fillId="99" borderId="15" xfId="1340" applyNumberFormat="1" applyFont="1" applyFill="1" applyBorder="1" applyAlignment="1">
      <alignment horizontal="center"/>
    </xf>
    <xf numFmtId="1" fontId="152" fillId="70" borderId="76" xfId="739" applyNumberFormat="1" applyFont="1" applyFill="1" applyBorder="1" applyAlignment="1">
      <alignment horizontal="center" vertical="center"/>
    </xf>
    <xf numFmtId="0" fontId="104" fillId="70" borderId="76" xfId="0" applyFont="1" applyFill="1" applyBorder="1" applyAlignment="1">
      <alignment horizontal="center" vertical="center"/>
    </xf>
    <xf numFmtId="0" fontId="104" fillId="70" borderId="76" xfId="0" applyFont="1" applyFill="1" applyBorder="1" applyAlignment="1">
      <alignment horizontal="center" vertical="center" wrapText="1"/>
    </xf>
    <xf numFmtId="0" fontId="104" fillId="70" borderId="76" xfId="0" quotePrefix="1" applyFont="1" applyFill="1" applyBorder="1" applyAlignment="1">
      <alignment horizontal="center" vertical="center"/>
    </xf>
    <xf numFmtId="1" fontId="103" fillId="70" borderId="76" xfId="0" applyNumberFormat="1" applyFont="1" applyFill="1" applyBorder="1" applyAlignment="1">
      <alignment horizontal="center" vertical="center"/>
    </xf>
    <xf numFmtId="2" fontId="104" fillId="70" borderId="76" xfId="0" applyNumberFormat="1" applyFont="1" applyFill="1" applyBorder="1" applyAlignment="1">
      <alignment horizontal="center" vertical="center"/>
    </xf>
    <xf numFmtId="0" fontId="65" fillId="70" borderId="76" xfId="0" applyFont="1" applyFill="1" applyBorder="1" applyAlignment="1">
      <alignment horizontal="center" vertical="center"/>
    </xf>
    <xf numFmtId="2" fontId="106" fillId="72" borderId="76" xfId="1313" applyNumberFormat="1" applyFont="1" applyFill="1" applyBorder="1" applyAlignment="1">
      <alignment horizontal="center" vertical="center" wrapText="1"/>
    </xf>
    <xf numFmtId="9" fontId="103" fillId="70" borderId="76" xfId="1177" applyFont="1" applyFill="1" applyBorder="1" applyAlignment="1">
      <alignment horizontal="center" vertical="center"/>
    </xf>
    <xf numFmtId="9" fontId="104" fillId="70" borderId="76" xfId="1178" applyFont="1" applyFill="1" applyBorder="1" applyAlignment="1">
      <alignment horizontal="center" vertical="center" wrapText="1"/>
    </xf>
    <xf numFmtId="9" fontId="104" fillId="70" borderId="76" xfId="1178" quotePrefix="1" applyFont="1" applyFill="1" applyBorder="1" applyAlignment="1">
      <alignment horizontal="center" vertical="center" wrapText="1"/>
    </xf>
    <xf numFmtId="2" fontId="104" fillId="70" borderId="76" xfId="0" applyNumberFormat="1" applyFont="1" applyFill="1" applyBorder="1" applyAlignment="1">
      <alignment horizontal="center" vertical="center" wrapText="1"/>
    </xf>
    <xf numFmtId="2" fontId="55" fillId="0" borderId="9" xfId="0" applyNumberFormat="1" applyFont="1" applyBorder="1" applyAlignment="1">
      <alignment horizontal="center"/>
    </xf>
    <xf numFmtId="0" fontId="58" fillId="0" borderId="13" xfId="0" applyFont="1" applyBorder="1" applyAlignment="1">
      <alignment horizontal="center" vertical="center"/>
    </xf>
    <xf numFmtId="9" fontId="150" fillId="82" borderId="13" xfId="1177" applyFont="1" applyFill="1" applyBorder="1" applyAlignment="1">
      <alignment horizontal="left" vertical="center" wrapText="1"/>
    </xf>
    <xf numFmtId="9" fontId="90" fillId="82" borderId="13" xfId="1177" applyFont="1" applyFill="1" applyBorder="1" applyAlignment="1">
      <alignment horizontal="left" vertical="center" wrapText="1"/>
    </xf>
    <xf numFmtId="9" fontId="150" fillId="70" borderId="76" xfId="1177" applyFont="1" applyFill="1" applyBorder="1" applyAlignment="1">
      <alignment horizontal="left"/>
    </xf>
    <xf numFmtId="9" fontId="150" fillId="0" borderId="0" xfId="1177" applyFont="1" applyFill="1" applyBorder="1" applyAlignment="1">
      <alignment horizontal="left"/>
    </xf>
    <xf numFmtId="1" fontId="64" fillId="72" borderId="26" xfId="0" applyNumberFormat="1" applyFont="1" applyFill="1" applyBorder="1" applyAlignment="1">
      <alignment horizontal="center" vertical="center" wrapText="1"/>
    </xf>
    <xf numFmtId="1" fontId="64" fillId="72" borderId="25" xfId="1177" quotePrefix="1" applyNumberFormat="1" applyFont="1" applyFill="1" applyBorder="1" applyAlignment="1">
      <alignment horizontal="center" vertical="center" wrapText="1"/>
    </xf>
    <xf numFmtId="165" fontId="111" fillId="72" borderId="32" xfId="1178" applyNumberFormat="1" applyFont="1" applyFill="1" applyBorder="1" applyAlignment="1" applyProtection="1">
      <alignment horizontal="center" vertical="center"/>
      <protection locked="0"/>
    </xf>
    <xf numFmtId="1" fontId="64" fillId="76" borderId="58" xfId="1177" applyNumberFormat="1" applyFont="1" applyFill="1" applyBorder="1" applyAlignment="1">
      <alignment horizontal="center" vertical="center" wrapText="1"/>
    </xf>
    <xf numFmtId="1" fontId="64" fillId="76" borderId="23" xfId="1177" applyNumberFormat="1" applyFont="1" applyFill="1" applyBorder="1" applyAlignment="1">
      <alignment horizontal="center" vertical="center" wrapText="1"/>
    </xf>
    <xf numFmtId="1" fontId="64" fillId="72" borderId="23" xfId="0" applyNumberFormat="1" applyFont="1" applyFill="1" applyBorder="1" applyAlignment="1">
      <alignment horizontal="center" vertical="center" wrapText="1"/>
    </xf>
    <xf numFmtId="14" fontId="64" fillId="0" borderId="83" xfId="0" applyNumberFormat="1" applyFont="1" applyBorder="1" applyAlignment="1">
      <alignment horizontal="center"/>
    </xf>
    <xf numFmtId="14" fontId="64" fillId="0" borderId="85" xfId="0" applyNumberFormat="1" applyFont="1" applyBorder="1" applyAlignment="1">
      <alignment horizontal="center"/>
    </xf>
    <xf numFmtId="0" fontId="64" fillId="0" borderId="84" xfId="0" applyFont="1" applyBorder="1" applyAlignment="1">
      <alignment horizontal="center"/>
    </xf>
    <xf numFmtId="1" fontId="64" fillId="0" borderId="13" xfId="0" applyNumberFormat="1" applyFont="1" applyBorder="1" applyAlignment="1">
      <alignment horizontal="center"/>
    </xf>
    <xf numFmtId="3" fontId="64" fillId="0" borderId="13" xfId="0" applyNumberFormat="1" applyFont="1" applyBorder="1" applyAlignment="1">
      <alignment horizontal="center"/>
    </xf>
    <xf numFmtId="3" fontId="64" fillId="0" borderId="13" xfId="0" applyNumberFormat="1" applyFont="1" applyBorder="1" applyAlignment="1">
      <alignment horizontal="center" vertical="center"/>
    </xf>
    <xf numFmtId="0" fontId="94" fillId="0" borderId="0" xfId="0" applyFont="1" applyAlignment="1">
      <alignment horizontal="center" wrapText="1"/>
    </xf>
    <xf numFmtId="3" fontId="153" fillId="0" borderId="16" xfId="0" applyNumberFormat="1" applyFont="1" applyBorder="1" applyAlignment="1">
      <alignment horizontal="center" vertical="center"/>
    </xf>
    <xf numFmtId="3" fontId="149" fillId="99" borderId="15" xfId="1340" applyNumberFormat="1" applyFont="1" applyFill="1" applyBorder="1" applyAlignment="1">
      <alignment horizontal="center"/>
    </xf>
    <xf numFmtId="0" fontId="106" fillId="0" borderId="13" xfId="1340" applyFont="1" applyBorder="1" applyAlignment="1">
      <alignment horizontal="center" vertical="center"/>
    </xf>
    <xf numFmtId="0" fontId="65" fillId="99" borderId="13" xfId="0" applyFont="1" applyFill="1" applyBorder="1" applyAlignment="1">
      <alignment horizontal="center" vertical="center"/>
    </xf>
    <xf numFmtId="0" fontId="65" fillId="75" borderId="13" xfId="0" applyFont="1" applyFill="1" applyBorder="1" applyAlignment="1">
      <alignment horizontal="center" vertical="center"/>
    </xf>
    <xf numFmtId="0" fontId="65" fillId="98" borderId="13" xfId="0" applyFont="1" applyFill="1" applyBorder="1" applyAlignment="1">
      <alignment horizontal="center" vertical="center"/>
    </xf>
    <xf numFmtId="0" fontId="65" fillId="90" borderId="13" xfId="0" applyFont="1" applyFill="1" applyBorder="1" applyAlignment="1">
      <alignment horizontal="center" vertical="center"/>
    </xf>
    <xf numFmtId="0" fontId="61" fillId="0" borderId="0" xfId="0" applyFont="1" applyAlignment="1">
      <alignment horizontal="center"/>
    </xf>
    <xf numFmtId="3" fontId="142" fillId="0" borderId="32" xfId="1340" applyNumberFormat="1" applyFont="1" applyBorder="1" applyAlignment="1">
      <alignment horizontal="center" vertical="center"/>
    </xf>
    <xf numFmtId="0" fontId="144" fillId="0" borderId="32" xfId="1340" applyFont="1" applyBorder="1"/>
    <xf numFmtId="0" fontId="140" fillId="95" borderId="86" xfId="1340" applyFont="1" applyFill="1" applyBorder="1" applyAlignment="1">
      <alignment horizontal="center" vertical="center" wrapText="1"/>
    </xf>
    <xf numFmtId="0" fontId="61" fillId="0" borderId="13" xfId="0" applyFont="1" applyBorder="1" applyAlignment="1">
      <alignment horizontal="center"/>
    </xf>
    <xf numFmtId="2" fontId="61" fillId="0" borderId="13" xfId="0" applyNumberFormat="1" applyFont="1" applyBorder="1" applyAlignment="1">
      <alignment horizontal="center"/>
    </xf>
    <xf numFmtId="164" fontId="61" fillId="0" borderId="13" xfId="0" applyNumberFormat="1" applyFont="1" applyBorder="1" applyAlignment="1">
      <alignment horizontal="center"/>
    </xf>
    <xf numFmtId="2" fontId="154" fillId="100" borderId="13" xfId="0" applyNumberFormat="1" applyFont="1" applyFill="1" applyBorder="1" applyAlignment="1">
      <alignment horizontal="center"/>
    </xf>
    <xf numFmtId="4" fontId="143" fillId="98" borderId="13" xfId="1340" applyNumberFormat="1" applyFont="1" applyFill="1" applyBorder="1" applyAlignment="1">
      <alignment horizontal="center"/>
    </xf>
    <xf numFmtId="4" fontId="142" fillId="75" borderId="13" xfId="1340" applyNumberFormat="1" applyFont="1" applyFill="1" applyBorder="1" applyAlignment="1">
      <alignment horizontal="center" vertical="center"/>
    </xf>
    <xf numFmtId="0" fontId="65" fillId="0" borderId="13" xfId="0" applyFont="1" applyBorder="1" applyAlignment="1">
      <alignment horizontal="center" wrapText="1"/>
    </xf>
    <xf numFmtId="9" fontId="155" fillId="73" borderId="13" xfId="1178" quotePrefix="1" applyFont="1" applyFill="1" applyBorder="1" applyAlignment="1">
      <alignment horizontal="center" vertical="center" wrapText="1"/>
    </xf>
    <xf numFmtId="0" fontId="156" fillId="70" borderId="76" xfId="0" applyFont="1" applyFill="1" applyBorder="1" applyAlignment="1">
      <alignment horizontal="center" vertical="center"/>
    </xf>
    <xf numFmtId="9" fontId="157" fillId="0" borderId="0" xfId="1177" applyFont="1" applyFill="1" applyBorder="1" applyAlignment="1">
      <alignment horizontal="center" vertical="center"/>
    </xf>
    <xf numFmtId="0" fontId="122" fillId="0" borderId="0" xfId="0" applyFont="1"/>
    <xf numFmtId="0" fontId="158" fillId="83" borderId="11" xfId="0" applyFont="1" applyFill="1" applyBorder="1"/>
    <xf numFmtId="0" fontId="122" fillId="0" borderId="76" xfId="0" applyFont="1" applyBorder="1"/>
    <xf numFmtId="2" fontId="65" fillId="72" borderId="76" xfId="0" applyNumberFormat="1" applyFont="1" applyFill="1" applyBorder="1" applyAlignment="1">
      <alignment horizontal="center" vertical="center" wrapText="1"/>
    </xf>
    <xf numFmtId="2" fontId="99" fillId="72" borderId="76" xfId="0" applyNumberFormat="1" applyFont="1" applyFill="1" applyBorder="1" applyAlignment="1">
      <alignment horizontal="center" vertical="center"/>
    </xf>
    <xf numFmtId="0" fontId="0" fillId="0" borderId="13" xfId="0" applyBorder="1"/>
    <xf numFmtId="0" fontId="64" fillId="0" borderId="87" xfId="0" applyFont="1" applyBorder="1" applyAlignment="1">
      <alignment horizontal="center"/>
    </xf>
    <xf numFmtId="1" fontId="64" fillId="0" borderId="76" xfId="0" applyNumberFormat="1" applyFont="1" applyBorder="1" applyAlignment="1">
      <alignment horizontal="center"/>
    </xf>
    <xf numFmtId="3" fontId="64" fillId="0" borderId="76" xfId="0" applyNumberFormat="1" applyFont="1" applyBorder="1" applyAlignment="1">
      <alignment horizontal="center" vertical="center"/>
    </xf>
    <xf numFmtId="3" fontId="64" fillId="0" borderId="76" xfId="0" applyNumberFormat="1" applyFont="1" applyBorder="1" applyAlignment="1">
      <alignment horizontal="center"/>
    </xf>
    <xf numFmtId="2" fontId="106" fillId="72" borderId="13" xfId="1313" applyNumberFormat="1" applyFont="1" applyFill="1" applyBorder="1" applyAlignment="1">
      <alignment horizontal="center" vertical="center" wrapText="1"/>
    </xf>
    <xf numFmtId="0" fontId="159" fillId="0" borderId="13" xfId="0" applyFont="1" applyBorder="1" applyAlignment="1">
      <alignment horizontal="center" vertical="center"/>
    </xf>
    <xf numFmtId="0" fontId="159" fillId="0" borderId="13" xfId="0" quotePrefix="1" applyFont="1" applyBorder="1"/>
    <xf numFmtId="0" fontId="0" fillId="0" borderId="13" xfId="0" applyBorder="1" applyAlignment="1">
      <alignment horizontal="center" vertical="center"/>
    </xf>
    <xf numFmtId="0" fontId="0" fillId="0" borderId="13" xfId="0" quotePrefix="1" applyBorder="1"/>
    <xf numFmtId="14" fontId="119" fillId="83" borderId="27" xfId="0" applyNumberFormat="1" applyFont="1" applyFill="1" applyBorder="1" applyAlignment="1" applyProtection="1">
      <alignment horizontal="center" vertical="center" wrapText="1"/>
      <protection locked="0"/>
    </xf>
    <xf numFmtId="14" fontId="119" fillId="83" borderId="49" xfId="0" applyNumberFormat="1" applyFont="1" applyFill="1" applyBorder="1" applyAlignment="1" applyProtection="1">
      <alignment horizontal="center" vertical="center" wrapText="1"/>
      <protection locked="0"/>
    </xf>
    <xf numFmtId="14" fontId="71" fillId="0" borderId="14" xfId="0" applyNumberFormat="1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14" fontId="58" fillId="0" borderId="13" xfId="0" quotePrefix="1" applyNumberFormat="1" applyFont="1" applyBorder="1" applyAlignment="1">
      <alignment horizontal="center" vertical="center"/>
    </xf>
    <xf numFmtId="0" fontId="58" fillId="0" borderId="13" xfId="0" quotePrefix="1" applyFont="1" applyBorder="1" applyAlignment="1">
      <alignment horizontal="center" vertical="center"/>
    </xf>
    <xf numFmtId="0" fontId="58" fillId="30" borderId="13" xfId="0" applyFont="1" applyFill="1" applyBorder="1" applyAlignment="1">
      <alignment horizontal="center" vertical="center" wrapText="1"/>
    </xf>
    <xf numFmtId="0" fontId="58" fillId="30" borderId="13" xfId="0" quotePrefix="1" applyFont="1" applyFill="1" applyBorder="1" applyAlignment="1">
      <alignment horizontal="center" vertical="center" wrapText="1"/>
    </xf>
    <xf numFmtId="0" fontId="58" fillId="31" borderId="13" xfId="0" applyFont="1" applyFill="1" applyBorder="1" applyAlignment="1">
      <alignment horizontal="center" vertical="center" wrapText="1"/>
    </xf>
    <xf numFmtId="0" fontId="58" fillId="31" borderId="13" xfId="0" quotePrefix="1" applyFont="1" applyFill="1" applyBorder="1" applyAlignment="1">
      <alignment horizontal="center" vertical="center" wrapText="1"/>
    </xf>
    <xf numFmtId="2" fontId="58" fillId="29" borderId="13" xfId="0" quotePrefix="1" applyNumberFormat="1" applyFont="1" applyFill="1" applyBorder="1" applyAlignment="1">
      <alignment horizontal="center" vertical="center"/>
    </xf>
    <xf numFmtId="2" fontId="58" fillId="69" borderId="13" xfId="0" quotePrefix="1" applyNumberFormat="1" applyFont="1" applyFill="1" applyBorder="1" applyAlignment="1">
      <alignment horizontal="center" vertical="center"/>
    </xf>
    <xf numFmtId="2" fontId="58" fillId="32" borderId="21" xfId="0" quotePrefix="1" applyNumberFormat="1" applyFont="1" applyFill="1" applyBorder="1" applyAlignment="1">
      <alignment horizontal="center" vertical="center" wrapText="1"/>
    </xf>
    <xf numFmtId="2" fontId="58" fillId="32" borderId="24" xfId="0" quotePrefix="1" applyNumberFormat="1" applyFont="1" applyFill="1" applyBorder="1" applyAlignment="1">
      <alignment horizontal="center" vertical="center" wrapText="1"/>
    </xf>
    <xf numFmtId="0" fontId="62" fillId="26" borderId="33" xfId="0" applyFont="1" applyFill="1" applyBorder="1" applyAlignment="1">
      <alignment horizontal="center" vertical="center" wrapText="1"/>
    </xf>
    <xf numFmtId="0" fontId="62" fillId="0" borderId="17" xfId="0" applyFont="1" applyBorder="1" applyAlignment="1">
      <alignment horizontal="center" vertical="center" wrapText="1"/>
    </xf>
    <xf numFmtId="0" fontId="62" fillId="0" borderId="25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center" vertical="center" wrapText="1"/>
    </xf>
    <xf numFmtId="1" fontId="64" fillId="87" borderId="51" xfId="1177" applyNumberFormat="1" applyFont="1" applyFill="1" applyBorder="1" applyAlignment="1">
      <alignment horizontal="center" vertical="center" wrapText="1"/>
    </xf>
    <xf numFmtId="1" fontId="64" fillId="87" borderId="52" xfId="1177" applyNumberFormat="1" applyFont="1" applyFill="1" applyBorder="1" applyAlignment="1">
      <alignment horizontal="center" vertical="center" wrapText="1"/>
    </xf>
    <xf numFmtId="1" fontId="64" fillId="87" borderId="62" xfId="1177" applyNumberFormat="1" applyFont="1" applyFill="1" applyBorder="1" applyAlignment="1">
      <alignment horizontal="center" vertical="center" wrapText="1"/>
    </xf>
    <xf numFmtId="1" fontId="64" fillId="87" borderId="51" xfId="0" applyNumberFormat="1" applyFont="1" applyFill="1" applyBorder="1" applyAlignment="1">
      <alignment horizontal="center" vertical="center" wrapText="1"/>
    </xf>
    <xf numFmtId="1" fontId="64" fillId="87" borderId="52" xfId="0" applyNumberFormat="1" applyFont="1" applyFill="1" applyBorder="1" applyAlignment="1">
      <alignment horizontal="center" vertical="center" wrapText="1"/>
    </xf>
    <xf numFmtId="1" fontId="64" fillId="87" borderId="53" xfId="0" applyNumberFormat="1" applyFont="1" applyFill="1" applyBorder="1" applyAlignment="1">
      <alignment horizontal="center" vertical="center" wrapText="1"/>
    </xf>
    <xf numFmtId="1" fontId="64" fillId="87" borderId="80" xfId="0" applyNumberFormat="1" applyFont="1" applyFill="1" applyBorder="1" applyAlignment="1">
      <alignment horizontal="center" vertical="center" wrapText="1"/>
    </xf>
    <xf numFmtId="0" fontId="58" fillId="87" borderId="52" xfId="0" applyFont="1" applyFill="1" applyBorder="1" applyAlignment="1">
      <alignment horizontal="center" vertical="center" wrapText="1"/>
    </xf>
    <xf numFmtId="0" fontId="58" fillId="87" borderId="53" xfId="0" applyFont="1" applyFill="1" applyBorder="1" applyAlignment="1">
      <alignment horizontal="center" vertical="center" wrapText="1"/>
    </xf>
    <xf numFmtId="9" fontId="64" fillId="87" borderId="51" xfId="1177" applyFont="1" applyFill="1" applyBorder="1" applyAlignment="1">
      <alignment horizontal="center" vertical="center" wrapText="1"/>
    </xf>
    <xf numFmtId="9" fontId="64" fillId="87" borderId="52" xfId="1177" applyFont="1" applyFill="1" applyBorder="1" applyAlignment="1">
      <alignment horizontal="center" vertical="center" wrapText="1"/>
    </xf>
    <xf numFmtId="9" fontId="64" fillId="87" borderId="53" xfId="1177" applyFont="1" applyFill="1" applyBorder="1" applyAlignment="1">
      <alignment horizontal="center" vertical="center" wrapText="1"/>
    </xf>
    <xf numFmtId="1" fontId="64" fillId="74" borderId="51" xfId="1177" applyNumberFormat="1" applyFont="1" applyFill="1" applyBorder="1" applyAlignment="1">
      <alignment horizontal="center" vertical="center" wrapText="1"/>
    </xf>
    <xf numFmtId="1" fontId="64" fillId="74" borderId="52" xfId="1177" applyNumberFormat="1" applyFont="1" applyFill="1" applyBorder="1" applyAlignment="1">
      <alignment horizontal="center" vertical="center" wrapText="1"/>
    </xf>
    <xf numFmtId="1" fontId="64" fillId="74" borderId="62" xfId="1177" applyNumberFormat="1" applyFont="1" applyFill="1" applyBorder="1" applyAlignment="1">
      <alignment horizontal="center" vertical="center" wrapText="1"/>
    </xf>
    <xf numFmtId="1" fontId="64" fillId="74" borderId="53" xfId="1177" applyNumberFormat="1" applyFont="1" applyFill="1" applyBorder="1" applyAlignment="1">
      <alignment horizontal="center" vertical="center" wrapText="1"/>
    </xf>
  </cellXfs>
  <cellStyles count="1498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1328" xr:uid="{00000000-0005-0000-0000-000003000000}"/>
    <cellStyle name="20% - Accent1 13" xfId="1343" xr:uid="{00000000-0005-0000-0000-000004000000}"/>
    <cellStyle name="20% - Accent1 14" xfId="1358" xr:uid="{00000000-0005-0000-0000-000005000000}"/>
    <cellStyle name="20% - Accent1 15" xfId="1376" xr:uid="{00000000-0005-0000-0000-000006000000}"/>
    <cellStyle name="20% - Accent1 16" xfId="1396" xr:uid="{D22E5B1D-2C6B-437D-8D56-E918B2DF33F4}"/>
    <cellStyle name="20% - Accent1 17" xfId="1418" xr:uid="{B83524CA-D6F2-4119-93ED-4873450F03B8}"/>
    <cellStyle name="20% - Accent1 18" xfId="1439" xr:uid="{76C19879-0B45-4310-9EEE-CD8526FCA1E2}"/>
    <cellStyle name="20% - Accent1 19" xfId="1460" xr:uid="{D431BFC5-5076-4CAE-AA41-FAEB936B0CCE}"/>
    <cellStyle name="20% - Accent1 2" xfId="4" xr:uid="{00000000-0005-0000-0000-000007000000}"/>
    <cellStyle name="20% - Accent1 2 2" xfId="5" xr:uid="{00000000-0005-0000-0000-000008000000}"/>
    <cellStyle name="20% - Accent1 2 3" xfId="6" xr:uid="{00000000-0005-0000-0000-000009000000}"/>
    <cellStyle name="20% - Accent1 2 4" xfId="7" xr:uid="{00000000-0005-0000-0000-00000A000000}"/>
    <cellStyle name="20% - Accent1 2 5" xfId="8" xr:uid="{00000000-0005-0000-0000-00000B000000}"/>
    <cellStyle name="20% - Accent1 2 6" xfId="9" xr:uid="{00000000-0005-0000-0000-00000C000000}"/>
    <cellStyle name="20% - Accent1 2 7" xfId="10" xr:uid="{00000000-0005-0000-0000-00000D000000}"/>
    <cellStyle name="20% - Accent1 20" xfId="1480" xr:uid="{DB96D19A-1B32-4733-8432-36C487BD2918}"/>
    <cellStyle name="20% - Accent1 3" xfId="11" xr:uid="{00000000-0005-0000-0000-00000E000000}"/>
    <cellStyle name="20% - Accent1 3 2" xfId="12" xr:uid="{00000000-0005-0000-0000-00000F000000}"/>
    <cellStyle name="20% - Accent1 3 3" xfId="13" xr:uid="{00000000-0005-0000-0000-000010000000}"/>
    <cellStyle name="20% - Accent1 3 4" xfId="14" xr:uid="{00000000-0005-0000-0000-000011000000}"/>
    <cellStyle name="20% - Accent1 3 5" xfId="15" xr:uid="{00000000-0005-0000-0000-000012000000}"/>
    <cellStyle name="20% - Accent1 3 6" xfId="16" xr:uid="{00000000-0005-0000-0000-000013000000}"/>
    <cellStyle name="20% - Accent1 3 7" xfId="17" xr:uid="{00000000-0005-0000-0000-000014000000}"/>
    <cellStyle name="20% - Accent1 4" xfId="18" xr:uid="{00000000-0005-0000-0000-000015000000}"/>
    <cellStyle name="20% - Accent1 5" xfId="19" xr:uid="{00000000-0005-0000-0000-000016000000}"/>
    <cellStyle name="20% - Accent1 6" xfId="20" xr:uid="{00000000-0005-0000-0000-000017000000}"/>
    <cellStyle name="20% - Accent1 7" xfId="21" xr:uid="{00000000-0005-0000-0000-000018000000}"/>
    <cellStyle name="20% - Accent1 8" xfId="22" xr:uid="{00000000-0005-0000-0000-000019000000}"/>
    <cellStyle name="20% - Accent1 9" xfId="23" xr:uid="{00000000-0005-0000-0000-00001A000000}"/>
    <cellStyle name="20% - Accent2" xfId="24" builtinId="34" customBuiltin="1"/>
    <cellStyle name="20% - Accent2 10" xfId="25" xr:uid="{00000000-0005-0000-0000-00001C000000}"/>
    <cellStyle name="20% - Accent2 11" xfId="26" xr:uid="{00000000-0005-0000-0000-00001D000000}"/>
    <cellStyle name="20% - Accent2 12" xfId="1330" xr:uid="{00000000-0005-0000-0000-00001E000000}"/>
    <cellStyle name="20% - Accent2 13" xfId="1345" xr:uid="{00000000-0005-0000-0000-00001F000000}"/>
    <cellStyle name="20% - Accent2 14" xfId="1361" xr:uid="{00000000-0005-0000-0000-000020000000}"/>
    <cellStyle name="20% - Accent2 15" xfId="1379" xr:uid="{00000000-0005-0000-0000-000021000000}"/>
    <cellStyle name="20% - Accent2 16" xfId="1399" xr:uid="{D7CB865D-4B26-4908-B600-B9E4AAE25BF6}"/>
    <cellStyle name="20% - Accent2 17" xfId="1421" xr:uid="{EEF74EEB-4098-4C4A-B94B-CAAA4DF9D3AD}"/>
    <cellStyle name="20% - Accent2 18" xfId="1442" xr:uid="{6455A61C-A4EF-4DDA-B8B0-4A2F7D5F54AD}"/>
    <cellStyle name="20% - Accent2 19" xfId="1463" xr:uid="{A9797103-19EC-47B3-9293-779459687B82}"/>
    <cellStyle name="20% - Accent2 2" xfId="27" xr:uid="{00000000-0005-0000-0000-000022000000}"/>
    <cellStyle name="20% - Accent2 2 2" xfId="28" xr:uid="{00000000-0005-0000-0000-000023000000}"/>
    <cellStyle name="20% - Accent2 2 3" xfId="29" xr:uid="{00000000-0005-0000-0000-000024000000}"/>
    <cellStyle name="20% - Accent2 2 4" xfId="30" xr:uid="{00000000-0005-0000-0000-000025000000}"/>
    <cellStyle name="20% - Accent2 2 5" xfId="31" xr:uid="{00000000-0005-0000-0000-000026000000}"/>
    <cellStyle name="20% - Accent2 2 6" xfId="32" xr:uid="{00000000-0005-0000-0000-000027000000}"/>
    <cellStyle name="20% - Accent2 2 7" xfId="33" xr:uid="{00000000-0005-0000-0000-000028000000}"/>
    <cellStyle name="20% - Accent2 20" xfId="1483" xr:uid="{CD7F7E98-34EC-4E78-8795-FB6C39E9CC70}"/>
    <cellStyle name="20% - Accent2 3" xfId="34" xr:uid="{00000000-0005-0000-0000-000029000000}"/>
    <cellStyle name="20% - Accent2 3 2" xfId="35" xr:uid="{00000000-0005-0000-0000-00002A000000}"/>
    <cellStyle name="20% - Accent2 3 3" xfId="36" xr:uid="{00000000-0005-0000-0000-00002B000000}"/>
    <cellStyle name="20% - Accent2 3 4" xfId="37" xr:uid="{00000000-0005-0000-0000-00002C000000}"/>
    <cellStyle name="20% - Accent2 3 5" xfId="38" xr:uid="{00000000-0005-0000-0000-00002D000000}"/>
    <cellStyle name="20% - Accent2 3 6" xfId="39" xr:uid="{00000000-0005-0000-0000-00002E000000}"/>
    <cellStyle name="20% - Accent2 3 7" xfId="40" xr:uid="{00000000-0005-0000-0000-00002F000000}"/>
    <cellStyle name="20% - Accent2 4" xfId="41" xr:uid="{00000000-0005-0000-0000-000030000000}"/>
    <cellStyle name="20% - Accent2 5" xfId="42" xr:uid="{00000000-0005-0000-0000-000031000000}"/>
    <cellStyle name="20% - Accent2 6" xfId="43" xr:uid="{00000000-0005-0000-0000-000032000000}"/>
    <cellStyle name="20% - Accent2 7" xfId="44" xr:uid="{00000000-0005-0000-0000-000033000000}"/>
    <cellStyle name="20% - Accent2 8" xfId="45" xr:uid="{00000000-0005-0000-0000-000034000000}"/>
    <cellStyle name="20% - Accent2 9" xfId="46" xr:uid="{00000000-0005-0000-0000-000035000000}"/>
    <cellStyle name="20% - Accent3" xfId="47" builtinId="38" customBuiltin="1"/>
    <cellStyle name="20% - Accent3 10" xfId="48" xr:uid="{00000000-0005-0000-0000-000037000000}"/>
    <cellStyle name="20% - Accent3 11" xfId="49" xr:uid="{00000000-0005-0000-0000-000038000000}"/>
    <cellStyle name="20% - Accent3 12" xfId="1332" xr:uid="{00000000-0005-0000-0000-000039000000}"/>
    <cellStyle name="20% - Accent3 13" xfId="1347" xr:uid="{00000000-0005-0000-0000-00003A000000}"/>
    <cellStyle name="20% - Accent3 14" xfId="1363" xr:uid="{00000000-0005-0000-0000-00003B000000}"/>
    <cellStyle name="20% - Accent3 15" xfId="1382" xr:uid="{00000000-0005-0000-0000-00003C000000}"/>
    <cellStyle name="20% - Accent3 16" xfId="1402" xr:uid="{E1B5B5BF-8274-4E63-BA1E-7FEE98D9B01D}"/>
    <cellStyle name="20% - Accent3 17" xfId="1424" xr:uid="{4E22D908-76BD-4A18-BC1D-DCB92965E932}"/>
    <cellStyle name="20% - Accent3 18" xfId="1445" xr:uid="{0721D38C-DC83-44BA-9519-1C8B40860C1E}"/>
    <cellStyle name="20% - Accent3 19" xfId="1466" xr:uid="{F6561402-1845-42A4-A2C8-1C4136E0BF14}"/>
    <cellStyle name="20% - Accent3 2" xfId="50" xr:uid="{00000000-0005-0000-0000-00003D000000}"/>
    <cellStyle name="20% - Accent3 2 2" xfId="51" xr:uid="{00000000-0005-0000-0000-00003E000000}"/>
    <cellStyle name="20% - Accent3 2 3" xfId="52" xr:uid="{00000000-0005-0000-0000-00003F000000}"/>
    <cellStyle name="20% - Accent3 2 4" xfId="53" xr:uid="{00000000-0005-0000-0000-000040000000}"/>
    <cellStyle name="20% - Accent3 2 5" xfId="54" xr:uid="{00000000-0005-0000-0000-000041000000}"/>
    <cellStyle name="20% - Accent3 2 6" xfId="55" xr:uid="{00000000-0005-0000-0000-000042000000}"/>
    <cellStyle name="20% - Accent3 2 7" xfId="56" xr:uid="{00000000-0005-0000-0000-000043000000}"/>
    <cellStyle name="20% - Accent3 20" xfId="1486" xr:uid="{A1E08B81-A4C6-4A2F-8D79-347FA71FFDA0}"/>
    <cellStyle name="20% - Accent3 3" xfId="57" xr:uid="{00000000-0005-0000-0000-000044000000}"/>
    <cellStyle name="20% - Accent3 3 2" xfId="58" xr:uid="{00000000-0005-0000-0000-000045000000}"/>
    <cellStyle name="20% - Accent3 3 3" xfId="59" xr:uid="{00000000-0005-0000-0000-000046000000}"/>
    <cellStyle name="20% - Accent3 3 4" xfId="60" xr:uid="{00000000-0005-0000-0000-000047000000}"/>
    <cellStyle name="20% - Accent3 3 5" xfId="61" xr:uid="{00000000-0005-0000-0000-000048000000}"/>
    <cellStyle name="20% - Accent3 3 6" xfId="62" xr:uid="{00000000-0005-0000-0000-000049000000}"/>
    <cellStyle name="20% - Accent3 3 7" xfId="63" xr:uid="{00000000-0005-0000-0000-00004A000000}"/>
    <cellStyle name="20% - Accent3 4" xfId="64" xr:uid="{00000000-0005-0000-0000-00004B000000}"/>
    <cellStyle name="20% - Accent3 5" xfId="65" xr:uid="{00000000-0005-0000-0000-00004C000000}"/>
    <cellStyle name="20% - Accent3 6" xfId="66" xr:uid="{00000000-0005-0000-0000-00004D000000}"/>
    <cellStyle name="20% - Accent3 7" xfId="67" xr:uid="{00000000-0005-0000-0000-00004E000000}"/>
    <cellStyle name="20% - Accent3 8" xfId="68" xr:uid="{00000000-0005-0000-0000-00004F000000}"/>
    <cellStyle name="20% - Accent3 9" xfId="69" xr:uid="{00000000-0005-0000-0000-000050000000}"/>
    <cellStyle name="20% - Accent4" xfId="70" builtinId="42" customBuiltin="1"/>
    <cellStyle name="20% - Accent4 10" xfId="71" xr:uid="{00000000-0005-0000-0000-000052000000}"/>
    <cellStyle name="20% - Accent4 11" xfId="72" xr:uid="{00000000-0005-0000-0000-000053000000}"/>
    <cellStyle name="20% - Accent4 12" xfId="1334" xr:uid="{00000000-0005-0000-0000-000054000000}"/>
    <cellStyle name="20% - Accent4 13" xfId="1349" xr:uid="{00000000-0005-0000-0000-000055000000}"/>
    <cellStyle name="20% - Accent4 14" xfId="1365" xr:uid="{00000000-0005-0000-0000-000056000000}"/>
    <cellStyle name="20% - Accent4 15" xfId="1385" xr:uid="{00000000-0005-0000-0000-000057000000}"/>
    <cellStyle name="20% - Accent4 16" xfId="1405" xr:uid="{07FAF3B5-69F9-49CD-906E-689B82843BA0}"/>
    <cellStyle name="20% - Accent4 17" xfId="1427" xr:uid="{B953E29F-7145-4967-B37C-3BEAF9745023}"/>
    <cellStyle name="20% - Accent4 18" xfId="1448" xr:uid="{D1EC56E2-966F-476C-A797-549B49E218B0}"/>
    <cellStyle name="20% - Accent4 19" xfId="1469" xr:uid="{F43845C3-BA87-40C6-85BC-90509209CFA4}"/>
    <cellStyle name="20% - Accent4 2" xfId="73" xr:uid="{00000000-0005-0000-0000-000058000000}"/>
    <cellStyle name="20% - Accent4 2 2" xfId="74" xr:uid="{00000000-0005-0000-0000-000059000000}"/>
    <cellStyle name="20% - Accent4 2 3" xfId="75" xr:uid="{00000000-0005-0000-0000-00005A000000}"/>
    <cellStyle name="20% - Accent4 2 4" xfId="76" xr:uid="{00000000-0005-0000-0000-00005B000000}"/>
    <cellStyle name="20% - Accent4 2 5" xfId="77" xr:uid="{00000000-0005-0000-0000-00005C000000}"/>
    <cellStyle name="20% - Accent4 2 6" xfId="78" xr:uid="{00000000-0005-0000-0000-00005D000000}"/>
    <cellStyle name="20% - Accent4 2 7" xfId="79" xr:uid="{00000000-0005-0000-0000-00005E000000}"/>
    <cellStyle name="20% - Accent4 20" xfId="1489" xr:uid="{F092A2BA-E444-4879-94E9-73EBF632B59D}"/>
    <cellStyle name="20% - Accent4 3" xfId="80" xr:uid="{00000000-0005-0000-0000-00005F000000}"/>
    <cellStyle name="20% - Accent4 3 2" xfId="81" xr:uid="{00000000-0005-0000-0000-000060000000}"/>
    <cellStyle name="20% - Accent4 3 3" xfId="82" xr:uid="{00000000-0005-0000-0000-000061000000}"/>
    <cellStyle name="20% - Accent4 3 4" xfId="83" xr:uid="{00000000-0005-0000-0000-000062000000}"/>
    <cellStyle name="20% - Accent4 3 5" xfId="84" xr:uid="{00000000-0005-0000-0000-000063000000}"/>
    <cellStyle name="20% - Accent4 3 6" xfId="85" xr:uid="{00000000-0005-0000-0000-000064000000}"/>
    <cellStyle name="20% - Accent4 3 7" xfId="86" xr:uid="{00000000-0005-0000-0000-000065000000}"/>
    <cellStyle name="20% - Accent4 4" xfId="87" xr:uid="{00000000-0005-0000-0000-000066000000}"/>
    <cellStyle name="20% - Accent4 5" xfId="88" xr:uid="{00000000-0005-0000-0000-000067000000}"/>
    <cellStyle name="20% - Accent4 6" xfId="89" xr:uid="{00000000-0005-0000-0000-000068000000}"/>
    <cellStyle name="20% - Accent4 7" xfId="90" xr:uid="{00000000-0005-0000-0000-000069000000}"/>
    <cellStyle name="20% - Accent4 8" xfId="91" xr:uid="{00000000-0005-0000-0000-00006A000000}"/>
    <cellStyle name="20% - Accent4 9" xfId="92" xr:uid="{00000000-0005-0000-0000-00006B000000}"/>
    <cellStyle name="20% - Accent5" xfId="93" builtinId="46" customBuiltin="1"/>
    <cellStyle name="20% - Accent5 10" xfId="94" xr:uid="{00000000-0005-0000-0000-00006D000000}"/>
    <cellStyle name="20% - Accent5 11" xfId="1336" xr:uid="{00000000-0005-0000-0000-00006E000000}"/>
    <cellStyle name="20% - Accent5 12" xfId="1351" xr:uid="{00000000-0005-0000-0000-00006F000000}"/>
    <cellStyle name="20% - Accent5 13" xfId="1367" xr:uid="{00000000-0005-0000-0000-000070000000}"/>
    <cellStyle name="20% - Accent5 14" xfId="1388" xr:uid="{00000000-0005-0000-0000-000071000000}"/>
    <cellStyle name="20% - Accent5 15" xfId="1408" xr:uid="{DF274D8B-4EEF-4DBB-A5B7-2E8C5DD062E5}"/>
    <cellStyle name="20% - Accent5 16" xfId="1430" xr:uid="{E4708533-0FEE-4180-942A-7A49D32A2341}"/>
    <cellStyle name="20% - Accent5 17" xfId="1451" xr:uid="{68C93C75-FD68-4BBE-AF45-13D4C0118DC9}"/>
    <cellStyle name="20% - Accent5 18" xfId="1472" xr:uid="{E8A4375A-120D-4034-9CDA-A7166342C6EC}"/>
    <cellStyle name="20% - Accent5 19" xfId="1492" xr:uid="{78B93C9D-DD11-429B-9383-434C4B6BD92C}"/>
    <cellStyle name="20% - Accent5 2" xfId="95" xr:uid="{00000000-0005-0000-0000-000072000000}"/>
    <cellStyle name="20% - Accent5 2 2" xfId="96" xr:uid="{00000000-0005-0000-0000-000073000000}"/>
    <cellStyle name="20% - Accent5 2 3" xfId="97" xr:uid="{00000000-0005-0000-0000-000074000000}"/>
    <cellStyle name="20% - Accent5 2 4" xfId="98" xr:uid="{00000000-0005-0000-0000-000075000000}"/>
    <cellStyle name="20% - Accent5 2 5" xfId="99" xr:uid="{00000000-0005-0000-0000-000076000000}"/>
    <cellStyle name="20% - Accent5 2 6" xfId="100" xr:uid="{00000000-0005-0000-0000-000077000000}"/>
    <cellStyle name="20% - Accent5 2 7" xfId="101" xr:uid="{00000000-0005-0000-0000-000078000000}"/>
    <cellStyle name="20% - Accent5 3" xfId="102" xr:uid="{00000000-0005-0000-0000-000079000000}"/>
    <cellStyle name="20% - Accent5 3 2" xfId="103" xr:uid="{00000000-0005-0000-0000-00007A000000}"/>
    <cellStyle name="20% - Accent5 3 3" xfId="104" xr:uid="{00000000-0005-0000-0000-00007B000000}"/>
    <cellStyle name="20% - Accent5 3 4" xfId="105" xr:uid="{00000000-0005-0000-0000-00007C000000}"/>
    <cellStyle name="20% - Accent5 3 5" xfId="106" xr:uid="{00000000-0005-0000-0000-00007D000000}"/>
    <cellStyle name="20% - Accent5 3 6" xfId="107" xr:uid="{00000000-0005-0000-0000-00007E000000}"/>
    <cellStyle name="20% - Accent5 3 7" xfId="108" xr:uid="{00000000-0005-0000-0000-00007F000000}"/>
    <cellStyle name="20% - Accent5 4" xfId="109" xr:uid="{00000000-0005-0000-0000-000080000000}"/>
    <cellStyle name="20% - Accent5 5" xfId="110" xr:uid="{00000000-0005-0000-0000-000081000000}"/>
    <cellStyle name="20% - Accent5 6" xfId="111" xr:uid="{00000000-0005-0000-0000-000082000000}"/>
    <cellStyle name="20% - Accent5 7" xfId="112" xr:uid="{00000000-0005-0000-0000-000083000000}"/>
    <cellStyle name="20% - Accent5 8" xfId="113" xr:uid="{00000000-0005-0000-0000-000084000000}"/>
    <cellStyle name="20% - Accent5 9" xfId="114" xr:uid="{00000000-0005-0000-0000-000085000000}"/>
    <cellStyle name="20% - Accent6" xfId="115" builtinId="50" customBuiltin="1"/>
    <cellStyle name="20% - Accent6 10" xfId="116" xr:uid="{00000000-0005-0000-0000-000087000000}"/>
    <cellStyle name="20% - Accent6 11" xfId="1338" xr:uid="{00000000-0005-0000-0000-000088000000}"/>
    <cellStyle name="20% - Accent6 12" xfId="1353" xr:uid="{00000000-0005-0000-0000-000089000000}"/>
    <cellStyle name="20% - Accent6 13" xfId="1369" xr:uid="{00000000-0005-0000-0000-00008A000000}"/>
    <cellStyle name="20% - Accent6 14" xfId="1391" xr:uid="{00000000-0005-0000-0000-00008B000000}"/>
    <cellStyle name="20% - Accent6 15" xfId="1411" xr:uid="{76CA60BA-6EA2-4E7A-832D-8D68AB3E7DDF}"/>
    <cellStyle name="20% - Accent6 16" xfId="1433" xr:uid="{55F15A1E-0270-4E75-BF39-7384A08E03FD}"/>
    <cellStyle name="20% - Accent6 17" xfId="1454" xr:uid="{3A049361-E717-452F-95EA-DB673133D1E4}"/>
    <cellStyle name="20% - Accent6 18" xfId="1475" xr:uid="{7C8A7B0B-0FFE-4376-BB48-CEDBE096C845}"/>
    <cellStyle name="20% - Accent6 19" xfId="1495" xr:uid="{FEF3F250-5A12-4270-B966-0C8AC9F199F5}"/>
    <cellStyle name="20% - Accent6 2" xfId="117" xr:uid="{00000000-0005-0000-0000-00008C000000}"/>
    <cellStyle name="20% - Accent6 2 2" xfId="118" xr:uid="{00000000-0005-0000-0000-00008D000000}"/>
    <cellStyle name="20% - Accent6 2 3" xfId="119" xr:uid="{00000000-0005-0000-0000-00008E000000}"/>
    <cellStyle name="20% - Accent6 2 4" xfId="120" xr:uid="{00000000-0005-0000-0000-00008F000000}"/>
    <cellStyle name="20% - Accent6 2 5" xfId="121" xr:uid="{00000000-0005-0000-0000-000090000000}"/>
    <cellStyle name="20% - Accent6 2 6" xfId="122" xr:uid="{00000000-0005-0000-0000-000091000000}"/>
    <cellStyle name="20% - Accent6 2 7" xfId="123" xr:uid="{00000000-0005-0000-0000-000092000000}"/>
    <cellStyle name="20% - Accent6 3" xfId="124" xr:uid="{00000000-0005-0000-0000-000093000000}"/>
    <cellStyle name="20% - Accent6 3 2" xfId="125" xr:uid="{00000000-0005-0000-0000-000094000000}"/>
    <cellStyle name="20% - Accent6 3 3" xfId="126" xr:uid="{00000000-0005-0000-0000-000095000000}"/>
    <cellStyle name="20% - Accent6 3 4" xfId="127" xr:uid="{00000000-0005-0000-0000-000096000000}"/>
    <cellStyle name="20% - Accent6 3 5" xfId="128" xr:uid="{00000000-0005-0000-0000-000097000000}"/>
    <cellStyle name="20% - Accent6 3 6" xfId="129" xr:uid="{00000000-0005-0000-0000-000098000000}"/>
    <cellStyle name="20% - Accent6 3 7" xfId="130" xr:uid="{00000000-0005-0000-0000-000099000000}"/>
    <cellStyle name="20% - Accent6 4" xfId="131" xr:uid="{00000000-0005-0000-0000-00009A000000}"/>
    <cellStyle name="20% - Accent6 5" xfId="132" xr:uid="{00000000-0005-0000-0000-00009B000000}"/>
    <cellStyle name="20% - Accent6 6" xfId="133" xr:uid="{00000000-0005-0000-0000-00009C000000}"/>
    <cellStyle name="20% - Accent6 7" xfId="134" xr:uid="{00000000-0005-0000-0000-00009D000000}"/>
    <cellStyle name="20% - Accent6 8" xfId="135" xr:uid="{00000000-0005-0000-0000-00009E000000}"/>
    <cellStyle name="20% - Accent6 9" xfId="136" xr:uid="{00000000-0005-0000-0000-00009F000000}"/>
    <cellStyle name="40% - Accent1" xfId="137" builtinId="31" customBuiltin="1"/>
    <cellStyle name="40% - Accent1 10" xfId="138" xr:uid="{00000000-0005-0000-0000-0000A1000000}"/>
    <cellStyle name="40% - Accent1 11" xfId="1329" xr:uid="{00000000-0005-0000-0000-0000A2000000}"/>
    <cellStyle name="40% - Accent1 12" xfId="1344" xr:uid="{00000000-0005-0000-0000-0000A3000000}"/>
    <cellStyle name="40% - Accent1 13" xfId="1359" xr:uid="{00000000-0005-0000-0000-0000A4000000}"/>
    <cellStyle name="40% - Accent1 14" xfId="1377" xr:uid="{00000000-0005-0000-0000-0000A5000000}"/>
    <cellStyle name="40% - Accent1 15" xfId="1397" xr:uid="{CC2D8B03-22C5-4E26-8D47-3707ACB22F3A}"/>
    <cellStyle name="40% - Accent1 16" xfId="1419" xr:uid="{46472B98-C5FA-4F21-A48F-AA636435588F}"/>
    <cellStyle name="40% - Accent1 17" xfId="1440" xr:uid="{B25AFAEA-39C3-4796-9FF3-DD3F6035D8C8}"/>
    <cellStyle name="40% - Accent1 18" xfId="1461" xr:uid="{6CD9ECFC-865D-4E40-B7DB-C70DD3CEDB2E}"/>
    <cellStyle name="40% - Accent1 19" xfId="1481" xr:uid="{6771C836-1041-45C4-BA14-6F62DF118C5F}"/>
    <cellStyle name="40% - Accent1 2" xfId="139" xr:uid="{00000000-0005-0000-0000-0000A6000000}"/>
    <cellStyle name="40% - Accent1 2 2" xfId="140" xr:uid="{00000000-0005-0000-0000-0000A7000000}"/>
    <cellStyle name="40% - Accent1 2 3" xfId="141" xr:uid="{00000000-0005-0000-0000-0000A8000000}"/>
    <cellStyle name="40% - Accent1 2 4" xfId="142" xr:uid="{00000000-0005-0000-0000-0000A9000000}"/>
    <cellStyle name="40% - Accent1 2 5" xfId="143" xr:uid="{00000000-0005-0000-0000-0000AA000000}"/>
    <cellStyle name="40% - Accent1 2 6" xfId="144" xr:uid="{00000000-0005-0000-0000-0000AB000000}"/>
    <cellStyle name="40% - Accent1 2 7" xfId="145" xr:uid="{00000000-0005-0000-0000-0000AC000000}"/>
    <cellStyle name="40% - Accent1 3" xfId="146" xr:uid="{00000000-0005-0000-0000-0000AD000000}"/>
    <cellStyle name="40% - Accent1 3 2" xfId="147" xr:uid="{00000000-0005-0000-0000-0000AE000000}"/>
    <cellStyle name="40% - Accent1 3 3" xfId="148" xr:uid="{00000000-0005-0000-0000-0000AF000000}"/>
    <cellStyle name="40% - Accent1 3 4" xfId="149" xr:uid="{00000000-0005-0000-0000-0000B0000000}"/>
    <cellStyle name="40% - Accent1 3 5" xfId="150" xr:uid="{00000000-0005-0000-0000-0000B1000000}"/>
    <cellStyle name="40% - Accent1 3 6" xfId="151" xr:uid="{00000000-0005-0000-0000-0000B2000000}"/>
    <cellStyle name="40% - Accent1 3 7" xfId="152" xr:uid="{00000000-0005-0000-0000-0000B3000000}"/>
    <cellStyle name="40% - Accent1 4" xfId="153" xr:uid="{00000000-0005-0000-0000-0000B4000000}"/>
    <cellStyle name="40% - Accent1 5" xfId="154" xr:uid="{00000000-0005-0000-0000-0000B5000000}"/>
    <cellStyle name="40% - Accent1 6" xfId="155" xr:uid="{00000000-0005-0000-0000-0000B6000000}"/>
    <cellStyle name="40% - Accent1 7" xfId="156" xr:uid="{00000000-0005-0000-0000-0000B7000000}"/>
    <cellStyle name="40% - Accent1 8" xfId="157" xr:uid="{00000000-0005-0000-0000-0000B8000000}"/>
    <cellStyle name="40% - Accent1 9" xfId="158" xr:uid="{00000000-0005-0000-0000-0000B9000000}"/>
    <cellStyle name="40% - Accent2" xfId="159" builtinId="35" customBuiltin="1"/>
    <cellStyle name="40% - Accent2 10" xfId="160" xr:uid="{00000000-0005-0000-0000-0000BB000000}"/>
    <cellStyle name="40% - Accent2 11" xfId="1331" xr:uid="{00000000-0005-0000-0000-0000BC000000}"/>
    <cellStyle name="40% - Accent2 12" xfId="1346" xr:uid="{00000000-0005-0000-0000-0000BD000000}"/>
    <cellStyle name="40% - Accent2 13" xfId="1362" xr:uid="{00000000-0005-0000-0000-0000BE000000}"/>
    <cellStyle name="40% - Accent2 14" xfId="1380" xr:uid="{00000000-0005-0000-0000-0000BF000000}"/>
    <cellStyle name="40% - Accent2 15" xfId="1400" xr:uid="{B5DF4A22-3B95-4295-B5A9-B3D94441F68D}"/>
    <cellStyle name="40% - Accent2 16" xfId="1422" xr:uid="{0D5F4B1D-83AE-438F-837F-C398E4DD97BF}"/>
    <cellStyle name="40% - Accent2 17" xfId="1443" xr:uid="{5606E4D7-6597-413B-80A6-F1CF4E01C429}"/>
    <cellStyle name="40% - Accent2 18" xfId="1464" xr:uid="{7C1963C0-1BC2-488C-B8EB-3EBB1E8A9ECF}"/>
    <cellStyle name="40% - Accent2 19" xfId="1484" xr:uid="{B78F45AF-D5E8-449D-A1A4-D66CF3409E64}"/>
    <cellStyle name="40% - Accent2 2" xfId="161" xr:uid="{00000000-0005-0000-0000-0000C0000000}"/>
    <cellStyle name="40% - Accent2 2 2" xfId="162" xr:uid="{00000000-0005-0000-0000-0000C1000000}"/>
    <cellStyle name="40% - Accent2 2 3" xfId="163" xr:uid="{00000000-0005-0000-0000-0000C2000000}"/>
    <cellStyle name="40% - Accent2 2 4" xfId="164" xr:uid="{00000000-0005-0000-0000-0000C3000000}"/>
    <cellStyle name="40% - Accent2 2 5" xfId="165" xr:uid="{00000000-0005-0000-0000-0000C4000000}"/>
    <cellStyle name="40% - Accent2 2 6" xfId="166" xr:uid="{00000000-0005-0000-0000-0000C5000000}"/>
    <cellStyle name="40% - Accent2 2 7" xfId="167" xr:uid="{00000000-0005-0000-0000-0000C6000000}"/>
    <cellStyle name="40% - Accent2 3" xfId="168" xr:uid="{00000000-0005-0000-0000-0000C7000000}"/>
    <cellStyle name="40% - Accent2 3 2" xfId="169" xr:uid="{00000000-0005-0000-0000-0000C8000000}"/>
    <cellStyle name="40% - Accent2 3 3" xfId="170" xr:uid="{00000000-0005-0000-0000-0000C9000000}"/>
    <cellStyle name="40% - Accent2 3 4" xfId="171" xr:uid="{00000000-0005-0000-0000-0000CA000000}"/>
    <cellStyle name="40% - Accent2 3 5" xfId="172" xr:uid="{00000000-0005-0000-0000-0000CB000000}"/>
    <cellStyle name="40% - Accent2 3 6" xfId="173" xr:uid="{00000000-0005-0000-0000-0000CC000000}"/>
    <cellStyle name="40% - Accent2 3 7" xfId="174" xr:uid="{00000000-0005-0000-0000-0000CD000000}"/>
    <cellStyle name="40% - Accent2 4" xfId="175" xr:uid="{00000000-0005-0000-0000-0000CE000000}"/>
    <cellStyle name="40% - Accent2 5" xfId="176" xr:uid="{00000000-0005-0000-0000-0000CF000000}"/>
    <cellStyle name="40% - Accent2 6" xfId="177" xr:uid="{00000000-0005-0000-0000-0000D0000000}"/>
    <cellStyle name="40% - Accent2 7" xfId="178" xr:uid="{00000000-0005-0000-0000-0000D1000000}"/>
    <cellStyle name="40% - Accent2 8" xfId="179" xr:uid="{00000000-0005-0000-0000-0000D2000000}"/>
    <cellStyle name="40% - Accent2 9" xfId="180" xr:uid="{00000000-0005-0000-0000-0000D3000000}"/>
    <cellStyle name="40% - Accent3" xfId="181" builtinId="39" customBuiltin="1"/>
    <cellStyle name="40% - Accent3 10" xfId="182" xr:uid="{00000000-0005-0000-0000-0000D5000000}"/>
    <cellStyle name="40% - Accent3 11" xfId="183" xr:uid="{00000000-0005-0000-0000-0000D6000000}"/>
    <cellStyle name="40% - Accent3 12" xfId="1333" xr:uid="{00000000-0005-0000-0000-0000D7000000}"/>
    <cellStyle name="40% - Accent3 13" xfId="1348" xr:uid="{00000000-0005-0000-0000-0000D8000000}"/>
    <cellStyle name="40% - Accent3 14" xfId="1364" xr:uid="{00000000-0005-0000-0000-0000D9000000}"/>
    <cellStyle name="40% - Accent3 15" xfId="1383" xr:uid="{00000000-0005-0000-0000-0000DA000000}"/>
    <cellStyle name="40% - Accent3 16" xfId="1403" xr:uid="{4CE599BB-69EE-4407-851F-5FDFE83548A9}"/>
    <cellStyle name="40% - Accent3 17" xfId="1425" xr:uid="{98CD916F-DA5E-4AC0-9F00-D559721D7EA1}"/>
    <cellStyle name="40% - Accent3 18" xfId="1446" xr:uid="{B79D4444-1C3E-4080-99FA-0A900E8C0072}"/>
    <cellStyle name="40% - Accent3 19" xfId="1467" xr:uid="{F139B71D-D3AF-4B04-BAB0-DF356E64AE58}"/>
    <cellStyle name="40% - Accent3 2" xfId="184" xr:uid="{00000000-0005-0000-0000-0000DB000000}"/>
    <cellStyle name="40% - Accent3 2 2" xfId="185" xr:uid="{00000000-0005-0000-0000-0000DC000000}"/>
    <cellStyle name="40% - Accent3 2 3" xfId="186" xr:uid="{00000000-0005-0000-0000-0000DD000000}"/>
    <cellStyle name="40% - Accent3 2 4" xfId="187" xr:uid="{00000000-0005-0000-0000-0000DE000000}"/>
    <cellStyle name="40% - Accent3 2 5" xfId="188" xr:uid="{00000000-0005-0000-0000-0000DF000000}"/>
    <cellStyle name="40% - Accent3 2 6" xfId="189" xr:uid="{00000000-0005-0000-0000-0000E0000000}"/>
    <cellStyle name="40% - Accent3 2 7" xfId="190" xr:uid="{00000000-0005-0000-0000-0000E1000000}"/>
    <cellStyle name="40% - Accent3 20" xfId="1487" xr:uid="{BC4D7B9A-5864-4B26-A8C6-5A63544E1117}"/>
    <cellStyle name="40% - Accent3 3" xfId="191" xr:uid="{00000000-0005-0000-0000-0000E2000000}"/>
    <cellStyle name="40% - Accent3 3 2" xfId="192" xr:uid="{00000000-0005-0000-0000-0000E3000000}"/>
    <cellStyle name="40% - Accent3 3 3" xfId="193" xr:uid="{00000000-0005-0000-0000-0000E4000000}"/>
    <cellStyle name="40% - Accent3 3 4" xfId="194" xr:uid="{00000000-0005-0000-0000-0000E5000000}"/>
    <cellStyle name="40% - Accent3 3 5" xfId="195" xr:uid="{00000000-0005-0000-0000-0000E6000000}"/>
    <cellStyle name="40% - Accent3 3 6" xfId="196" xr:uid="{00000000-0005-0000-0000-0000E7000000}"/>
    <cellStyle name="40% - Accent3 3 7" xfId="197" xr:uid="{00000000-0005-0000-0000-0000E8000000}"/>
    <cellStyle name="40% - Accent3 4" xfId="198" xr:uid="{00000000-0005-0000-0000-0000E9000000}"/>
    <cellStyle name="40% - Accent3 5" xfId="199" xr:uid="{00000000-0005-0000-0000-0000EA000000}"/>
    <cellStyle name="40% - Accent3 6" xfId="200" xr:uid="{00000000-0005-0000-0000-0000EB000000}"/>
    <cellStyle name="40% - Accent3 7" xfId="201" xr:uid="{00000000-0005-0000-0000-0000EC000000}"/>
    <cellStyle name="40% - Accent3 8" xfId="202" xr:uid="{00000000-0005-0000-0000-0000ED000000}"/>
    <cellStyle name="40% - Accent3 9" xfId="203" xr:uid="{00000000-0005-0000-0000-0000EE000000}"/>
    <cellStyle name="40% - Accent4" xfId="204" builtinId="43" customBuiltin="1"/>
    <cellStyle name="40% - Accent4 10" xfId="205" xr:uid="{00000000-0005-0000-0000-0000F0000000}"/>
    <cellStyle name="40% - Accent4 11" xfId="1335" xr:uid="{00000000-0005-0000-0000-0000F1000000}"/>
    <cellStyle name="40% - Accent4 12" xfId="1350" xr:uid="{00000000-0005-0000-0000-0000F2000000}"/>
    <cellStyle name="40% - Accent4 13" xfId="1366" xr:uid="{00000000-0005-0000-0000-0000F3000000}"/>
    <cellStyle name="40% - Accent4 14" xfId="1386" xr:uid="{00000000-0005-0000-0000-0000F4000000}"/>
    <cellStyle name="40% - Accent4 15" xfId="1406" xr:uid="{D14AA585-4239-47E5-A1D1-E27AF5E560B6}"/>
    <cellStyle name="40% - Accent4 16" xfId="1428" xr:uid="{E2DE5A46-7FF8-43B5-B593-A5CE6BE41E51}"/>
    <cellStyle name="40% - Accent4 17" xfId="1449" xr:uid="{C91153BA-FAE3-4AD9-9A5F-AEBA22E7EC4E}"/>
    <cellStyle name="40% - Accent4 18" xfId="1470" xr:uid="{EF85CBB8-D982-41A7-B11B-A8E1E20853AF}"/>
    <cellStyle name="40% - Accent4 19" xfId="1490" xr:uid="{B143F2F8-633D-430E-852B-922357D0E866}"/>
    <cellStyle name="40% - Accent4 2" xfId="206" xr:uid="{00000000-0005-0000-0000-0000F5000000}"/>
    <cellStyle name="40% - Accent4 2 2" xfId="207" xr:uid="{00000000-0005-0000-0000-0000F6000000}"/>
    <cellStyle name="40% - Accent4 2 3" xfId="208" xr:uid="{00000000-0005-0000-0000-0000F7000000}"/>
    <cellStyle name="40% - Accent4 2 4" xfId="209" xr:uid="{00000000-0005-0000-0000-0000F8000000}"/>
    <cellStyle name="40% - Accent4 2 5" xfId="210" xr:uid="{00000000-0005-0000-0000-0000F9000000}"/>
    <cellStyle name="40% - Accent4 2 6" xfId="211" xr:uid="{00000000-0005-0000-0000-0000FA000000}"/>
    <cellStyle name="40% - Accent4 2 7" xfId="212" xr:uid="{00000000-0005-0000-0000-0000FB000000}"/>
    <cellStyle name="40% - Accent4 3" xfId="213" xr:uid="{00000000-0005-0000-0000-0000FC000000}"/>
    <cellStyle name="40% - Accent4 3 2" xfId="214" xr:uid="{00000000-0005-0000-0000-0000FD000000}"/>
    <cellStyle name="40% - Accent4 3 3" xfId="215" xr:uid="{00000000-0005-0000-0000-0000FE000000}"/>
    <cellStyle name="40% - Accent4 3 4" xfId="216" xr:uid="{00000000-0005-0000-0000-0000FF000000}"/>
    <cellStyle name="40% - Accent4 3 5" xfId="217" xr:uid="{00000000-0005-0000-0000-000000010000}"/>
    <cellStyle name="40% - Accent4 3 6" xfId="218" xr:uid="{00000000-0005-0000-0000-000001010000}"/>
    <cellStyle name="40% - Accent4 3 7" xfId="219" xr:uid="{00000000-0005-0000-0000-000002010000}"/>
    <cellStyle name="40% - Accent4 4" xfId="220" xr:uid="{00000000-0005-0000-0000-000003010000}"/>
    <cellStyle name="40% - Accent4 5" xfId="221" xr:uid="{00000000-0005-0000-0000-000004010000}"/>
    <cellStyle name="40% - Accent4 6" xfId="222" xr:uid="{00000000-0005-0000-0000-000005010000}"/>
    <cellStyle name="40% - Accent4 7" xfId="223" xr:uid="{00000000-0005-0000-0000-000006010000}"/>
    <cellStyle name="40% - Accent4 8" xfId="224" xr:uid="{00000000-0005-0000-0000-000007010000}"/>
    <cellStyle name="40% - Accent4 9" xfId="225" xr:uid="{00000000-0005-0000-0000-000008010000}"/>
    <cellStyle name="40% - Accent5" xfId="226" builtinId="47" customBuiltin="1"/>
    <cellStyle name="40% - Accent5 10" xfId="227" xr:uid="{00000000-0005-0000-0000-00000A010000}"/>
    <cellStyle name="40% - Accent5 11" xfId="1337" xr:uid="{00000000-0005-0000-0000-00000B010000}"/>
    <cellStyle name="40% - Accent5 12" xfId="1352" xr:uid="{00000000-0005-0000-0000-00000C010000}"/>
    <cellStyle name="40% - Accent5 13" xfId="1368" xr:uid="{00000000-0005-0000-0000-00000D010000}"/>
    <cellStyle name="40% - Accent5 14" xfId="1389" xr:uid="{00000000-0005-0000-0000-00000E010000}"/>
    <cellStyle name="40% - Accent5 15" xfId="1409" xr:uid="{BA6CC0E5-441A-46A3-81DC-361BE72524BE}"/>
    <cellStyle name="40% - Accent5 16" xfId="1431" xr:uid="{B9FB337F-5987-4175-AC5B-3CF8D8462E0C}"/>
    <cellStyle name="40% - Accent5 17" xfId="1452" xr:uid="{0B9A4126-A669-4DCD-8D50-626ACFEF31E9}"/>
    <cellStyle name="40% - Accent5 18" xfId="1473" xr:uid="{32879A45-DB23-415A-A525-867581D3CE05}"/>
    <cellStyle name="40% - Accent5 19" xfId="1493" xr:uid="{7008C54B-C019-4EB6-AD7A-CE1687F0F9CD}"/>
    <cellStyle name="40% - Accent5 2" xfId="228" xr:uid="{00000000-0005-0000-0000-00000F010000}"/>
    <cellStyle name="40% - Accent5 2 2" xfId="229" xr:uid="{00000000-0005-0000-0000-000010010000}"/>
    <cellStyle name="40% - Accent5 2 3" xfId="230" xr:uid="{00000000-0005-0000-0000-000011010000}"/>
    <cellStyle name="40% - Accent5 2 4" xfId="231" xr:uid="{00000000-0005-0000-0000-000012010000}"/>
    <cellStyle name="40% - Accent5 2 5" xfId="232" xr:uid="{00000000-0005-0000-0000-000013010000}"/>
    <cellStyle name="40% - Accent5 2 6" xfId="233" xr:uid="{00000000-0005-0000-0000-000014010000}"/>
    <cellStyle name="40% - Accent5 2 7" xfId="234" xr:uid="{00000000-0005-0000-0000-000015010000}"/>
    <cellStyle name="40% - Accent5 3" xfId="235" xr:uid="{00000000-0005-0000-0000-000016010000}"/>
    <cellStyle name="40% - Accent5 3 2" xfId="236" xr:uid="{00000000-0005-0000-0000-000017010000}"/>
    <cellStyle name="40% - Accent5 3 3" xfId="237" xr:uid="{00000000-0005-0000-0000-000018010000}"/>
    <cellStyle name="40% - Accent5 3 4" xfId="238" xr:uid="{00000000-0005-0000-0000-000019010000}"/>
    <cellStyle name="40% - Accent5 3 5" xfId="239" xr:uid="{00000000-0005-0000-0000-00001A010000}"/>
    <cellStyle name="40% - Accent5 3 6" xfId="240" xr:uid="{00000000-0005-0000-0000-00001B010000}"/>
    <cellStyle name="40% - Accent5 3 7" xfId="241" xr:uid="{00000000-0005-0000-0000-00001C010000}"/>
    <cellStyle name="40% - Accent5 4" xfId="242" xr:uid="{00000000-0005-0000-0000-00001D010000}"/>
    <cellStyle name="40% - Accent5 5" xfId="243" xr:uid="{00000000-0005-0000-0000-00001E010000}"/>
    <cellStyle name="40% - Accent5 6" xfId="244" xr:uid="{00000000-0005-0000-0000-00001F010000}"/>
    <cellStyle name="40% - Accent5 7" xfId="245" xr:uid="{00000000-0005-0000-0000-000020010000}"/>
    <cellStyle name="40% - Accent5 8" xfId="246" xr:uid="{00000000-0005-0000-0000-000021010000}"/>
    <cellStyle name="40% - Accent5 9" xfId="247" xr:uid="{00000000-0005-0000-0000-000022010000}"/>
    <cellStyle name="40% - Accent6" xfId="248" builtinId="51" customBuiltin="1"/>
    <cellStyle name="40% - Accent6 10" xfId="249" xr:uid="{00000000-0005-0000-0000-000024010000}"/>
    <cellStyle name="40% - Accent6 11" xfId="1339" xr:uid="{00000000-0005-0000-0000-000025010000}"/>
    <cellStyle name="40% - Accent6 12" xfId="1354" xr:uid="{00000000-0005-0000-0000-000026010000}"/>
    <cellStyle name="40% - Accent6 13" xfId="1370" xr:uid="{00000000-0005-0000-0000-000027010000}"/>
    <cellStyle name="40% - Accent6 14" xfId="1392" xr:uid="{00000000-0005-0000-0000-000028010000}"/>
    <cellStyle name="40% - Accent6 15" xfId="1412" xr:uid="{AA700F89-0742-426E-A7FA-C8A3D1535F99}"/>
    <cellStyle name="40% - Accent6 16" xfId="1434" xr:uid="{08C0A6E7-176E-45BD-9AF0-3DFBE80B75C6}"/>
    <cellStyle name="40% - Accent6 17" xfId="1455" xr:uid="{3DD8EB55-42B6-436E-955E-2CAF372B16EC}"/>
    <cellStyle name="40% - Accent6 18" xfId="1476" xr:uid="{AC47D8D0-0B27-4C42-B87E-BDE6810AC6E8}"/>
    <cellStyle name="40% - Accent6 19" xfId="1496" xr:uid="{23C5AA98-035E-4234-AB85-DE001D08ED6F}"/>
    <cellStyle name="40% - Accent6 2" xfId="250" xr:uid="{00000000-0005-0000-0000-000029010000}"/>
    <cellStyle name="40% - Accent6 2 2" xfId="251" xr:uid="{00000000-0005-0000-0000-00002A010000}"/>
    <cellStyle name="40% - Accent6 2 3" xfId="252" xr:uid="{00000000-0005-0000-0000-00002B010000}"/>
    <cellStyle name="40% - Accent6 2 4" xfId="253" xr:uid="{00000000-0005-0000-0000-00002C010000}"/>
    <cellStyle name="40% - Accent6 2 5" xfId="254" xr:uid="{00000000-0005-0000-0000-00002D010000}"/>
    <cellStyle name="40% - Accent6 2 6" xfId="255" xr:uid="{00000000-0005-0000-0000-00002E010000}"/>
    <cellStyle name="40% - Accent6 2 7" xfId="256" xr:uid="{00000000-0005-0000-0000-00002F010000}"/>
    <cellStyle name="40% - Accent6 3" xfId="257" xr:uid="{00000000-0005-0000-0000-000030010000}"/>
    <cellStyle name="40% - Accent6 3 2" xfId="258" xr:uid="{00000000-0005-0000-0000-000031010000}"/>
    <cellStyle name="40% - Accent6 3 3" xfId="259" xr:uid="{00000000-0005-0000-0000-000032010000}"/>
    <cellStyle name="40% - Accent6 3 4" xfId="260" xr:uid="{00000000-0005-0000-0000-000033010000}"/>
    <cellStyle name="40% - Accent6 3 5" xfId="261" xr:uid="{00000000-0005-0000-0000-000034010000}"/>
    <cellStyle name="40% - Accent6 3 6" xfId="262" xr:uid="{00000000-0005-0000-0000-000035010000}"/>
    <cellStyle name="40% - Accent6 3 7" xfId="263" xr:uid="{00000000-0005-0000-0000-000036010000}"/>
    <cellStyle name="40% - Accent6 4" xfId="264" xr:uid="{00000000-0005-0000-0000-000037010000}"/>
    <cellStyle name="40% - Accent6 5" xfId="265" xr:uid="{00000000-0005-0000-0000-000038010000}"/>
    <cellStyle name="40% - Accent6 6" xfId="266" xr:uid="{00000000-0005-0000-0000-000039010000}"/>
    <cellStyle name="40% - Accent6 7" xfId="267" xr:uid="{00000000-0005-0000-0000-00003A010000}"/>
    <cellStyle name="40% - Accent6 8" xfId="268" xr:uid="{00000000-0005-0000-0000-00003B010000}"/>
    <cellStyle name="40% - Accent6 9" xfId="269" xr:uid="{00000000-0005-0000-0000-00003C010000}"/>
    <cellStyle name="60% - Accent1" xfId="270" builtinId="32" customBuiltin="1"/>
    <cellStyle name="60% - Accent1 10" xfId="271" xr:uid="{00000000-0005-0000-0000-00003E010000}"/>
    <cellStyle name="60% - Accent1 11" xfId="1378" xr:uid="{00000000-0005-0000-0000-00003F010000}"/>
    <cellStyle name="60% - Accent1 12" xfId="1398" xr:uid="{0BE0560D-4570-42B7-AAE5-3A105C543A7B}"/>
    <cellStyle name="60% - Accent1 13" xfId="1420" xr:uid="{3839B08F-8EAC-4EA9-98F6-736516711789}"/>
    <cellStyle name="60% - Accent1 14" xfId="1441" xr:uid="{EEF8EA03-81C5-4E33-8E73-ECC86DF08C3D}"/>
    <cellStyle name="60% - Accent1 15" xfId="1462" xr:uid="{F811ED7E-8DD5-4033-96D6-FFA79F92FDE3}"/>
    <cellStyle name="60% - Accent1 16" xfId="1482" xr:uid="{F1FC0FCE-B87D-41B0-9C91-DA461F4C3B12}"/>
    <cellStyle name="60% - Accent1 2" xfId="272" xr:uid="{00000000-0005-0000-0000-000040010000}"/>
    <cellStyle name="60% - Accent1 2 2" xfId="273" xr:uid="{00000000-0005-0000-0000-000041010000}"/>
    <cellStyle name="60% - Accent1 2 3" xfId="274" xr:uid="{00000000-0005-0000-0000-000042010000}"/>
    <cellStyle name="60% - Accent1 2 4" xfId="275" xr:uid="{00000000-0005-0000-0000-000043010000}"/>
    <cellStyle name="60% - Accent1 2 5" xfId="276" xr:uid="{00000000-0005-0000-0000-000044010000}"/>
    <cellStyle name="60% - Accent1 2 6" xfId="277" xr:uid="{00000000-0005-0000-0000-000045010000}"/>
    <cellStyle name="60% - Accent1 2 7" xfId="278" xr:uid="{00000000-0005-0000-0000-000046010000}"/>
    <cellStyle name="60% - Accent1 3" xfId="279" xr:uid="{00000000-0005-0000-0000-000047010000}"/>
    <cellStyle name="60% - Accent1 3 2" xfId="280" xr:uid="{00000000-0005-0000-0000-000048010000}"/>
    <cellStyle name="60% - Accent1 3 3" xfId="281" xr:uid="{00000000-0005-0000-0000-000049010000}"/>
    <cellStyle name="60% - Accent1 3 4" xfId="282" xr:uid="{00000000-0005-0000-0000-00004A010000}"/>
    <cellStyle name="60% - Accent1 3 5" xfId="283" xr:uid="{00000000-0005-0000-0000-00004B010000}"/>
    <cellStyle name="60% - Accent1 3 6" xfId="284" xr:uid="{00000000-0005-0000-0000-00004C010000}"/>
    <cellStyle name="60% - Accent1 3 7" xfId="285" xr:uid="{00000000-0005-0000-0000-00004D010000}"/>
    <cellStyle name="60% - Accent1 4" xfId="286" xr:uid="{00000000-0005-0000-0000-00004E010000}"/>
    <cellStyle name="60% - Accent1 5" xfId="287" xr:uid="{00000000-0005-0000-0000-00004F010000}"/>
    <cellStyle name="60% - Accent1 6" xfId="288" xr:uid="{00000000-0005-0000-0000-000050010000}"/>
    <cellStyle name="60% - Accent1 7" xfId="289" xr:uid="{00000000-0005-0000-0000-000051010000}"/>
    <cellStyle name="60% - Accent1 8" xfId="290" xr:uid="{00000000-0005-0000-0000-000052010000}"/>
    <cellStyle name="60% - Accent1 9" xfId="291" xr:uid="{00000000-0005-0000-0000-000053010000}"/>
    <cellStyle name="60% - Accent2" xfId="292" builtinId="36" customBuiltin="1"/>
    <cellStyle name="60% - Accent2 10" xfId="293" xr:uid="{00000000-0005-0000-0000-000055010000}"/>
    <cellStyle name="60% - Accent2 11" xfId="1381" xr:uid="{00000000-0005-0000-0000-000056010000}"/>
    <cellStyle name="60% - Accent2 12" xfId="1401" xr:uid="{C6AC7C29-145E-467D-A7D2-49BA9CEC26C4}"/>
    <cellStyle name="60% - Accent2 13" xfId="1423" xr:uid="{295F44C5-4130-4DC4-87B8-26807CC60E75}"/>
    <cellStyle name="60% - Accent2 14" xfId="1444" xr:uid="{AC7E8456-6E07-4CD5-8B0D-4C1DF60C3B0E}"/>
    <cellStyle name="60% - Accent2 15" xfId="1465" xr:uid="{36FE77A1-34AD-4CFC-8D0F-243887DC1931}"/>
    <cellStyle name="60% - Accent2 16" xfId="1485" xr:uid="{2FE410CB-C9C9-4A36-BE8B-CD57C8C4B90D}"/>
    <cellStyle name="60% - Accent2 2" xfId="294" xr:uid="{00000000-0005-0000-0000-000057010000}"/>
    <cellStyle name="60% - Accent2 2 2" xfId="295" xr:uid="{00000000-0005-0000-0000-000058010000}"/>
    <cellStyle name="60% - Accent2 2 3" xfId="296" xr:uid="{00000000-0005-0000-0000-000059010000}"/>
    <cellStyle name="60% - Accent2 2 4" xfId="297" xr:uid="{00000000-0005-0000-0000-00005A010000}"/>
    <cellStyle name="60% - Accent2 2 5" xfId="298" xr:uid="{00000000-0005-0000-0000-00005B010000}"/>
    <cellStyle name="60% - Accent2 2 6" xfId="299" xr:uid="{00000000-0005-0000-0000-00005C010000}"/>
    <cellStyle name="60% - Accent2 2 7" xfId="300" xr:uid="{00000000-0005-0000-0000-00005D010000}"/>
    <cellStyle name="60% - Accent2 3" xfId="301" xr:uid="{00000000-0005-0000-0000-00005E010000}"/>
    <cellStyle name="60% - Accent2 3 2" xfId="302" xr:uid="{00000000-0005-0000-0000-00005F010000}"/>
    <cellStyle name="60% - Accent2 3 3" xfId="303" xr:uid="{00000000-0005-0000-0000-000060010000}"/>
    <cellStyle name="60% - Accent2 3 4" xfId="304" xr:uid="{00000000-0005-0000-0000-000061010000}"/>
    <cellStyle name="60% - Accent2 3 5" xfId="305" xr:uid="{00000000-0005-0000-0000-000062010000}"/>
    <cellStyle name="60% - Accent2 3 6" xfId="306" xr:uid="{00000000-0005-0000-0000-000063010000}"/>
    <cellStyle name="60% - Accent2 3 7" xfId="307" xr:uid="{00000000-0005-0000-0000-000064010000}"/>
    <cellStyle name="60% - Accent2 4" xfId="308" xr:uid="{00000000-0005-0000-0000-000065010000}"/>
    <cellStyle name="60% - Accent2 5" xfId="309" xr:uid="{00000000-0005-0000-0000-000066010000}"/>
    <cellStyle name="60% - Accent2 6" xfId="310" xr:uid="{00000000-0005-0000-0000-000067010000}"/>
    <cellStyle name="60% - Accent2 7" xfId="311" xr:uid="{00000000-0005-0000-0000-000068010000}"/>
    <cellStyle name="60% - Accent2 8" xfId="312" xr:uid="{00000000-0005-0000-0000-000069010000}"/>
    <cellStyle name="60% - Accent2 9" xfId="313" xr:uid="{00000000-0005-0000-0000-00006A010000}"/>
    <cellStyle name="60% - Accent3" xfId="314" builtinId="40" customBuiltin="1"/>
    <cellStyle name="60% - Accent3 10" xfId="315" xr:uid="{00000000-0005-0000-0000-00006C010000}"/>
    <cellStyle name="60% - Accent3 11" xfId="316" xr:uid="{00000000-0005-0000-0000-00006D010000}"/>
    <cellStyle name="60% - Accent3 12" xfId="1384" xr:uid="{00000000-0005-0000-0000-00006E010000}"/>
    <cellStyle name="60% - Accent3 13" xfId="1404" xr:uid="{42F8C0AC-B0B2-4B99-AC28-3A56795AE735}"/>
    <cellStyle name="60% - Accent3 14" xfId="1426" xr:uid="{CF4A7CD3-0F89-4D6C-9B0C-3DE214A58314}"/>
    <cellStyle name="60% - Accent3 15" xfId="1447" xr:uid="{8D19015F-D88A-408D-9EB1-3F8A6319E27A}"/>
    <cellStyle name="60% - Accent3 16" xfId="1468" xr:uid="{CFA6AF6D-6B2D-47BA-919C-0FCF5BE45CE7}"/>
    <cellStyle name="60% - Accent3 17" xfId="1488" xr:uid="{A1AD93F0-A31E-4A03-BBF3-E7D92002E51C}"/>
    <cellStyle name="60% - Accent3 2" xfId="317" xr:uid="{00000000-0005-0000-0000-00006F010000}"/>
    <cellStyle name="60% - Accent3 2 2" xfId="318" xr:uid="{00000000-0005-0000-0000-000070010000}"/>
    <cellStyle name="60% - Accent3 2 3" xfId="319" xr:uid="{00000000-0005-0000-0000-000071010000}"/>
    <cellStyle name="60% - Accent3 2 4" xfId="320" xr:uid="{00000000-0005-0000-0000-000072010000}"/>
    <cellStyle name="60% - Accent3 2 5" xfId="321" xr:uid="{00000000-0005-0000-0000-000073010000}"/>
    <cellStyle name="60% - Accent3 2 6" xfId="322" xr:uid="{00000000-0005-0000-0000-000074010000}"/>
    <cellStyle name="60% - Accent3 2 7" xfId="323" xr:uid="{00000000-0005-0000-0000-000075010000}"/>
    <cellStyle name="60% - Accent3 3" xfId="324" xr:uid="{00000000-0005-0000-0000-000076010000}"/>
    <cellStyle name="60% - Accent3 3 2" xfId="325" xr:uid="{00000000-0005-0000-0000-000077010000}"/>
    <cellStyle name="60% - Accent3 3 3" xfId="326" xr:uid="{00000000-0005-0000-0000-000078010000}"/>
    <cellStyle name="60% - Accent3 3 4" xfId="327" xr:uid="{00000000-0005-0000-0000-000079010000}"/>
    <cellStyle name="60% - Accent3 3 5" xfId="328" xr:uid="{00000000-0005-0000-0000-00007A010000}"/>
    <cellStyle name="60% - Accent3 3 6" xfId="329" xr:uid="{00000000-0005-0000-0000-00007B010000}"/>
    <cellStyle name="60% - Accent3 3 7" xfId="330" xr:uid="{00000000-0005-0000-0000-00007C010000}"/>
    <cellStyle name="60% - Accent3 4" xfId="331" xr:uid="{00000000-0005-0000-0000-00007D010000}"/>
    <cellStyle name="60% - Accent3 5" xfId="332" xr:uid="{00000000-0005-0000-0000-00007E010000}"/>
    <cellStyle name="60% - Accent3 6" xfId="333" xr:uid="{00000000-0005-0000-0000-00007F010000}"/>
    <cellStyle name="60% - Accent3 7" xfId="334" xr:uid="{00000000-0005-0000-0000-000080010000}"/>
    <cellStyle name="60% - Accent3 8" xfId="335" xr:uid="{00000000-0005-0000-0000-000081010000}"/>
    <cellStyle name="60% - Accent3 9" xfId="336" xr:uid="{00000000-0005-0000-0000-000082010000}"/>
    <cellStyle name="60% - Accent4" xfId="337" builtinId="44" customBuiltin="1"/>
    <cellStyle name="60% - Accent4 10" xfId="338" xr:uid="{00000000-0005-0000-0000-000084010000}"/>
    <cellStyle name="60% - Accent4 11" xfId="339" xr:uid="{00000000-0005-0000-0000-000085010000}"/>
    <cellStyle name="60% - Accent4 12" xfId="1387" xr:uid="{00000000-0005-0000-0000-000086010000}"/>
    <cellStyle name="60% - Accent4 13" xfId="1407" xr:uid="{DB504864-FD83-4A37-9B64-C5897007ACA1}"/>
    <cellStyle name="60% - Accent4 14" xfId="1429" xr:uid="{128E7073-1D5F-4386-9762-FA71D54FA3B7}"/>
    <cellStyle name="60% - Accent4 15" xfId="1450" xr:uid="{9ADDD72E-E22A-4646-894E-AE33E562EFE6}"/>
    <cellStyle name="60% - Accent4 16" xfId="1471" xr:uid="{48E0FB1D-ED9F-4C68-A603-DF27507BF32B}"/>
    <cellStyle name="60% - Accent4 17" xfId="1491" xr:uid="{580C9DC5-3219-49FC-9FD3-3FE49997336F}"/>
    <cellStyle name="60% - Accent4 2" xfId="340" xr:uid="{00000000-0005-0000-0000-000087010000}"/>
    <cellStyle name="60% - Accent4 2 2" xfId="341" xr:uid="{00000000-0005-0000-0000-000088010000}"/>
    <cellStyle name="60% - Accent4 2 3" xfId="342" xr:uid="{00000000-0005-0000-0000-000089010000}"/>
    <cellStyle name="60% - Accent4 2 4" xfId="343" xr:uid="{00000000-0005-0000-0000-00008A010000}"/>
    <cellStyle name="60% - Accent4 2 5" xfId="344" xr:uid="{00000000-0005-0000-0000-00008B010000}"/>
    <cellStyle name="60% - Accent4 2 6" xfId="345" xr:uid="{00000000-0005-0000-0000-00008C010000}"/>
    <cellStyle name="60% - Accent4 2 7" xfId="346" xr:uid="{00000000-0005-0000-0000-00008D010000}"/>
    <cellStyle name="60% - Accent4 3" xfId="347" xr:uid="{00000000-0005-0000-0000-00008E010000}"/>
    <cellStyle name="60% - Accent4 3 2" xfId="348" xr:uid="{00000000-0005-0000-0000-00008F010000}"/>
    <cellStyle name="60% - Accent4 3 3" xfId="349" xr:uid="{00000000-0005-0000-0000-000090010000}"/>
    <cellStyle name="60% - Accent4 3 4" xfId="350" xr:uid="{00000000-0005-0000-0000-000091010000}"/>
    <cellStyle name="60% - Accent4 3 5" xfId="351" xr:uid="{00000000-0005-0000-0000-000092010000}"/>
    <cellStyle name="60% - Accent4 3 6" xfId="352" xr:uid="{00000000-0005-0000-0000-000093010000}"/>
    <cellStyle name="60% - Accent4 3 7" xfId="353" xr:uid="{00000000-0005-0000-0000-000094010000}"/>
    <cellStyle name="60% - Accent4 4" xfId="354" xr:uid="{00000000-0005-0000-0000-000095010000}"/>
    <cellStyle name="60% - Accent4 5" xfId="355" xr:uid="{00000000-0005-0000-0000-000096010000}"/>
    <cellStyle name="60% - Accent4 6" xfId="356" xr:uid="{00000000-0005-0000-0000-000097010000}"/>
    <cellStyle name="60% - Accent4 7" xfId="357" xr:uid="{00000000-0005-0000-0000-000098010000}"/>
    <cellStyle name="60% - Accent4 8" xfId="358" xr:uid="{00000000-0005-0000-0000-000099010000}"/>
    <cellStyle name="60% - Accent4 9" xfId="359" xr:uid="{00000000-0005-0000-0000-00009A010000}"/>
    <cellStyle name="60% - Accent5" xfId="360" builtinId="48" customBuiltin="1"/>
    <cellStyle name="60% - Accent5 10" xfId="361" xr:uid="{00000000-0005-0000-0000-00009C010000}"/>
    <cellStyle name="60% - Accent5 11" xfId="1390" xr:uid="{00000000-0005-0000-0000-00009D010000}"/>
    <cellStyle name="60% - Accent5 12" xfId="1410" xr:uid="{7F7DFDBB-3659-47CE-BC37-61E9A82775CA}"/>
    <cellStyle name="60% - Accent5 13" xfId="1432" xr:uid="{B4A053A8-6EA5-4603-972D-AC4E4D2B922A}"/>
    <cellStyle name="60% - Accent5 14" xfId="1453" xr:uid="{0A0221D5-072E-47F5-B0E8-314528EBA58E}"/>
    <cellStyle name="60% - Accent5 15" xfId="1474" xr:uid="{18AB9F3B-1EC8-4975-BBDD-393D55688BAD}"/>
    <cellStyle name="60% - Accent5 16" xfId="1494" xr:uid="{F21391AE-41E9-40FC-9D8E-6932FC5A002D}"/>
    <cellStyle name="60% - Accent5 2" xfId="362" xr:uid="{00000000-0005-0000-0000-00009E010000}"/>
    <cellStyle name="60% - Accent5 2 2" xfId="363" xr:uid="{00000000-0005-0000-0000-00009F010000}"/>
    <cellStyle name="60% - Accent5 2 3" xfId="364" xr:uid="{00000000-0005-0000-0000-0000A0010000}"/>
    <cellStyle name="60% - Accent5 2 4" xfId="365" xr:uid="{00000000-0005-0000-0000-0000A1010000}"/>
    <cellStyle name="60% - Accent5 2 5" xfId="366" xr:uid="{00000000-0005-0000-0000-0000A2010000}"/>
    <cellStyle name="60% - Accent5 2 6" xfId="367" xr:uid="{00000000-0005-0000-0000-0000A3010000}"/>
    <cellStyle name="60% - Accent5 2 7" xfId="368" xr:uid="{00000000-0005-0000-0000-0000A4010000}"/>
    <cellStyle name="60% - Accent5 3" xfId="369" xr:uid="{00000000-0005-0000-0000-0000A5010000}"/>
    <cellStyle name="60% - Accent5 3 2" xfId="370" xr:uid="{00000000-0005-0000-0000-0000A6010000}"/>
    <cellStyle name="60% - Accent5 3 3" xfId="371" xr:uid="{00000000-0005-0000-0000-0000A7010000}"/>
    <cellStyle name="60% - Accent5 3 4" xfId="372" xr:uid="{00000000-0005-0000-0000-0000A8010000}"/>
    <cellStyle name="60% - Accent5 3 5" xfId="373" xr:uid="{00000000-0005-0000-0000-0000A9010000}"/>
    <cellStyle name="60% - Accent5 3 6" xfId="374" xr:uid="{00000000-0005-0000-0000-0000AA010000}"/>
    <cellStyle name="60% - Accent5 3 7" xfId="375" xr:uid="{00000000-0005-0000-0000-0000AB010000}"/>
    <cellStyle name="60% - Accent5 4" xfId="376" xr:uid="{00000000-0005-0000-0000-0000AC010000}"/>
    <cellStyle name="60% - Accent5 5" xfId="377" xr:uid="{00000000-0005-0000-0000-0000AD010000}"/>
    <cellStyle name="60% - Accent5 6" xfId="378" xr:uid="{00000000-0005-0000-0000-0000AE010000}"/>
    <cellStyle name="60% - Accent5 7" xfId="379" xr:uid="{00000000-0005-0000-0000-0000AF010000}"/>
    <cellStyle name="60% - Accent5 8" xfId="380" xr:uid="{00000000-0005-0000-0000-0000B0010000}"/>
    <cellStyle name="60% - Accent5 9" xfId="381" xr:uid="{00000000-0005-0000-0000-0000B1010000}"/>
    <cellStyle name="60% - Accent6" xfId="382" builtinId="52" customBuiltin="1"/>
    <cellStyle name="60% - Accent6 10" xfId="383" xr:uid="{00000000-0005-0000-0000-0000B3010000}"/>
    <cellStyle name="60% - Accent6 11" xfId="384" xr:uid="{00000000-0005-0000-0000-0000B4010000}"/>
    <cellStyle name="60% - Accent6 12" xfId="1393" xr:uid="{00000000-0005-0000-0000-0000B5010000}"/>
    <cellStyle name="60% - Accent6 13" xfId="1413" xr:uid="{D837AFFB-7C06-43E4-B8FF-C86CFFB84E28}"/>
    <cellStyle name="60% - Accent6 14" xfId="1435" xr:uid="{42920266-C127-43A7-BB3B-56540FF08622}"/>
    <cellStyle name="60% - Accent6 15" xfId="1456" xr:uid="{978E2767-2220-4398-9944-246DB7DBC491}"/>
    <cellStyle name="60% - Accent6 16" xfId="1477" xr:uid="{75C32807-3B20-4E47-A057-C73A2B8862D7}"/>
    <cellStyle name="60% - Accent6 17" xfId="1497" xr:uid="{5DAB8DEA-0315-461C-86CF-760D5DF076BB}"/>
    <cellStyle name="60% - Accent6 2" xfId="385" xr:uid="{00000000-0005-0000-0000-0000B6010000}"/>
    <cellStyle name="60% - Accent6 2 2" xfId="386" xr:uid="{00000000-0005-0000-0000-0000B7010000}"/>
    <cellStyle name="60% - Accent6 2 3" xfId="387" xr:uid="{00000000-0005-0000-0000-0000B8010000}"/>
    <cellStyle name="60% - Accent6 2 4" xfId="388" xr:uid="{00000000-0005-0000-0000-0000B9010000}"/>
    <cellStyle name="60% - Accent6 2 5" xfId="389" xr:uid="{00000000-0005-0000-0000-0000BA010000}"/>
    <cellStyle name="60% - Accent6 2 6" xfId="390" xr:uid="{00000000-0005-0000-0000-0000BB010000}"/>
    <cellStyle name="60% - Accent6 2 7" xfId="391" xr:uid="{00000000-0005-0000-0000-0000BC010000}"/>
    <cellStyle name="60% - Accent6 3" xfId="392" xr:uid="{00000000-0005-0000-0000-0000BD010000}"/>
    <cellStyle name="60% - Accent6 3 2" xfId="393" xr:uid="{00000000-0005-0000-0000-0000BE010000}"/>
    <cellStyle name="60% - Accent6 3 3" xfId="394" xr:uid="{00000000-0005-0000-0000-0000BF010000}"/>
    <cellStyle name="60% - Accent6 3 4" xfId="395" xr:uid="{00000000-0005-0000-0000-0000C0010000}"/>
    <cellStyle name="60% - Accent6 3 5" xfId="396" xr:uid="{00000000-0005-0000-0000-0000C1010000}"/>
    <cellStyle name="60% - Accent6 3 6" xfId="397" xr:uid="{00000000-0005-0000-0000-0000C2010000}"/>
    <cellStyle name="60% - Accent6 3 7" xfId="398" xr:uid="{00000000-0005-0000-0000-0000C3010000}"/>
    <cellStyle name="60% - Accent6 4" xfId="399" xr:uid="{00000000-0005-0000-0000-0000C4010000}"/>
    <cellStyle name="60% - Accent6 5" xfId="400" xr:uid="{00000000-0005-0000-0000-0000C5010000}"/>
    <cellStyle name="60% - Accent6 6" xfId="401" xr:uid="{00000000-0005-0000-0000-0000C6010000}"/>
    <cellStyle name="60% - Accent6 7" xfId="402" xr:uid="{00000000-0005-0000-0000-0000C7010000}"/>
    <cellStyle name="60% - Accent6 8" xfId="403" xr:uid="{00000000-0005-0000-0000-0000C8010000}"/>
    <cellStyle name="60% - Accent6 9" xfId="404" xr:uid="{00000000-0005-0000-0000-0000C9010000}"/>
    <cellStyle name="Accent1" xfId="405" builtinId="29" customBuiltin="1"/>
    <cellStyle name="Accent1 10" xfId="406" xr:uid="{00000000-0005-0000-0000-0000CB010000}"/>
    <cellStyle name="Accent1 2" xfId="407" xr:uid="{00000000-0005-0000-0000-0000CC010000}"/>
    <cellStyle name="Accent1 2 2" xfId="408" xr:uid="{00000000-0005-0000-0000-0000CD010000}"/>
    <cellStyle name="Accent1 2 3" xfId="409" xr:uid="{00000000-0005-0000-0000-0000CE010000}"/>
    <cellStyle name="Accent1 2 4" xfId="410" xr:uid="{00000000-0005-0000-0000-0000CF010000}"/>
    <cellStyle name="Accent1 2 5" xfId="411" xr:uid="{00000000-0005-0000-0000-0000D0010000}"/>
    <cellStyle name="Accent1 2 6" xfId="412" xr:uid="{00000000-0005-0000-0000-0000D1010000}"/>
    <cellStyle name="Accent1 2 7" xfId="413" xr:uid="{00000000-0005-0000-0000-0000D2010000}"/>
    <cellStyle name="Accent1 3" xfId="414" xr:uid="{00000000-0005-0000-0000-0000D3010000}"/>
    <cellStyle name="Accent1 3 2" xfId="415" xr:uid="{00000000-0005-0000-0000-0000D4010000}"/>
    <cellStyle name="Accent1 3 3" xfId="416" xr:uid="{00000000-0005-0000-0000-0000D5010000}"/>
    <cellStyle name="Accent1 3 4" xfId="417" xr:uid="{00000000-0005-0000-0000-0000D6010000}"/>
    <cellStyle name="Accent1 3 5" xfId="418" xr:uid="{00000000-0005-0000-0000-0000D7010000}"/>
    <cellStyle name="Accent1 3 6" xfId="419" xr:uid="{00000000-0005-0000-0000-0000D8010000}"/>
    <cellStyle name="Accent1 3 7" xfId="420" xr:uid="{00000000-0005-0000-0000-0000D9010000}"/>
    <cellStyle name="Accent1 4" xfId="421" xr:uid="{00000000-0005-0000-0000-0000DA010000}"/>
    <cellStyle name="Accent1 5" xfId="422" xr:uid="{00000000-0005-0000-0000-0000DB010000}"/>
    <cellStyle name="Accent1 6" xfId="423" xr:uid="{00000000-0005-0000-0000-0000DC010000}"/>
    <cellStyle name="Accent1 7" xfId="424" xr:uid="{00000000-0005-0000-0000-0000DD010000}"/>
    <cellStyle name="Accent1 8" xfId="425" xr:uid="{00000000-0005-0000-0000-0000DE010000}"/>
    <cellStyle name="Accent1 9" xfId="426" xr:uid="{00000000-0005-0000-0000-0000DF010000}"/>
    <cellStyle name="Accent2" xfId="427" builtinId="33" customBuiltin="1"/>
    <cellStyle name="Accent2 10" xfId="428" xr:uid="{00000000-0005-0000-0000-0000E1010000}"/>
    <cellStyle name="Accent2 2" xfId="429" xr:uid="{00000000-0005-0000-0000-0000E2010000}"/>
    <cellStyle name="Accent2 2 2" xfId="430" xr:uid="{00000000-0005-0000-0000-0000E3010000}"/>
    <cellStyle name="Accent2 2 3" xfId="431" xr:uid="{00000000-0005-0000-0000-0000E4010000}"/>
    <cellStyle name="Accent2 2 4" xfId="432" xr:uid="{00000000-0005-0000-0000-0000E5010000}"/>
    <cellStyle name="Accent2 2 5" xfId="433" xr:uid="{00000000-0005-0000-0000-0000E6010000}"/>
    <cellStyle name="Accent2 2 6" xfId="434" xr:uid="{00000000-0005-0000-0000-0000E7010000}"/>
    <cellStyle name="Accent2 2 7" xfId="435" xr:uid="{00000000-0005-0000-0000-0000E8010000}"/>
    <cellStyle name="Accent2 3" xfId="436" xr:uid="{00000000-0005-0000-0000-0000E9010000}"/>
    <cellStyle name="Accent2 3 2" xfId="437" xr:uid="{00000000-0005-0000-0000-0000EA010000}"/>
    <cellStyle name="Accent2 3 3" xfId="438" xr:uid="{00000000-0005-0000-0000-0000EB010000}"/>
    <cellStyle name="Accent2 3 4" xfId="439" xr:uid="{00000000-0005-0000-0000-0000EC010000}"/>
    <cellStyle name="Accent2 3 5" xfId="440" xr:uid="{00000000-0005-0000-0000-0000ED010000}"/>
    <cellStyle name="Accent2 3 6" xfId="441" xr:uid="{00000000-0005-0000-0000-0000EE010000}"/>
    <cellStyle name="Accent2 3 7" xfId="442" xr:uid="{00000000-0005-0000-0000-0000EF010000}"/>
    <cellStyle name="Accent2 4" xfId="443" xr:uid="{00000000-0005-0000-0000-0000F0010000}"/>
    <cellStyle name="Accent2 5" xfId="444" xr:uid="{00000000-0005-0000-0000-0000F1010000}"/>
    <cellStyle name="Accent2 6" xfId="445" xr:uid="{00000000-0005-0000-0000-0000F2010000}"/>
    <cellStyle name="Accent2 7" xfId="446" xr:uid="{00000000-0005-0000-0000-0000F3010000}"/>
    <cellStyle name="Accent2 8" xfId="447" xr:uid="{00000000-0005-0000-0000-0000F4010000}"/>
    <cellStyle name="Accent2 9" xfId="448" xr:uid="{00000000-0005-0000-0000-0000F5010000}"/>
    <cellStyle name="Accent3" xfId="449" builtinId="37" customBuiltin="1"/>
    <cellStyle name="Accent3 10" xfId="450" xr:uid="{00000000-0005-0000-0000-0000F7010000}"/>
    <cellStyle name="Accent3 2" xfId="451" xr:uid="{00000000-0005-0000-0000-0000F8010000}"/>
    <cellStyle name="Accent3 2 2" xfId="452" xr:uid="{00000000-0005-0000-0000-0000F9010000}"/>
    <cellStyle name="Accent3 2 3" xfId="453" xr:uid="{00000000-0005-0000-0000-0000FA010000}"/>
    <cellStyle name="Accent3 2 4" xfId="454" xr:uid="{00000000-0005-0000-0000-0000FB010000}"/>
    <cellStyle name="Accent3 2 5" xfId="455" xr:uid="{00000000-0005-0000-0000-0000FC010000}"/>
    <cellStyle name="Accent3 2 6" xfId="456" xr:uid="{00000000-0005-0000-0000-0000FD010000}"/>
    <cellStyle name="Accent3 2 7" xfId="457" xr:uid="{00000000-0005-0000-0000-0000FE010000}"/>
    <cellStyle name="Accent3 3" xfId="458" xr:uid="{00000000-0005-0000-0000-0000FF010000}"/>
    <cellStyle name="Accent3 3 2" xfId="459" xr:uid="{00000000-0005-0000-0000-000000020000}"/>
    <cellStyle name="Accent3 3 3" xfId="460" xr:uid="{00000000-0005-0000-0000-000001020000}"/>
    <cellStyle name="Accent3 3 4" xfId="461" xr:uid="{00000000-0005-0000-0000-000002020000}"/>
    <cellStyle name="Accent3 3 5" xfId="462" xr:uid="{00000000-0005-0000-0000-000003020000}"/>
    <cellStyle name="Accent3 3 6" xfId="463" xr:uid="{00000000-0005-0000-0000-000004020000}"/>
    <cellStyle name="Accent3 3 7" xfId="464" xr:uid="{00000000-0005-0000-0000-000005020000}"/>
    <cellStyle name="Accent3 4" xfId="465" xr:uid="{00000000-0005-0000-0000-000006020000}"/>
    <cellStyle name="Accent3 5" xfId="466" xr:uid="{00000000-0005-0000-0000-000007020000}"/>
    <cellStyle name="Accent3 6" xfId="467" xr:uid="{00000000-0005-0000-0000-000008020000}"/>
    <cellStyle name="Accent3 7" xfId="468" xr:uid="{00000000-0005-0000-0000-000009020000}"/>
    <cellStyle name="Accent3 8" xfId="469" xr:uid="{00000000-0005-0000-0000-00000A020000}"/>
    <cellStyle name="Accent3 9" xfId="470" xr:uid="{00000000-0005-0000-0000-00000B020000}"/>
    <cellStyle name="Accent4" xfId="471" builtinId="41" customBuiltin="1"/>
    <cellStyle name="Accent4 10" xfId="472" xr:uid="{00000000-0005-0000-0000-00000D020000}"/>
    <cellStyle name="Accent4 2" xfId="473" xr:uid="{00000000-0005-0000-0000-00000E020000}"/>
    <cellStyle name="Accent4 2 2" xfId="474" xr:uid="{00000000-0005-0000-0000-00000F020000}"/>
    <cellStyle name="Accent4 2 3" xfId="475" xr:uid="{00000000-0005-0000-0000-000010020000}"/>
    <cellStyle name="Accent4 2 4" xfId="476" xr:uid="{00000000-0005-0000-0000-000011020000}"/>
    <cellStyle name="Accent4 2 5" xfId="477" xr:uid="{00000000-0005-0000-0000-000012020000}"/>
    <cellStyle name="Accent4 2 6" xfId="478" xr:uid="{00000000-0005-0000-0000-000013020000}"/>
    <cellStyle name="Accent4 2 7" xfId="479" xr:uid="{00000000-0005-0000-0000-000014020000}"/>
    <cellStyle name="Accent4 3" xfId="480" xr:uid="{00000000-0005-0000-0000-000015020000}"/>
    <cellStyle name="Accent4 3 2" xfId="481" xr:uid="{00000000-0005-0000-0000-000016020000}"/>
    <cellStyle name="Accent4 3 3" xfId="482" xr:uid="{00000000-0005-0000-0000-000017020000}"/>
    <cellStyle name="Accent4 3 4" xfId="483" xr:uid="{00000000-0005-0000-0000-000018020000}"/>
    <cellStyle name="Accent4 3 5" xfId="484" xr:uid="{00000000-0005-0000-0000-000019020000}"/>
    <cellStyle name="Accent4 3 6" xfId="485" xr:uid="{00000000-0005-0000-0000-00001A020000}"/>
    <cellStyle name="Accent4 3 7" xfId="486" xr:uid="{00000000-0005-0000-0000-00001B020000}"/>
    <cellStyle name="Accent4 4" xfId="487" xr:uid="{00000000-0005-0000-0000-00001C020000}"/>
    <cellStyle name="Accent4 5" xfId="488" xr:uid="{00000000-0005-0000-0000-00001D020000}"/>
    <cellStyle name="Accent4 6" xfId="489" xr:uid="{00000000-0005-0000-0000-00001E020000}"/>
    <cellStyle name="Accent4 7" xfId="490" xr:uid="{00000000-0005-0000-0000-00001F020000}"/>
    <cellStyle name="Accent4 8" xfId="491" xr:uid="{00000000-0005-0000-0000-000020020000}"/>
    <cellStyle name="Accent4 9" xfId="492" xr:uid="{00000000-0005-0000-0000-000021020000}"/>
    <cellStyle name="Accent5" xfId="493" builtinId="45" customBuiltin="1"/>
    <cellStyle name="Accent5 10" xfId="494" xr:uid="{00000000-0005-0000-0000-000023020000}"/>
    <cellStyle name="Accent5 2" xfId="495" xr:uid="{00000000-0005-0000-0000-000024020000}"/>
    <cellStyle name="Accent5 2 2" xfId="496" xr:uid="{00000000-0005-0000-0000-000025020000}"/>
    <cellStyle name="Accent5 2 3" xfId="497" xr:uid="{00000000-0005-0000-0000-000026020000}"/>
    <cellStyle name="Accent5 2 4" xfId="498" xr:uid="{00000000-0005-0000-0000-000027020000}"/>
    <cellStyle name="Accent5 2 5" xfId="499" xr:uid="{00000000-0005-0000-0000-000028020000}"/>
    <cellStyle name="Accent5 2 6" xfId="500" xr:uid="{00000000-0005-0000-0000-000029020000}"/>
    <cellStyle name="Accent5 2 7" xfId="501" xr:uid="{00000000-0005-0000-0000-00002A020000}"/>
    <cellStyle name="Accent5 3" xfId="502" xr:uid="{00000000-0005-0000-0000-00002B020000}"/>
    <cellStyle name="Accent5 3 2" xfId="503" xr:uid="{00000000-0005-0000-0000-00002C020000}"/>
    <cellStyle name="Accent5 3 3" xfId="504" xr:uid="{00000000-0005-0000-0000-00002D020000}"/>
    <cellStyle name="Accent5 3 4" xfId="505" xr:uid="{00000000-0005-0000-0000-00002E020000}"/>
    <cellStyle name="Accent5 3 5" xfId="506" xr:uid="{00000000-0005-0000-0000-00002F020000}"/>
    <cellStyle name="Accent5 3 6" xfId="507" xr:uid="{00000000-0005-0000-0000-000030020000}"/>
    <cellStyle name="Accent5 3 7" xfId="508" xr:uid="{00000000-0005-0000-0000-000031020000}"/>
    <cellStyle name="Accent5 4" xfId="509" xr:uid="{00000000-0005-0000-0000-000032020000}"/>
    <cellStyle name="Accent5 5" xfId="510" xr:uid="{00000000-0005-0000-0000-000033020000}"/>
    <cellStyle name="Accent5 6" xfId="511" xr:uid="{00000000-0005-0000-0000-000034020000}"/>
    <cellStyle name="Accent5 7" xfId="512" xr:uid="{00000000-0005-0000-0000-000035020000}"/>
    <cellStyle name="Accent5 8" xfId="513" xr:uid="{00000000-0005-0000-0000-000036020000}"/>
    <cellStyle name="Accent5 9" xfId="514" xr:uid="{00000000-0005-0000-0000-000037020000}"/>
    <cellStyle name="Accent6" xfId="515" builtinId="49" customBuiltin="1"/>
    <cellStyle name="Accent6 10" xfId="516" xr:uid="{00000000-0005-0000-0000-000039020000}"/>
    <cellStyle name="Accent6 2" xfId="517" xr:uid="{00000000-0005-0000-0000-00003A020000}"/>
    <cellStyle name="Accent6 2 2" xfId="518" xr:uid="{00000000-0005-0000-0000-00003B020000}"/>
    <cellStyle name="Accent6 2 3" xfId="519" xr:uid="{00000000-0005-0000-0000-00003C020000}"/>
    <cellStyle name="Accent6 2 4" xfId="520" xr:uid="{00000000-0005-0000-0000-00003D020000}"/>
    <cellStyle name="Accent6 2 5" xfId="521" xr:uid="{00000000-0005-0000-0000-00003E020000}"/>
    <cellStyle name="Accent6 2 6" xfId="522" xr:uid="{00000000-0005-0000-0000-00003F020000}"/>
    <cellStyle name="Accent6 2 7" xfId="523" xr:uid="{00000000-0005-0000-0000-000040020000}"/>
    <cellStyle name="Accent6 3" xfId="524" xr:uid="{00000000-0005-0000-0000-000041020000}"/>
    <cellStyle name="Accent6 3 2" xfId="525" xr:uid="{00000000-0005-0000-0000-000042020000}"/>
    <cellStyle name="Accent6 3 3" xfId="526" xr:uid="{00000000-0005-0000-0000-000043020000}"/>
    <cellStyle name="Accent6 3 4" xfId="527" xr:uid="{00000000-0005-0000-0000-000044020000}"/>
    <cellStyle name="Accent6 3 5" xfId="528" xr:uid="{00000000-0005-0000-0000-000045020000}"/>
    <cellStyle name="Accent6 3 6" xfId="529" xr:uid="{00000000-0005-0000-0000-000046020000}"/>
    <cellStyle name="Accent6 3 7" xfId="530" xr:uid="{00000000-0005-0000-0000-000047020000}"/>
    <cellStyle name="Accent6 4" xfId="531" xr:uid="{00000000-0005-0000-0000-000048020000}"/>
    <cellStyle name="Accent6 5" xfId="532" xr:uid="{00000000-0005-0000-0000-000049020000}"/>
    <cellStyle name="Accent6 6" xfId="533" xr:uid="{00000000-0005-0000-0000-00004A020000}"/>
    <cellStyle name="Accent6 7" xfId="534" xr:uid="{00000000-0005-0000-0000-00004B020000}"/>
    <cellStyle name="Accent6 8" xfId="535" xr:uid="{00000000-0005-0000-0000-00004C020000}"/>
    <cellStyle name="Accent6 9" xfId="536" xr:uid="{00000000-0005-0000-0000-00004D020000}"/>
    <cellStyle name="Bad" xfId="537" builtinId="27" customBuiltin="1"/>
    <cellStyle name="Bad 10" xfId="538" xr:uid="{00000000-0005-0000-0000-00004F020000}"/>
    <cellStyle name="Bad 2" xfId="539" xr:uid="{00000000-0005-0000-0000-000050020000}"/>
    <cellStyle name="Bad 2 2" xfId="540" xr:uid="{00000000-0005-0000-0000-000051020000}"/>
    <cellStyle name="Bad 2 3" xfId="541" xr:uid="{00000000-0005-0000-0000-000052020000}"/>
    <cellStyle name="Bad 2 4" xfId="542" xr:uid="{00000000-0005-0000-0000-000053020000}"/>
    <cellStyle name="Bad 2 5" xfId="543" xr:uid="{00000000-0005-0000-0000-000054020000}"/>
    <cellStyle name="Bad 2 6" xfId="544" xr:uid="{00000000-0005-0000-0000-000055020000}"/>
    <cellStyle name="Bad 2 7" xfId="545" xr:uid="{00000000-0005-0000-0000-000056020000}"/>
    <cellStyle name="Bad 3" xfId="546" xr:uid="{00000000-0005-0000-0000-000057020000}"/>
    <cellStyle name="Bad 3 2" xfId="547" xr:uid="{00000000-0005-0000-0000-000058020000}"/>
    <cellStyle name="Bad 3 3" xfId="548" xr:uid="{00000000-0005-0000-0000-000059020000}"/>
    <cellStyle name="Bad 3 4" xfId="549" xr:uid="{00000000-0005-0000-0000-00005A020000}"/>
    <cellStyle name="Bad 3 5" xfId="550" xr:uid="{00000000-0005-0000-0000-00005B020000}"/>
    <cellStyle name="Bad 3 6" xfId="551" xr:uid="{00000000-0005-0000-0000-00005C020000}"/>
    <cellStyle name="Bad 3 7" xfId="552" xr:uid="{00000000-0005-0000-0000-00005D020000}"/>
    <cellStyle name="Bad 4" xfId="553" xr:uid="{00000000-0005-0000-0000-00005E020000}"/>
    <cellStyle name="Bad 5" xfId="554" xr:uid="{00000000-0005-0000-0000-00005F020000}"/>
    <cellStyle name="Bad 6" xfId="555" xr:uid="{00000000-0005-0000-0000-000060020000}"/>
    <cellStyle name="Bad 7" xfId="556" xr:uid="{00000000-0005-0000-0000-000061020000}"/>
    <cellStyle name="Bad 8" xfId="557" xr:uid="{00000000-0005-0000-0000-000062020000}"/>
    <cellStyle name="Bad 9" xfId="558" xr:uid="{00000000-0005-0000-0000-000063020000}"/>
    <cellStyle name="Calculation" xfId="559" builtinId="22" customBuiltin="1"/>
    <cellStyle name="Calculation 10" xfId="560" xr:uid="{00000000-0005-0000-0000-000065020000}"/>
    <cellStyle name="Calculation 2" xfId="561" xr:uid="{00000000-0005-0000-0000-000066020000}"/>
    <cellStyle name="Calculation 2 2" xfId="562" xr:uid="{00000000-0005-0000-0000-000067020000}"/>
    <cellStyle name="Calculation 2 3" xfId="563" xr:uid="{00000000-0005-0000-0000-000068020000}"/>
    <cellStyle name="Calculation 2 4" xfId="564" xr:uid="{00000000-0005-0000-0000-000069020000}"/>
    <cellStyle name="Calculation 2 5" xfId="565" xr:uid="{00000000-0005-0000-0000-00006A020000}"/>
    <cellStyle name="Calculation 2 6" xfId="566" xr:uid="{00000000-0005-0000-0000-00006B020000}"/>
    <cellStyle name="Calculation 2 7" xfId="567" xr:uid="{00000000-0005-0000-0000-00006C020000}"/>
    <cellStyle name="Calculation 3" xfId="568" xr:uid="{00000000-0005-0000-0000-00006D020000}"/>
    <cellStyle name="Calculation 3 2" xfId="569" xr:uid="{00000000-0005-0000-0000-00006E020000}"/>
    <cellStyle name="Calculation 3 3" xfId="570" xr:uid="{00000000-0005-0000-0000-00006F020000}"/>
    <cellStyle name="Calculation 3 4" xfId="571" xr:uid="{00000000-0005-0000-0000-000070020000}"/>
    <cellStyle name="Calculation 3 5" xfId="572" xr:uid="{00000000-0005-0000-0000-000071020000}"/>
    <cellStyle name="Calculation 3 6" xfId="573" xr:uid="{00000000-0005-0000-0000-000072020000}"/>
    <cellStyle name="Calculation 3 7" xfId="574" xr:uid="{00000000-0005-0000-0000-000073020000}"/>
    <cellStyle name="Calculation 4" xfId="575" xr:uid="{00000000-0005-0000-0000-000074020000}"/>
    <cellStyle name="Calculation 5" xfId="576" xr:uid="{00000000-0005-0000-0000-000075020000}"/>
    <cellStyle name="Calculation 6" xfId="577" xr:uid="{00000000-0005-0000-0000-000076020000}"/>
    <cellStyle name="Calculation 7" xfId="578" xr:uid="{00000000-0005-0000-0000-000077020000}"/>
    <cellStyle name="Calculation 8" xfId="579" xr:uid="{00000000-0005-0000-0000-000078020000}"/>
    <cellStyle name="Calculation 9" xfId="580" xr:uid="{00000000-0005-0000-0000-000079020000}"/>
    <cellStyle name="Check Cell" xfId="581" builtinId="23" customBuiltin="1"/>
    <cellStyle name="Check Cell 10" xfId="582" xr:uid="{00000000-0005-0000-0000-00007B020000}"/>
    <cellStyle name="Check Cell 2" xfId="583" xr:uid="{00000000-0005-0000-0000-00007C020000}"/>
    <cellStyle name="Check Cell 2 2" xfId="584" xr:uid="{00000000-0005-0000-0000-00007D020000}"/>
    <cellStyle name="Check Cell 2 3" xfId="585" xr:uid="{00000000-0005-0000-0000-00007E020000}"/>
    <cellStyle name="Check Cell 2 4" xfId="586" xr:uid="{00000000-0005-0000-0000-00007F020000}"/>
    <cellStyle name="Check Cell 2 5" xfId="587" xr:uid="{00000000-0005-0000-0000-000080020000}"/>
    <cellStyle name="Check Cell 2 6" xfId="588" xr:uid="{00000000-0005-0000-0000-000081020000}"/>
    <cellStyle name="Check Cell 2 7" xfId="589" xr:uid="{00000000-0005-0000-0000-000082020000}"/>
    <cellStyle name="Check Cell 3" xfId="590" xr:uid="{00000000-0005-0000-0000-000083020000}"/>
    <cellStyle name="Check Cell 3 2" xfId="591" xr:uid="{00000000-0005-0000-0000-000084020000}"/>
    <cellStyle name="Check Cell 3 3" xfId="592" xr:uid="{00000000-0005-0000-0000-000085020000}"/>
    <cellStyle name="Check Cell 3 4" xfId="593" xr:uid="{00000000-0005-0000-0000-000086020000}"/>
    <cellStyle name="Check Cell 3 5" xfId="594" xr:uid="{00000000-0005-0000-0000-000087020000}"/>
    <cellStyle name="Check Cell 3 6" xfId="595" xr:uid="{00000000-0005-0000-0000-000088020000}"/>
    <cellStyle name="Check Cell 3 7" xfId="596" xr:uid="{00000000-0005-0000-0000-000089020000}"/>
    <cellStyle name="Check Cell 4" xfId="597" xr:uid="{00000000-0005-0000-0000-00008A020000}"/>
    <cellStyle name="Check Cell 5" xfId="598" xr:uid="{00000000-0005-0000-0000-00008B020000}"/>
    <cellStyle name="Check Cell 6" xfId="599" xr:uid="{00000000-0005-0000-0000-00008C020000}"/>
    <cellStyle name="Check Cell 7" xfId="600" xr:uid="{00000000-0005-0000-0000-00008D020000}"/>
    <cellStyle name="Check Cell 8" xfId="601" xr:uid="{00000000-0005-0000-0000-00008E020000}"/>
    <cellStyle name="Check Cell 9" xfId="602" xr:uid="{00000000-0005-0000-0000-00008F020000}"/>
    <cellStyle name="Comma 2" xfId="603" xr:uid="{00000000-0005-0000-0000-000090020000}"/>
    <cellStyle name="Comma 3" xfId="604" xr:uid="{00000000-0005-0000-0000-000091020000}"/>
    <cellStyle name="Comma 4" xfId="605" xr:uid="{00000000-0005-0000-0000-000092020000}"/>
    <cellStyle name="Comma 5" xfId="606" xr:uid="{00000000-0005-0000-0000-000093020000}"/>
    <cellStyle name="Explanatory Text" xfId="607" builtinId="53" customBuiltin="1"/>
    <cellStyle name="Explanatory Text 10" xfId="608" xr:uid="{00000000-0005-0000-0000-000095020000}"/>
    <cellStyle name="Explanatory Text 2" xfId="609" xr:uid="{00000000-0005-0000-0000-000096020000}"/>
    <cellStyle name="Explanatory Text 2 2" xfId="610" xr:uid="{00000000-0005-0000-0000-000097020000}"/>
    <cellStyle name="Explanatory Text 2 3" xfId="611" xr:uid="{00000000-0005-0000-0000-000098020000}"/>
    <cellStyle name="Explanatory Text 2 4" xfId="612" xr:uid="{00000000-0005-0000-0000-000099020000}"/>
    <cellStyle name="Explanatory Text 2 5" xfId="613" xr:uid="{00000000-0005-0000-0000-00009A020000}"/>
    <cellStyle name="Explanatory Text 2 6" xfId="614" xr:uid="{00000000-0005-0000-0000-00009B020000}"/>
    <cellStyle name="Explanatory Text 2 7" xfId="615" xr:uid="{00000000-0005-0000-0000-00009C020000}"/>
    <cellStyle name="Explanatory Text 3" xfId="616" xr:uid="{00000000-0005-0000-0000-00009D020000}"/>
    <cellStyle name="Explanatory Text 3 2" xfId="617" xr:uid="{00000000-0005-0000-0000-00009E020000}"/>
    <cellStyle name="Explanatory Text 3 3" xfId="618" xr:uid="{00000000-0005-0000-0000-00009F020000}"/>
    <cellStyle name="Explanatory Text 3 4" xfId="619" xr:uid="{00000000-0005-0000-0000-0000A0020000}"/>
    <cellStyle name="Explanatory Text 3 5" xfId="620" xr:uid="{00000000-0005-0000-0000-0000A1020000}"/>
    <cellStyle name="Explanatory Text 3 6" xfId="621" xr:uid="{00000000-0005-0000-0000-0000A2020000}"/>
    <cellStyle name="Explanatory Text 3 7" xfId="622" xr:uid="{00000000-0005-0000-0000-0000A3020000}"/>
    <cellStyle name="Explanatory Text 4" xfId="623" xr:uid="{00000000-0005-0000-0000-0000A4020000}"/>
    <cellStyle name="Explanatory Text 5" xfId="624" xr:uid="{00000000-0005-0000-0000-0000A5020000}"/>
    <cellStyle name="Explanatory Text 6" xfId="625" xr:uid="{00000000-0005-0000-0000-0000A6020000}"/>
    <cellStyle name="Explanatory Text 7" xfId="626" xr:uid="{00000000-0005-0000-0000-0000A7020000}"/>
    <cellStyle name="Explanatory Text 8" xfId="627" xr:uid="{00000000-0005-0000-0000-0000A8020000}"/>
    <cellStyle name="Explanatory Text 9" xfId="628" xr:uid="{00000000-0005-0000-0000-0000A9020000}"/>
    <cellStyle name="Good" xfId="629" builtinId="26" customBuiltin="1"/>
    <cellStyle name="Good 10" xfId="630" xr:uid="{00000000-0005-0000-0000-0000AB020000}"/>
    <cellStyle name="Good 2" xfId="631" xr:uid="{00000000-0005-0000-0000-0000AC020000}"/>
    <cellStyle name="Good 2 2" xfId="632" xr:uid="{00000000-0005-0000-0000-0000AD020000}"/>
    <cellStyle name="Good 2 3" xfId="633" xr:uid="{00000000-0005-0000-0000-0000AE020000}"/>
    <cellStyle name="Good 2 4" xfId="634" xr:uid="{00000000-0005-0000-0000-0000AF020000}"/>
    <cellStyle name="Good 2 5" xfId="635" xr:uid="{00000000-0005-0000-0000-0000B0020000}"/>
    <cellStyle name="Good 2 6" xfId="636" xr:uid="{00000000-0005-0000-0000-0000B1020000}"/>
    <cellStyle name="Good 2 7" xfId="637" xr:uid="{00000000-0005-0000-0000-0000B2020000}"/>
    <cellStyle name="Good 3" xfId="638" xr:uid="{00000000-0005-0000-0000-0000B3020000}"/>
    <cellStyle name="Good 3 2" xfId="639" xr:uid="{00000000-0005-0000-0000-0000B4020000}"/>
    <cellStyle name="Good 3 3" xfId="640" xr:uid="{00000000-0005-0000-0000-0000B5020000}"/>
    <cellStyle name="Good 3 4" xfId="641" xr:uid="{00000000-0005-0000-0000-0000B6020000}"/>
    <cellStyle name="Good 3 5" xfId="642" xr:uid="{00000000-0005-0000-0000-0000B7020000}"/>
    <cellStyle name="Good 3 6" xfId="643" xr:uid="{00000000-0005-0000-0000-0000B8020000}"/>
    <cellStyle name="Good 3 7" xfId="644" xr:uid="{00000000-0005-0000-0000-0000B9020000}"/>
    <cellStyle name="Good 4" xfId="645" xr:uid="{00000000-0005-0000-0000-0000BA020000}"/>
    <cellStyle name="Good 5" xfId="646" xr:uid="{00000000-0005-0000-0000-0000BB020000}"/>
    <cellStyle name="Good 6" xfId="647" xr:uid="{00000000-0005-0000-0000-0000BC020000}"/>
    <cellStyle name="Good 7" xfId="648" xr:uid="{00000000-0005-0000-0000-0000BD020000}"/>
    <cellStyle name="Good 8" xfId="649" xr:uid="{00000000-0005-0000-0000-0000BE020000}"/>
    <cellStyle name="Good 9" xfId="650" xr:uid="{00000000-0005-0000-0000-0000BF020000}"/>
    <cellStyle name="Heading 1" xfId="651" builtinId="16" customBuiltin="1"/>
    <cellStyle name="Heading 1 10" xfId="652" xr:uid="{00000000-0005-0000-0000-0000C1020000}"/>
    <cellStyle name="Heading 1 2" xfId="653" xr:uid="{00000000-0005-0000-0000-0000C2020000}"/>
    <cellStyle name="Heading 1 2 2" xfId="654" xr:uid="{00000000-0005-0000-0000-0000C3020000}"/>
    <cellStyle name="Heading 1 2 3" xfId="655" xr:uid="{00000000-0005-0000-0000-0000C4020000}"/>
    <cellStyle name="Heading 1 2 4" xfId="656" xr:uid="{00000000-0005-0000-0000-0000C5020000}"/>
    <cellStyle name="Heading 1 2 5" xfId="657" xr:uid="{00000000-0005-0000-0000-0000C6020000}"/>
    <cellStyle name="Heading 1 2 6" xfId="658" xr:uid="{00000000-0005-0000-0000-0000C7020000}"/>
    <cellStyle name="Heading 1 2 7" xfId="659" xr:uid="{00000000-0005-0000-0000-0000C8020000}"/>
    <cellStyle name="Heading 1 3" xfId="660" xr:uid="{00000000-0005-0000-0000-0000C9020000}"/>
    <cellStyle name="Heading 1 3 2" xfId="661" xr:uid="{00000000-0005-0000-0000-0000CA020000}"/>
    <cellStyle name="Heading 1 3 3" xfId="662" xr:uid="{00000000-0005-0000-0000-0000CB020000}"/>
    <cellStyle name="Heading 1 3 4" xfId="663" xr:uid="{00000000-0005-0000-0000-0000CC020000}"/>
    <cellStyle name="Heading 1 3 5" xfId="664" xr:uid="{00000000-0005-0000-0000-0000CD020000}"/>
    <cellStyle name="Heading 1 3 6" xfId="665" xr:uid="{00000000-0005-0000-0000-0000CE020000}"/>
    <cellStyle name="Heading 1 3 7" xfId="666" xr:uid="{00000000-0005-0000-0000-0000CF020000}"/>
    <cellStyle name="Heading 1 4" xfId="667" xr:uid="{00000000-0005-0000-0000-0000D0020000}"/>
    <cellStyle name="Heading 1 5" xfId="668" xr:uid="{00000000-0005-0000-0000-0000D1020000}"/>
    <cellStyle name="Heading 1 6" xfId="669" xr:uid="{00000000-0005-0000-0000-0000D2020000}"/>
    <cellStyle name="Heading 1 7" xfId="670" xr:uid="{00000000-0005-0000-0000-0000D3020000}"/>
    <cellStyle name="Heading 1 8" xfId="671" xr:uid="{00000000-0005-0000-0000-0000D4020000}"/>
    <cellStyle name="Heading 1 9" xfId="672" xr:uid="{00000000-0005-0000-0000-0000D5020000}"/>
    <cellStyle name="Heading 2" xfId="673" builtinId="17" customBuiltin="1"/>
    <cellStyle name="Heading 2 10" xfId="674" xr:uid="{00000000-0005-0000-0000-0000D7020000}"/>
    <cellStyle name="Heading 2 2" xfId="675" xr:uid="{00000000-0005-0000-0000-0000D8020000}"/>
    <cellStyle name="Heading 2 2 2" xfId="676" xr:uid="{00000000-0005-0000-0000-0000D9020000}"/>
    <cellStyle name="Heading 2 2 3" xfId="677" xr:uid="{00000000-0005-0000-0000-0000DA020000}"/>
    <cellStyle name="Heading 2 2 4" xfId="678" xr:uid="{00000000-0005-0000-0000-0000DB020000}"/>
    <cellStyle name="Heading 2 2 5" xfId="679" xr:uid="{00000000-0005-0000-0000-0000DC020000}"/>
    <cellStyle name="Heading 2 2 6" xfId="680" xr:uid="{00000000-0005-0000-0000-0000DD020000}"/>
    <cellStyle name="Heading 2 2 7" xfId="681" xr:uid="{00000000-0005-0000-0000-0000DE020000}"/>
    <cellStyle name="Heading 2 3" xfId="682" xr:uid="{00000000-0005-0000-0000-0000DF020000}"/>
    <cellStyle name="Heading 2 3 2" xfId="683" xr:uid="{00000000-0005-0000-0000-0000E0020000}"/>
    <cellStyle name="Heading 2 3 3" xfId="684" xr:uid="{00000000-0005-0000-0000-0000E1020000}"/>
    <cellStyle name="Heading 2 3 4" xfId="685" xr:uid="{00000000-0005-0000-0000-0000E2020000}"/>
    <cellStyle name="Heading 2 3 5" xfId="686" xr:uid="{00000000-0005-0000-0000-0000E3020000}"/>
    <cellStyle name="Heading 2 3 6" xfId="687" xr:uid="{00000000-0005-0000-0000-0000E4020000}"/>
    <cellStyle name="Heading 2 3 7" xfId="688" xr:uid="{00000000-0005-0000-0000-0000E5020000}"/>
    <cellStyle name="Heading 2 4" xfId="689" xr:uid="{00000000-0005-0000-0000-0000E6020000}"/>
    <cellStyle name="Heading 2 5" xfId="690" xr:uid="{00000000-0005-0000-0000-0000E7020000}"/>
    <cellStyle name="Heading 2 6" xfId="691" xr:uid="{00000000-0005-0000-0000-0000E8020000}"/>
    <cellStyle name="Heading 2 7" xfId="692" xr:uid="{00000000-0005-0000-0000-0000E9020000}"/>
    <cellStyle name="Heading 2 8" xfId="693" xr:uid="{00000000-0005-0000-0000-0000EA020000}"/>
    <cellStyle name="Heading 2 9" xfId="694" xr:uid="{00000000-0005-0000-0000-0000EB020000}"/>
    <cellStyle name="Heading 3" xfId="695" builtinId="18" customBuiltin="1"/>
    <cellStyle name="Heading 3 10" xfId="696" xr:uid="{00000000-0005-0000-0000-0000ED020000}"/>
    <cellStyle name="Heading 3 2" xfId="697" xr:uid="{00000000-0005-0000-0000-0000EE020000}"/>
    <cellStyle name="Heading 3 2 2" xfId="698" xr:uid="{00000000-0005-0000-0000-0000EF020000}"/>
    <cellStyle name="Heading 3 2 3" xfId="699" xr:uid="{00000000-0005-0000-0000-0000F0020000}"/>
    <cellStyle name="Heading 3 2 4" xfId="700" xr:uid="{00000000-0005-0000-0000-0000F1020000}"/>
    <cellStyle name="Heading 3 2 5" xfId="701" xr:uid="{00000000-0005-0000-0000-0000F2020000}"/>
    <cellStyle name="Heading 3 2 6" xfId="702" xr:uid="{00000000-0005-0000-0000-0000F3020000}"/>
    <cellStyle name="Heading 3 2 7" xfId="703" xr:uid="{00000000-0005-0000-0000-0000F4020000}"/>
    <cellStyle name="Heading 3 3" xfId="704" xr:uid="{00000000-0005-0000-0000-0000F5020000}"/>
    <cellStyle name="Heading 3 3 2" xfId="705" xr:uid="{00000000-0005-0000-0000-0000F6020000}"/>
    <cellStyle name="Heading 3 3 3" xfId="706" xr:uid="{00000000-0005-0000-0000-0000F7020000}"/>
    <cellStyle name="Heading 3 3 4" xfId="707" xr:uid="{00000000-0005-0000-0000-0000F8020000}"/>
    <cellStyle name="Heading 3 3 5" xfId="708" xr:uid="{00000000-0005-0000-0000-0000F9020000}"/>
    <cellStyle name="Heading 3 3 6" xfId="709" xr:uid="{00000000-0005-0000-0000-0000FA020000}"/>
    <cellStyle name="Heading 3 3 7" xfId="710" xr:uid="{00000000-0005-0000-0000-0000FB020000}"/>
    <cellStyle name="Heading 3 4" xfId="711" xr:uid="{00000000-0005-0000-0000-0000FC020000}"/>
    <cellStyle name="Heading 3 5" xfId="712" xr:uid="{00000000-0005-0000-0000-0000FD020000}"/>
    <cellStyle name="Heading 3 6" xfId="713" xr:uid="{00000000-0005-0000-0000-0000FE020000}"/>
    <cellStyle name="Heading 3 7" xfId="714" xr:uid="{00000000-0005-0000-0000-0000FF020000}"/>
    <cellStyle name="Heading 3 8" xfId="715" xr:uid="{00000000-0005-0000-0000-000000030000}"/>
    <cellStyle name="Heading 3 9" xfId="716" xr:uid="{00000000-0005-0000-0000-000001030000}"/>
    <cellStyle name="Heading 4" xfId="717" builtinId="19" customBuiltin="1"/>
    <cellStyle name="Heading 4 10" xfId="718" xr:uid="{00000000-0005-0000-0000-000003030000}"/>
    <cellStyle name="Heading 4 2" xfId="719" xr:uid="{00000000-0005-0000-0000-000004030000}"/>
    <cellStyle name="Heading 4 2 2" xfId="720" xr:uid="{00000000-0005-0000-0000-000005030000}"/>
    <cellStyle name="Heading 4 2 3" xfId="721" xr:uid="{00000000-0005-0000-0000-000006030000}"/>
    <cellStyle name="Heading 4 2 4" xfId="722" xr:uid="{00000000-0005-0000-0000-000007030000}"/>
    <cellStyle name="Heading 4 2 5" xfId="723" xr:uid="{00000000-0005-0000-0000-000008030000}"/>
    <cellStyle name="Heading 4 2 6" xfId="724" xr:uid="{00000000-0005-0000-0000-000009030000}"/>
    <cellStyle name="Heading 4 2 7" xfId="725" xr:uid="{00000000-0005-0000-0000-00000A030000}"/>
    <cellStyle name="Heading 4 3" xfId="726" xr:uid="{00000000-0005-0000-0000-00000B030000}"/>
    <cellStyle name="Heading 4 3 2" xfId="727" xr:uid="{00000000-0005-0000-0000-00000C030000}"/>
    <cellStyle name="Heading 4 3 3" xfId="728" xr:uid="{00000000-0005-0000-0000-00000D030000}"/>
    <cellStyle name="Heading 4 3 4" xfId="729" xr:uid="{00000000-0005-0000-0000-00000E030000}"/>
    <cellStyle name="Heading 4 3 5" xfId="730" xr:uid="{00000000-0005-0000-0000-00000F030000}"/>
    <cellStyle name="Heading 4 3 6" xfId="731" xr:uid="{00000000-0005-0000-0000-000010030000}"/>
    <cellStyle name="Heading 4 3 7" xfId="732" xr:uid="{00000000-0005-0000-0000-000011030000}"/>
    <cellStyle name="Heading 4 4" xfId="733" xr:uid="{00000000-0005-0000-0000-000012030000}"/>
    <cellStyle name="Heading 4 5" xfId="734" xr:uid="{00000000-0005-0000-0000-000013030000}"/>
    <cellStyle name="Heading 4 6" xfId="735" xr:uid="{00000000-0005-0000-0000-000014030000}"/>
    <cellStyle name="Heading 4 7" xfId="736" xr:uid="{00000000-0005-0000-0000-000015030000}"/>
    <cellStyle name="Heading 4 8" xfId="737" xr:uid="{00000000-0005-0000-0000-000016030000}"/>
    <cellStyle name="Heading 4 9" xfId="738" xr:uid="{00000000-0005-0000-0000-000017030000}"/>
    <cellStyle name="Hyperlink" xfId="739" builtinId="8"/>
    <cellStyle name="Hyperlink 2" xfId="740" xr:uid="{00000000-0005-0000-0000-000019030000}"/>
    <cellStyle name="Hyperlink 2 10" xfId="741" xr:uid="{00000000-0005-0000-0000-00001A030000}"/>
    <cellStyle name="Hyperlink 2 11" xfId="742" xr:uid="{00000000-0005-0000-0000-00001B030000}"/>
    <cellStyle name="Hyperlink 2 12" xfId="743" xr:uid="{00000000-0005-0000-0000-00001C030000}"/>
    <cellStyle name="Hyperlink 2 13" xfId="744" xr:uid="{00000000-0005-0000-0000-00001D030000}"/>
    <cellStyle name="Hyperlink 2 14" xfId="745" xr:uid="{00000000-0005-0000-0000-00001E030000}"/>
    <cellStyle name="Hyperlink 2 15" xfId="746" xr:uid="{00000000-0005-0000-0000-00001F030000}"/>
    <cellStyle name="Hyperlink 2 16" xfId="747" xr:uid="{00000000-0005-0000-0000-000020030000}"/>
    <cellStyle name="Hyperlink 2 17" xfId="748" xr:uid="{00000000-0005-0000-0000-000021030000}"/>
    <cellStyle name="Hyperlink 2 2" xfId="749" xr:uid="{00000000-0005-0000-0000-000022030000}"/>
    <cellStyle name="Hyperlink 2 3" xfId="750" xr:uid="{00000000-0005-0000-0000-000023030000}"/>
    <cellStyle name="Hyperlink 2 4" xfId="751" xr:uid="{00000000-0005-0000-0000-000024030000}"/>
    <cellStyle name="Hyperlink 2 5" xfId="752" xr:uid="{00000000-0005-0000-0000-000025030000}"/>
    <cellStyle name="Hyperlink 2 6" xfId="753" xr:uid="{00000000-0005-0000-0000-000026030000}"/>
    <cellStyle name="Hyperlink 2 7" xfId="754" xr:uid="{00000000-0005-0000-0000-000027030000}"/>
    <cellStyle name="Hyperlink 2 8" xfId="755" xr:uid="{00000000-0005-0000-0000-000028030000}"/>
    <cellStyle name="Hyperlink 2 9" xfId="756" xr:uid="{00000000-0005-0000-0000-000029030000}"/>
    <cellStyle name="Hyperlink 2_AREA-602_FIELD FAB_LOG" xfId="757" xr:uid="{00000000-0005-0000-0000-00002A030000}"/>
    <cellStyle name="Input" xfId="758" builtinId="20" customBuiltin="1"/>
    <cellStyle name="Input 10" xfId="759" xr:uid="{00000000-0005-0000-0000-00002C030000}"/>
    <cellStyle name="Input 2" xfId="760" xr:uid="{00000000-0005-0000-0000-00002D030000}"/>
    <cellStyle name="Input 2 2" xfId="761" xr:uid="{00000000-0005-0000-0000-00002E030000}"/>
    <cellStyle name="Input 2 3" xfId="762" xr:uid="{00000000-0005-0000-0000-00002F030000}"/>
    <cellStyle name="Input 2 4" xfId="763" xr:uid="{00000000-0005-0000-0000-000030030000}"/>
    <cellStyle name="Input 2 5" xfId="764" xr:uid="{00000000-0005-0000-0000-000031030000}"/>
    <cellStyle name="Input 2 6" xfId="765" xr:uid="{00000000-0005-0000-0000-000032030000}"/>
    <cellStyle name="Input 2 7" xfId="766" xr:uid="{00000000-0005-0000-0000-000033030000}"/>
    <cellStyle name="Input 3" xfId="767" xr:uid="{00000000-0005-0000-0000-000034030000}"/>
    <cellStyle name="Input 3 2" xfId="768" xr:uid="{00000000-0005-0000-0000-000035030000}"/>
    <cellStyle name="Input 3 3" xfId="769" xr:uid="{00000000-0005-0000-0000-000036030000}"/>
    <cellStyle name="Input 3 4" xfId="770" xr:uid="{00000000-0005-0000-0000-000037030000}"/>
    <cellStyle name="Input 3 5" xfId="771" xr:uid="{00000000-0005-0000-0000-000038030000}"/>
    <cellStyle name="Input 3 6" xfId="772" xr:uid="{00000000-0005-0000-0000-000039030000}"/>
    <cellStyle name="Input 3 7" xfId="773" xr:uid="{00000000-0005-0000-0000-00003A030000}"/>
    <cellStyle name="Input 4" xfId="774" xr:uid="{00000000-0005-0000-0000-00003B030000}"/>
    <cellStyle name="Input 5" xfId="775" xr:uid="{00000000-0005-0000-0000-00003C030000}"/>
    <cellStyle name="Input 6" xfId="776" xr:uid="{00000000-0005-0000-0000-00003D030000}"/>
    <cellStyle name="Input 7" xfId="777" xr:uid="{00000000-0005-0000-0000-00003E030000}"/>
    <cellStyle name="Input 8" xfId="778" xr:uid="{00000000-0005-0000-0000-00003F030000}"/>
    <cellStyle name="Input 9" xfId="779" xr:uid="{00000000-0005-0000-0000-000040030000}"/>
    <cellStyle name="Linked Cell" xfId="780" builtinId="24" customBuiltin="1"/>
    <cellStyle name="Linked Cell 10" xfId="781" xr:uid="{00000000-0005-0000-0000-000042030000}"/>
    <cellStyle name="Linked Cell 2" xfId="782" xr:uid="{00000000-0005-0000-0000-000043030000}"/>
    <cellStyle name="Linked Cell 2 2" xfId="783" xr:uid="{00000000-0005-0000-0000-000044030000}"/>
    <cellStyle name="Linked Cell 2 3" xfId="784" xr:uid="{00000000-0005-0000-0000-000045030000}"/>
    <cellStyle name="Linked Cell 2 4" xfId="785" xr:uid="{00000000-0005-0000-0000-000046030000}"/>
    <cellStyle name="Linked Cell 2 5" xfId="786" xr:uid="{00000000-0005-0000-0000-000047030000}"/>
    <cellStyle name="Linked Cell 2 6" xfId="787" xr:uid="{00000000-0005-0000-0000-000048030000}"/>
    <cellStyle name="Linked Cell 2 7" xfId="788" xr:uid="{00000000-0005-0000-0000-000049030000}"/>
    <cellStyle name="Linked Cell 3" xfId="789" xr:uid="{00000000-0005-0000-0000-00004A030000}"/>
    <cellStyle name="Linked Cell 3 2" xfId="790" xr:uid="{00000000-0005-0000-0000-00004B030000}"/>
    <cellStyle name="Linked Cell 3 3" xfId="791" xr:uid="{00000000-0005-0000-0000-00004C030000}"/>
    <cellStyle name="Linked Cell 3 4" xfId="792" xr:uid="{00000000-0005-0000-0000-00004D030000}"/>
    <cellStyle name="Linked Cell 3 5" xfId="793" xr:uid="{00000000-0005-0000-0000-00004E030000}"/>
    <cellStyle name="Linked Cell 3 6" xfId="794" xr:uid="{00000000-0005-0000-0000-00004F030000}"/>
    <cellStyle name="Linked Cell 3 7" xfId="795" xr:uid="{00000000-0005-0000-0000-000050030000}"/>
    <cellStyle name="Linked Cell 4" xfId="796" xr:uid="{00000000-0005-0000-0000-000051030000}"/>
    <cellStyle name="Linked Cell 5" xfId="797" xr:uid="{00000000-0005-0000-0000-000052030000}"/>
    <cellStyle name="Linked Cell 6" xfId="798" xr:uid="{00000000-0005-0000-0000-000053030000}"/>
    <cellStyle name="Linked Cell 7" xfId="799" xr:uid="{00000000-0005-0000-0000-000054030000}"/>
    <cellStyle name="Linked Cell 8" xfId="800" xr:uid="{00000000-0005-0000-0000-000055030000}"/>
    <cellStyle name="Linked Cell 9" xfId="801" xr:uid="{00000000-0005-0000-0000-000056030000}"/>
    <cellStyle name="Neutral" xfId="802" builtinId="28" customBuiltin="1"/>
    <cellStyle name="Neutral 10" xfId="803" xr:uid="{00000000-0005-0000-0000-000058030000}"/>
    <cellStyle name="Neutral 11" xfId="1374" xr:uid="{00000000-0005-0000-0000-000059030000}"/>
    <cellStyle name="Neutral 2" xfId="804" xr:uid="{00000000-0005-0000-0000-00005A030000}"/>
    <cellStyle name="Neutral 2 2" xfId="805" xr:uid="{00000000-0005-0000-0000-00005B030000}"/>
    <cellStyle name="Neutral 2 3" xfId="806" xr:uid="{00000000-0005-0000-0000-00005C030000}"/>
    <cellStyle name="Neutral 2 4" xfId="807" xr:uid="{00000000-0005-0000-0000-00005D030000}"/>
    <cellStyle name="Neutral 2 5" xfId="808" xr:uid="{00000000-0005-0000-0000-00005E030000}"/>
    <cellStyle name="Neutral 2 6" xfId="809" xr:uid="{00000000-0005-0000-0000-00005F030000}"/>
    <cellStyle name="Neutral 2 7" xfId="810" xr:uid="{00000000-0005-0000-0000-000060030000}"/>
    <cellStyle name="Neutral 3" xfId="811" xr:uid="{00000000-0005-0000-0000-000061030000}"/>
    <cellStyle name="Neutral 3 2" xfId="812" xr:uid="{00000000-0005-0000-0000-000062030000}"/>
    <cellStyle name="Neutral 3 3" xfId="813" xr:uid="{00000000-0005-0000-0000-000063030000}"/>
    <cellStyle name="Neutral 3 4" xfId="814" xr:uid="{00000000-0005-0000-0000-000064030000}"/>
    <cellStyle name="Neutral 3 5" xfId="815" xr:uid="{00000000-0005-0000-0000-000065030000}"/>
    <cellStyle name="Neutral 3 6" xfId="816" xr:uid="{00000000-0005-0000-0000-000066030000}"/>
    <cellStyle name="Neutral 3 7" xfId="817" xr:uid="{00000000-0005-0000-0000-000067030000}"/>
    <cellStyle name="Neutral 4" xfId="818" xr:uid="{00000000-0005-0000-0000-000068030000}"/>
    <cellStyle name="Neutral 5" xfId="819" xr:uid="{00000000-0005-0000-0000-000069030000}"/>
    <cellStyle name="Neutral 6" xfId="820" xr:uid="{00000000-0005-0000-0000-00006A030000}"/>
    <cellStyle name="Neutral 7" xfId="821" xr:uid="{00000000-0005-0000-0000-00006B030000}"/>
    <cellStyle name="Neutral 8" xfId="822" xr:uid="{00000000-0005-0000-0000-00006C030000}"/>
    <cellStyle name="Neutral 9" xfId="823" xr:uid="{00000000-0005-0000-0000-00006D030000}"/>
    <cellStyle name="Normal" xfId="0" builtinId="0"/>
    <cellStyle name="Normal 10" xfId="824" xr:uid="{00000000-0005-0000-0000-00006F030000}"/>
    <cellStyle name="Normal 10 11" xfId="1340" xr:uid="{00000000-0005-0000-0000-000070030000}"/>
    <cellStyle name="Normal 10 2" xfId="825" xr:uid="{00000000-0005-0000-0000-000071030000}"/>
    <cellStyle name="Normal 10_Pipe Audit" xfId="826" xr:uid="{00000000-0005-0000-0000-000072030000}"/>
    <cellStyle name="Normal 11" xfId="827" xr:uid="{00000000-0005-0000-0000-000073030000}"/>
    <cellStyle name="Normal 11 2" xfId="828" xr:uid="{00000000-0005-0000-0000-000074030000}"/>
    <cellStyle name="Normal 11_Pipe Audit" xfId="829" xr:uid="{00000000-0005-0000-0000-000075030000}"/>
    <cellStyle name="Normal 12" xfId="830" xr:uid="{00000000-0005-0000-0000-000076030000}"/>
    <cellStyle name="Normal 12 2" xfId="831" xr:uid="{00000000-0005-0000-0000-000077030000}"/>
    <cellStyle name="Normal 12_Pipe Audit" xfId="832" xr:uid="{00000000-0005-0000-0000-000078030000}"/>
    <cellStyle name="Normal 13" xfId="833" xr:uid="{00000000-0005-0000-0000-000079030000}"/>
    <cellStyle name="Normal 13 2" xfId="834" xr:uid="{00000000-0005-0000-0000-00007A030000}"/>
    <cellStyle name="Normal 13_Pipe Audit" xfId="835" xr:uid="{00000000-0005-0000-0000-00007B030000}"/>
    <cellStyle name="Normal 14" xfId="836" xr:uid="{00000000-0005-0000-0000-00007C030000}"/>
    <cellStyle name="Normal 14 2" xfId="837" xr:uid="{00000000-0005-0000-0000-00007D030000}"/>
    <cellStyle name="Normal 14_Pipe Audit" xfId="838" xr:uid="{00000000-0005-0000-0000-00007E030000}"/>
    <cellStyle name="Normal 15" xfId="839" xr:uid="{00000000-0005-0000-0000-00007F030000}"/>
    <cellStyle name="Normal 15 2" xfId="840" xr:uid="{00000000-0005-0000-0000-000080030000}"/>
    <cellStyle name="Normal 15 2 2" xfId="841" xr:uid="{00000000-0005-0000-0000-000081030000}"/>
    <cellStyle name="Normal 15 2_Pipe Audit" xfId="842" xr:uid="{00000000-0005-0000-0000-000082030000}"/>
    <cellStyle name="Normal 15 3" xfId="843" xr:uid="{00000000-0005-0000-0000-000083030000}"/>
    <cellStyle name="Normal 15 3 2" xfId="844" xr:uid="{00000000-0005-0000-0000-000084030000}"/>
    <cellStyle name="Normal 15 3_Pipe Audit" xfId="845" xr:uid="{00000000-0005-0000-0000-000085030000}"/>
    <cellStyle name="Normal 15 4" xfId="846" xr:uid="{00000000-0005-0000-0000-000086030000}"/>
    <cellStyle name="Normal 15 4 2" xfId="847" xr:uid="{00000000-0005-0000-0000-000087030000}"/>
    <cellStyle name="Normal 15 4_Pipe Audit" xfId="848" xr:uid="{00000000-0005-0000-0000-000088030000}"/>
    <cellStyle name="Normal 15 5" xfId="849" xr:uid="{00000000-0005-0000-0000-000089030000}"/>
    <cellStyle name="Normal 15 5 2" xfId="850" xr:uid="{00000000-0005-0000-0000-00008A030000}"/>
    <cellStyle name="Normal 15 5_Pipe Audit" xfId="851" xr:uid="{00000000-0005-0000-0000-00008B030000}"/>
    <cellStyle name="Normal 15 6" xfId="852" xr:uid="{00000000-0005-0000-0000-00008C030000}"/>
    <cellStyle name="Normal 15 6 2" xfId="853" xr:uid="{00000000-0005-0000-0000-00008D030000}"/>
    <cellStyle name="Normal 15 6_Pipe Audit" xfId="854" xr:uid="{00000000-0005-0000-0000-00008E030000}"/>
    <cellStyle name="Normal 15 7" xfId="855" xr:uid="{00000000-0005-0000-0000-00008F030000}"/>
    <cellStyle name="Normal 15 7 2" xfId="856" xr:uid="{00000000-0005-0000-0000-000090030000}"/>
    <cellStyle name="Normal 15 7_Pipe Audit" xfId="857" xr:uid="{00000000-0005-0000-0000-000091030000}"/>
    <cellStyle name="Normal 15 8" xfId="858" xr:uid="{00000000-0005-0000-0000-000092030000}"/>
    <cellStyle name="Normal 15_Pipe Audit" xfId="859" xr:uid="{00000000-0005-0000-0000-000093030000}"/>
    <cellStyle name="Normal 16" xfId="860" xr:uid="{00000000-0005-0000-0000-000094030000}"/>
    <cellStyle name="Normal 16 2" xfId="861" xr:uid="{00000000-0005-0000-0000-000095030000}"/>
    <cellStyle name="Normal 16_Pipe Audit" xfId="862" xr:uid="{00000000-0005-0000-0000-000096030000}"/>
    <cellStyle name="Normal 17" xfId="863" xr:uid="{00000000-0005-0000-0000-000097030000}"/>
    <cellStyle name="Normal 18" xfId="864" xr:uid="{00000000-0005-0000-0000-000098030000}"/>
    <cellStyle name="Normal 18 2" xfId="865" xr:uid="{00000000-0005-0000-0000-000099030000}"/>
    <cellStyle name="Normal 18 3" xfId="866" xr:uid="{00000000-0005-0000-0000-00009A030000}"/>
    <cellStyle name="Normal 18 4" xfId="867" xr:uid="{00000000-0005-0000-0000-00009B030000}"/>
    <cellStyle name="Normal 18 5" xfId="868" xr:uid="{00000000-0005-0000-0000-00009C030000}"/>
    <cellStyle name="Normal 18 6" xfId="869" xr:uid="{00000000-0005-0000-0000-00009D030000}"/>
    <cellStyle name="Normal 18 7" xfId="870" xr:uid="{00000000-0005-0000-0000-00009E030000}"/>
    <cellStyle name="Normal 19" xfId="871" xr:uid="{00000000-0005-0000-0000-00009F030000}"/>
    <cellStyle name="Normal 19 2" xfId="872" xr:uid="{00000000-0005-0000-0000-0000A0030000}"/>
    <cellStyle name="Normal 19_Pipe Audit" xfId="873" xr:uid="{00000000-0005-0000-0000-0000A1030000}"/>
    <cellStyle name="Normal 2" xfId="874" xr:uid="{00000000-0005-0000-0000-0000A2030000}"/>
    <cellStyle name="Normal 2 2" xfId="875" xr:uid="{00000000-0005-0000-0000-0000A3030000}"/>
    <cellStyle name="Normal 2 2 2" xfId="876" xr:uid="{00000000-0005-0000-0000-0000A4030000}"/>
    <cellStyle name="Normal 2 2_Pipe Audit" xfId="877" xr:uid="{00000000-0005-0000-0000-0000A5030000}"/>
    <cellStyle name="Normal 2 3" xfId="878" xr:uid="{00000000-0005-0000-0000-0000A6030000}"/>
    <cellStyle name="Normal 2 3 2" xfId="879" xr:uid="{00000000-0005-0000-0000-0000A7030000}"/>
    <cellStyle name="Normal 2 3_Pipe Audit" xfId="880" xr:uid="{00000000-0005-0000-0000-0000A8030000}"/>
    <cellStyle name="Normal 2 4" xfId="881" xr:uid="{00000000-0005-0000-0000-0000A9030000}"/>
    <cellStyle name="Normal 2 4 2" xfId="882" xr:uid="{00000000-0005-0000-0000-0000AA030000}"/>
    <cellStyle name="Normal 2 4_Pipe Audit" xfId="883" xr:uid="{00000000-0005-0000-0000-0000AB030000}"/>
    <cellStyle name="Normal 2 5" xfId="884" xr:uid="{00000000-0005-0000-0000-0000AC030000}"/>
    <cellStyle name="Normal 2 5 2" xfId="885" xr:uid="{00000000-0005-0000-0000-0000AD030000}"/>
    <cellStyle name="Normal 2 5_Pipe Audit" xfId="886" xr:uid="{00000000-0005-0000-0000-0000AE030000}"/>
    <cellStyle name="Normal 2 6" xfId="887" xr:uid="{00000000-0005-0000-0000-0000AF030000}"/>
    <cellStyle name="Normal 2 6 2" xfId="888" xr:uid="{00000000-0005-0000-0000-0000B0030000}"/>
    <cellStyle name="Normal 2 6_Pipe Audit" xfId="889" xr:uid="{00000000-0005-0000-0000-0000B1030000}"/>
    <cellStyle name="Normal 2 7" xfId="890" xr:uid="{00000000-0005-0000-0000-0000B2030000}"/>
    <cellStyle name="Normal 2_Pipe Audit" xfId="891" xr:uid="{00000000-0005-0000-0000-0000B3030000}"/>
    <cellStyle name="Normal 20" xfId="892" xr:uid="{00000000-0005-0000-0000-0000B4030000}"/>
    <cellStyle name="Normal 21" xfId="893" xr:uid="{00000000-0005-0000-0000-0000B5030000}"/>
    <cellStyle name="Normal 22" xfId="894" xr:uid="{00000000-0005-0000-0000-0000B6030000}"/>
    <cellStyle name="Normal 23" xfId="895" xr:uid="{00000000-0005-0000-0000-0000B7030000}"/>
    <cellStyle name="Normal 23 2" xfId="896" xr:uid="{00000000-0005-0000-0000-0000B8030000}"/>
    <cellStyle name="Normal 24" xfId="897" xr:uid="{00000000-0005-0000-0000-0000B9030000}"/>
    <cellStyle name="Normal 25" xfId="898" xr:uid="{00000000-0005-0000-0000-0000BA030000}"/>
    <cellStyle name="Normal 26" xfId="899" xr:uid="{00000000-0005-0000-0000-0000BB030000}"/>
    <cellStyle name="Normal 27" xfId="900" xr:uid="{00000000-0005-0000-0000-0000BC030000}"/>
    <cellStyle name="Normal 28" xfId="901" xr:uid="{00000000-0005-0000-0000-0000BD030000}"/>
    <cellStyle name="Normal 29" xfId="902" xr:uid="{00000000-0005-0000-0000-0000BE030000}"/>
    <cellStyle name="Normal 3" xfId="903" xr:uid="{00000000-0005-0000-0000-0000BF030000}"/>
    <cellStyle name="Normal 3 10" xfId="904" xr:uid="{00000000-0005-0000-0000-0000C0030000}"/>
    <cellStyle name="Normal 3 11" xfId="905" xr:uid="{00000000-0005-0000-0000-0000C1030000}"/>
    <cellStyle name="Normal 3 12" xfId="906" xr:uid="{00000000-0005-0000-0000-0000C2030000}"/>
    <cellStyle name="Normal 3 13" xfId="907" xr:uid="{00000000-0005-0000-0000-0000C3030000}"/>
    <cellStyle name="Normal 3 14" xfId="908" xr:uid="{00000000-0005-0000-0000-0000C4030000}"/>
    <cellStyle name="Normal 3 15" xfId="909" xr:uid="{00000000-0005-0000-0000-0000C5030000}"/>
    <cellStyle name="Normal 3 16" xfId="910" xr:uid="{00000000-0005-0000-0000-0000C6030000}"/>
    <cellStyle name="Normal 3 17" xfId="911" xr:uid="{00000000-0005-0000-0000-0000C7030000}"/>
    <cellStyle name="Normal 3 2" xfId="912" xr:uid="{00000000-0005-0000-0000-0000C8030000}"/>
    <cellStyle name="Normal 3 3" xfId="913" xr:uid="{00000000-0005-0000-0000-0000C9030000}"/>
    <cellStyle name="Normal 3 4" xfId="914" xr:uid="{00000000-0005-0000-0000-0000CA030000}"/>
    <cellStyle name="Normal 3 5" xfId="915" xr:uid="{00000000-0005-0000-0000-0000CB030000}"/>
    <cellStyle name="Normal 3 6" xfId="916" xr:uid="{00000000-0005-0000-0000-0000CC030000}"/>
    <cellStyle name="Normal 3 7" xfId="917" xr:uid="{00000000-0005-0000-0000-0000CD030000}"/>
    <cellStyle name="Normal 3 8" xfId="918" xr:uid="{00000000-0005-0000-0000-0000CE030000}"/>
    <cellStyle name="Normal 3 9" xfId="919" xr:uid="{00000000-0005-0000-0000-0000CF030000}"/>
    <cellStyle name="Normal 3_AREA-602_FIELD FAB_LOG" xfId="920" xr:uid="{00000000-0005-0000-0000-0000D0030000}"/>
    <cellStyle name="Normal 30" xfId="921" xr:uid="{00000000-0005-0000-0000-0000D1030000}"/>
    <cellStyle name="Normal 31" xfId="922" xr:uid="{00000000-0005-0000-0000-0000D2030000}"/>
    <cellStyle name="Normal 31 2" xfId="923" xr:uid="{00000000-0005-0000-0000-0000D3030000}"/>
    <cellStyle name="Normal 32" xfId="924" xr:uid="{00000000-0005-0000-0000-0000D4030000}"/>
    <cellStyle name="Normal 33" xfId="925" xr:uid="{00000000-0005-0000-0000-0000D5030000}"/>
    <cellStyle name="Normal 34" xfId="926" xr:uid="{00000000-0005-0000-0000-0000D6030000}"/>
    <cellStyle name="Normal 35" xfId="927" xr:uid="{00000000-0005-0000-0000-0000D7030000}"/>
    <cellStyle name="Normal 36" xfId="928" xr:uid="{00000000-0005-0000-0000-0000D8030000}"/>
    <cellStyle name="Normal 37" xfId="929" xr:uid="{00000000-0005-0000-0000-0000D9030000}"/>
    <cellStyle name="Normal 38" xfId="930" xr:uid="{00000000-0005-0000-0000-0000DA030000}"/>
    <cellStyle name="Normal 39" xfId="931" xr:uid="{00000000-0005-0000-0000-0000DB030000}"/>
    <cellStyle name="Normal 39 4" xfId="1320" xr:uid="{00000000-0005-0000-0000-0000DC030000}"/>
    <cellStyle name="Normal 4" xfId="932" xr:uid="{00000000-0005-0000-0000-0000DD030000}"/>
    <cellStyle name="Normal 4 2" xfId="933" xr:uid="{00000000-0005-0000-0000-0000DE030000}"/>
    <cellStyle name="Normal 4 2 2" xfId="934" xr:uid="{00000000-0005-0000-0000-0000DF030000}"/>
    <cellStyle name="Normal 4 2_Pipe Audit" xfId="935" xr:uid="{00000000-0005-0000-0000-0000E0030000}"/>
    <cellStyle name="Normal 4 3" xfId="936" xr:uid="{00000000-0005-0000-0000-0000E1030000}"/>
    <cellStyle name="Normal 4 3 2" xfId="937" xr:uid="{00000000-0005-0000-0000-0000E2030000}"/>
    <cellStyle name="Normal 4 3_Pipe Audit" xfId="938" xr:uid="{00000000-0005-0000-0000-0000E3030000}"/>
    <cellStyle name="Normal 4 4" xfId="939" xr:uid="{00000000-0005-0000-0000-0000E4030000}"/>
    <cellStyle name="Normal 4 4 2" xfId="940" xr:uid="{00000000-0005-0000-0000-0000E5030000}"/>
    <cellStyle name="Normal 4 4_Pipe Audit" xfId="941" xr:uid="{00000000-0005-0000-0000-0000E6030000}"/>
    <cellStyle name="Normal 4 5" xfId="942" xr:uid="{00000000-0005-0000-0000-0000E7030000}"/>
    <cellStyle name="Normal 4 5 2" xfId="943" xr:uid="{00000000-0005-0000-0000-0000E8030000}"/>
    <cellStyle name="Normal 4 5_Pipe Audit" xfId="944" xr:uid="{00000000-0005-0000-0000-0000E9030000}"/>
    <cellStyle name="Normal 4 6" xfId="945" xr:uid="{00000000-0005-0000-0000-0000EA030000}"/>
    <cellStyle name="Normal 4 6 2" xfId="946" xr:uid="{00000000-0005-0000-0000-0000EB030000}"/>
    <cellStyle name="Normal 4 6_Pipe Audit" xfId="947" xr:uid="{00000000-0005-0000-0000-0000EC030000}"/>
    <cellStyle name="Normal 4 7" xfId="948" xr:uid="{00000000-0005-0000-0000-0000ED030000}"/>
    <cellStyle name="Normal 4_Pipe Audit" xfId="949" xr:uid="{00000000-0005-0000-0000-0000EE030000}"/>
    <cellStyle name="Normal 40" xfId="950" xr:uid="{00000000-0005-0000-0000-0000EF030000}"/>
    <cellStyle name="Normal 41" xfId="951" xr:uid="{00000000-0005-0000-0000-0000F0030000}"/>
    <cellStyle name="Normal 42" xfId="952" xr:uid="{00000000-0005-0000-0000-0000F1030000}"/>
    <cellStyle name="Normal 43" xfId="953" xr:uid="{00000000-0005-0000-0000-0000F2030000}"/>
    <cellStyle name="Normal 44" xfId="954" xr:uid="{00000000-0005-0000-0000-0000F3030000}"/>
    <cellStyle name="Normal 45" xfId="1322" xr:uid="{00000000-0005-0000-0000-0000F4030000}"/>
    <cellStyle name="Normal 46" xfId="1323" xr:uid="{00000000-0005-0000-0000-0000F5030000}"/>
    <cellStyle name="Normal 47" xfId="1324" xr:uid="{00000000-0005-0000-0000-0000F6030000}"/>
    <cellStyle name="Normal 48" xfId="1325" xr:uid="{00000000-0005-0000-0000-0000F7030000}"/>
    <cellStyle name="Normal 49" xfId="1341" xr:uid="{00000000-0005-0000-0000-0000F8030000}"/>
    <cellStyle name="Normal 5" xfId="955" xr:uid="{00000000-0005-0000-0000-0000F9030000}"/>
    <cellStyle name="Normal 5 2" xfId="956" xr:uid="{00000000-0005-0000-0000-0000FA030000}"/>
    <cellStyle name="Normal 5_Pipe Audit" xfId="957" xr:uid="{00000000-0005-0000-0000-0000FB030000}"/>
    <cellStyle name="Normal 50" xfId="1355" xr:uid="{00000000-0005-0000-0000-0000FC030000}"/>
    <cellStyle name="Normal 51" xfId="1356" xr:uid="{00000000-0005-0000-0000-0000FD030000}"/>
    <cellStyle name="Normal 52" xfId="1371" xr:uid="{00000000-0005-0000-0000-0000FE030000}"/>
    <cellStyle name="Normal 53" xfId="1360" xr:uid="{00000000-0005-0000-0000-0000FF030000}"/>
    <cellStyle name="Normal 54" xfId="1372" xr:uid="{00000000-0005-0000-0000-000000040000}"/>
    <cellStyle name="Normal 55" xfId="1373" xr:uid="{00000000-0005-0000-0000-000001040000}"/>
    <cellStyle name="Normal 56" xfId="1394" xr:uid="{70CBFE3E-8CB4-474E-970C-7FC44A84E42A}"/>
    <cellStyle name="Normal 57" xfId="1414" xr:uid="{A7D64149-312A-4F34-B6C4-D9132623A0D0}"/>
    <cellStyle name="Normal 58" xfId="1416" xr:uid="{102726FD-C5F2-4360-BD88-1EA7633D2D5D}"/>
    <cellStyle name="Normal 59" xfId="1415" xr:uid="{4AFA49E8-695B-4108-BFFB-415A06B322D7}"/>
    <cellStyle name="Normal 6" xfId="958" xr:uid="{00000000-0005-0000-0000-000002040000}"/>
    <cellStyle name="Normal 6 2" xfId="959" xr:uid="{00000000-0005-0000-0000-000003040000}"/>
    <cellStyle name="Normal 6 2 2" xfId="960" xr:uid="{00000000-0005-0000-0000-000004040000}"/>
    <cellStyle name="Normal 6 2_Pipe Audit" xfId="961" xr:uid="{00000000-0005-0000-0000-000005040000}"/>
    <cellStyle name="Normal 6 3" xfId="962" xr:uid="{00000000-0005-0000-0000-000006040000}"/>
    <cellStyle name="Normal 6 3 2" xfId="963" xr:uid="{00000000-0005-0000-0000-000007040000}"/>
    <cellStyle name="Normal 6 3_Pipe Audit" xfId="964" xr:uid="{00000000-0005-0000-0000-000008040000}"/>
    <cellStyle name="Normal 6 4" xfId="965" xr:uid="{00000000-0005-0000-0000-000009040000}"/>
    <cellStyle name="Normal 6_Pipe Audit" xfId="966" xr:uid="{00000000-0005-0000-0000-00000A040000}"/>
    <cellStyle name="Normal 60" xfId="1437" xr:uid="{870415E3-554E-47C1-B64B-8908DE3DA6A1}"/>
    <cellStyle name="Normal 61" xfId="1457" xr:uid="{B8D87B7A-D8E0-465B-B7EF-6A7A30AC8553}"/>
    <cellStyle name="Normal 62" xfId="1458" xr:uid="{177BA51F-B39A-4863-ADF9-991D61288639}"/>
    <cellStyle name="Normal 63" xfId="1478" xr:uid="{319E8AAC-C7BB-4DE2-A261-C1356313D8F2}"/>
    <cellStyle name="Normal 66" xfId="1436" xr:uid="{26C457FD-29E3-416E-BB35-3D0394C0C8CA}"/>
    <cellStyle name="Normal 7" xfId="967" xr:uid="{00000000-0005-0000-0000-00000B040000}"/>
    <cellStyle name="Normal 7 10" xfId="968" xr:uid="{00000000-0005-0000-0000-00000C040000}"/>
    <cellStyle name="Normal 7 2" xfId="969" xr:uid="{00000000-0005-0000-0000-00000D040000}"/>
    <cellStyle name="Normal 7 2 2" xfId="970" xr:uid="{00000000-0005-0000-0000-00000E040000}"/>
    <cellStyle name="Normal 7 2_Pipe Audit" xfId="971" xr:uid="{00000000-0005-0000-0000-00000F040000}"/>
    <cellStyle name="Normal 7 3" xfId="972" xr:uid="{00000000-0005-0000-0000-000010040000}"/>
    <cellStyle name="Normal 7 3 2" xfId="973" xr:uid="{00000000-0005-0000-0000-000011040000}"/>
    <cellStyle name="Normal 7 3_Pipe Audit" xfId="974" xr:uid="{00000000-0005-0000-0000-000012040000}"/>
    <cellStyle name="Normal 7 4" xfId="975" xr:uid="{00000000-0005-0000-0000-000013040000}"/>
    <cellStyle name="Normal 7 4 2" xfId="976" xr:uid="{00000000-0005-0000-0000-000014040000}"/>
    <cellStyle name="Normal 7 4_Pipe Audit" xfId="977" xr:uid="{00000000-0005-0000-0000-000015040000}"/>
    <cellStyle name="Normal 7 5" xfId="978" xr:uid="{00000000-0005-0000-0000-000016040000}"/>
    <cellStyle name="Normal 7 6" xfId="979" xr:uid="{00000000-0005-0000-0000-000017040000}"/>
    <cellStyle name="Normal 7 7" xfId="980" xr:uid="{00000000-0005-0000-0000-000018040000}"/>
    <cellStyle name="Normal 7 8" xfId="981" xr:uid="{00000000-0005-0000-0000-000019040000}"/>
    <cellStyle name="Normal 7 9" xfId="982" xr:uid="{00000000-0005-0000-0000-00001A040000}"/>
    <cellStyle name="Normal 7_Pipe Audit" xfId="983" xr:uid="{00000000-0005-0000-0000-00001B040000}"/>
    <cellStyle name="Normal 8" xfId="984" xr:uid="{00000000-0005-0000-0000-00001C040000}"/>
    <cellStyle name="Normal 8 2" xfId="985" xr:uid="{00000000-0005-0000-0000-00001D040000}"/>
    <cellStyle name="Normal 8_Pipe Audit" xfId="986" xr:uid="{00000000-0005-0000-0000-00001E040000}"/>
    <cellStyle name="Normal 9" xfId="987" xr:uid="{00000000-0005-0000-0000-00001F040000}"/>
    <cellStyle name="Normal 9 2" xfId="988" xr:uid="{00000000-0005-0000-0000-000020040000}"/>
    <cellStyle name="Normal 9 2 2" xfId="989" xr:uid="{00000000-0005-0000-0000-000021040000}"/>
    <cellStyle name="Normal 9 2_Pipe Audit" xfId="990" xr:uid="{00000000-0005-0000-0000-000022040000}"/>
    <cellStyle name="Normal 9 3" xfId="991" xr:uid="{00000000-0005-0000-0000-000023040000}"/>
    <cellStyle name="Normal 9_Pipe Audit" xfId="992" xr:uid="{00000000-0005-0000-0000-000024040000}"/>
    <cellStyle name="Note" xfId="993" builtinId="10" customBuiltin="1"/>
    <cellStyle name="Note 10" xfId="994" xr:uid="{00000000-0005-0000-0000-000026040000}"/>
    <cellStyle name="Note 10 2" xfId="995" xr:uid="{00000000-0005-0000-0000-000027040000}"/>
    <cellStyle name="Note 10 3" xfId="996" xr:uid="{00000000-0005-0000-0000-000028040000}"/>
    <cellStyle name="Note 10 4" xfId="997" xr:uid="{00000000-0005-0000-0000-000029040000}"/>
    <cellStyle name="Note 10 5" xfId="998" xr:uid="{00000000-0005-0000-0000-00002A040000}"/>
    <cellStyle name="Note 10 6" xfId="999" xr:uid="{00000000-0005-0000-0000-00002B040000}"/>
    <cellStyle name="Note 10 7" xfId="1000" xr:uid="{00000000-0005-0000-0000-00002C040000}"/>
    <cellStyle name="Note 11" xfId="1001" xr:uid="{00000000-0005-0000-0000-00002D040000}"/>
    <cellStyle name="Note 12" xfId="1002" xr:uid="{00000000-0005-0000-0000-00002E040000}"/>
    <cellStyle name="Note 13" xfId="1003" xr:uid="{00000000-0005-0000-0000-00002F040000}"/>
    <cellStyle name="Note 13 2" xfId="1004" xr:uid="{00000000-0005-0000-0000-000030040000}"/>
    <cellStyle name="Note 14" xfId="1005" xr:uid="{00000000-0005-0000-0000-000031040000}"/>
    <cellStyle name="Note 15" xfId="1006" xr:uid="{00000000-0005-0000-0000-000032040000}"/>
    <cellStyle name="Note 16" xfId="1007" xr:uid="{00000000-0005-0000-0000-000033040000}"/>
    <cellStyle name="Note 17" xfId="1008" xr:uid="{00000000-0005-0000-0000-000034040000}"/>
    <cellStyle name="Note 18" xfId="1009" xr:uid="{00000000-0005-0000-0000-000035040000}"/>
    <cellStyle name="Note 19" xfId="1327" xr:uid="{00000000-0005-0000-0000-000036040000}"/>
    <cellStyle name="Note 2" xfId="1010" xr:uid="{00000000-0005-0000-0000-000037040000}"/>
    <cellStyle name="Note 2 10" xfId="1011" xr:uid="{00000000-0005-0000-0000-000038040000}"/>
    <cellStyle name="Note 2 10 2" xfId="1012" xr:uid="{00000000-0005-0000-0000-000039040000}"/>
    <cellStyle name="Note 2 11" xfId="1013" xr:uid="{00000000-0005-0000-0000-00003A040000}"/>
    <cellStyle name="Note 2 11 2" xfId="1014" xr:uid="{00000000-0005-0000-0000-00003B040000}"/>
    <cellStyle name="Note 2 12" xfId="1015" xr:uid="{00000000-0005-0000-0000-00003C040000}"/>
    <cellStyle name="Note 2 12 2" xfId="1016" xr:uid="{00000000-0005-0000-0000-00003D040000}"/>
    <cellStyle name="Note 2 13" xfId="1017" xr:uid="{00000000-0005-0000-0000-00003E040000}"/>
    <cellStyle name="Note 2 13 2" xfId="1018" xr:uid="{00000000-0005-0000-0000-00003F040000}"/>
    <cellStyle name="Note 2 14" xfId="1019" xr:uid="{00000000-0005-0000-0000-000040040000}"/>
    <cellStyle name="Note 2 14 2" xfId="1020" xr:uid="{00000000-0005-0000-0000-000041040000}"/>
    <cellStyle name="Note 2 15" xfId="1021" xr:uid="{00000000-0005-0000-0000-000042040000}"/>
    <cellStyle name="Note 2 15 2" xfId="1022" xr:uid="{00000000-0005-0000-0000-000043040000}"/>
    <cellStyle name="Note 2 16" xfId="1023" xr:uid="{00000000-0005-0000-0000-000044040000}"/>
    <cellStyle name="Note 2 2" xfId="1024" xr:uid="{00000000-0005-0000-0000-000045040000}"/>
    <cellStyle name="Note 2 2 2" xfId="1025" xr:uid="{00000000-0005-0000-0000-000046040000}"/>
    <cellStyle name="Note 2 3" xfId="1026" xr:uid="{00000000-0005-0000-0000-000047040000}"/>
    <cellStyle name="Note 2 3 2" xfId="1027" xr:uid="{00000000-0005-0000-0000-000048040000}"/>
    <cellStyle name="Note 2 4" xfId="1028" xr:uid="{00000000-0005-0000-0000-000049040000}"/>
    <cellStyle name="Note 2 4 2" xfId="1029" xr:uid="{00000000-0005-0000-0000-00004A040000}"/>
    <cellStyle name="Note 2 5" xfId="1030" xr:uid="{00000000-0005-0000-0000-00004B040000}"/>
    <cellStyle name="Note 2 5 2" xfId="1031" xr:uid="{00000000-0005-0000-0000-00004C040000}"/>
    <cellStyle name="Note 2 6" xfId="1032" xr:uid="{00000000-0005-0000-0000-00004D040000}"/>
    <cellStyle name="Note 2 6 2" xfId="1033" xr:uid="{00000000-0005-0000-0000-00004E040000}"/>
    <cellStyle name="Note 2 7" xfId="1034" xr:uid="{00000000-0005-0000-0000-00004F040000}"/>
    <cellStyle name="Note 2 7 2" xfId="1035" xr:uid="{00000000-0005-0000-0000-000050040000}"/>
    <cellStyle name="Note 2 8" xfId="1036" xr:uid="{00000000-0005-0000-0000-000051040000}"/>
    <cellStyle name="Note 2 8 2" xfId="1037" xr:uid="{00000000-0005-0000-0000-000052040000}"/>
    <cellStyle name="Note 2 9" xfId="1038" xr:uid="{00000000-0005-0000-0000-000053040000}"/>
    <cellStyle name="Note 2 9 2" xfId="1039" xr:uid="{00000000-0005-0000-0000-000054040000}"/>
    <cellStyle name="Note 20" xfId="1342" xr:uid="{00000000-0005-0000-0000-000055040000}"/>
    <cellStyle name="Note 21" xfId="1357" xr:uid="{00000000-0005-0000-0000-000056040000}"/>
    <cellStyle name="Note 22" xfId="1375" xr:uid="{00000000-0005-0000-0000-000057040000}"/>
    <cellStyle name="Note 23" xfId="1395" xr:uid="{B70BBAAE-B3D1-4903-84C6-9444AC1E7764}"/>
    <cellStyle name="Note 24" xfId="1417" xr:uid="{F196C114-AB68-41EC-B581-5294AE633BEB}"/>
    <cellStyle name="Note 25" xfId="1438" xr:uid="{B54B2027-1022-49E7-A04D-6DE1BACBD490}"/>
    <cellStyle name="Note 26" xfId="1459" xr:uid="{1790FCC3-0303-4D59-B32B-C5A9EB58C689}"/>
    <cellStyle name="Note 27" xfId="1479" xr:uid="{E103BFB3-3662-4439-88C8-8BE40448455A}"/>
    <cellStyle name="Note 3" xfId="1040" xr:uid="{00000000-0005-0000-0000-000058040000}"/>
    <cellStyle name="Note 3 10" xfId="1041" xr:uid="{00000000-0005-0000-0000-000059040000}"/>
    <cellStyle name="Note 3 10 2" xfId="1042" xr:uid="{00000000-0005-0000-0000-00005A040000}"/>
    <cellStyle name="Note 3 11" xfId="1043" xr:uid="{00000000-0005-0000-0000-00005B040000}"/>
    <cellStyle name="Note 3 11 2" xfId="1044" xr:uid="{00000000-0005-0000-0000-00005C040000}"/>
    <cellStyle name="Note 3 12" xfId="1045" xr:uid="{00000000-0005-0000-0000-00005D040000}"/>
    <cellStyle name="Note 3 12 2" xfId="1046" xr:uid="{00000000-0005-0000-0000-00005E040000}"/>
    <cellStyle name="Note 3 13" xfId="1047" xr:uid="{00000000-0005-0000-0000-00005F040000}"/>
    <cellStyle name="Note 3 13 2" xfId="1048" xr:uid="{00000000-0005-0000-0000-000060040000}"/>
    <cellStyle name="Note 3 14" xfId="1049" xr:uid="{00000000-0005-0000-0000-000061040000}"/>
    <cellStyle name="Note 3 2" xfId="1050" xr:uid="{00000000-0005-0000-0000-000062040000}"/>
    <cellStyle name="Note 3 2 2" xfId="1051" xr:uid="{00000000-0005-0000-0000-000063040000}"/>
    <cellStyle name="Note 3 3" xfId="1052" xr:uid="{00000000-0005-0000-0000-000064040000}"/>
    <cellStyle name="Note 3 3 2" xfId="1053" xr:uid="{00000000-0005-0000-0000-000065040000}"/>
    <cellStyle name="Note 3 4" xfId="1054" xr:uid="{00000000-0005-0000-0000-000066040000}"/>
    <cellStyle name="Note 3 4 2" xfId="1055" xr:uid="{00000000-0005-0000-0000-000067040000}"/>
    <cellStyle name="Note 3 5" xfId="1056" xr:uid="{00000000-0005-0000-0000-000068040000}"/>
    <cellStyle name="Note 3 5 2" xfId="1057" xr:uid="{00000000-0005-0000-0000-000069040000}"/>
    <cellStyle name="Note 3 6" xfId="1058" xr:uid="{00000000-0005-0000-0000-00006A040000}"/>
    <cellStyle name="Note 3 6 2" xfId="1059" xr:uid="{00000000-0005-0000-0000-00006B040000}"/>
    <cellStyle name="Note 3 7" xfId="1060" xr:uid="{00000000-0005-0000-0000-00006C040000}"/>
    <cellStyle name="Note 3 7 2" xfId="1061" xr:uid="{00000000-0005-0000-0000-00006D040000}"/>
    <cellStyle name="Note 3 8" xfId="1062" xr:uid="{00000000-0005-0000-0000-00006E040000}"/>
    <cellStyle name="Note 3 8 2" xfId="1063" xr:uid="{00000000-0005-0000-0000-00006F040000}"/>
    <cellStyle name="Note 3 9" xfId="1064" xr:uid="{00000000-0005-0000-0000-000070040000}"/>
    <cellStyle name="Note 3 9 2" xfId="1065" xr:uid="{00000000-0005-0000-0000-000071040000}"/>
    <cellStyle name="Note 4" xfId="1066" xr:uid="{00000000-0005-0000-0000-000072040000}"/>
    <cellStyle name="Note 4 10" xfId="1067" xr:uid="{00000000-0005-0000-0000-000073040000}"/>
    <cellStyle name="Note 4 10 2" xfId="1068" xr:uid="{00000000-0005-0000-0000-000074040000}"/>
    <cellStyle name="Note 4 11" xfId="1069" xr:uid="{00000000-0005-0000-0000-000075040000}"/>
    <cellStyle name="Note 4 2" xfId="1070" xr:uid="{00000000-0005-0000-0000-000076040000}"/>
    <cellStyle name="Note 4 2 2" xfId="1071" xr:uid="{00000000-0005-0000-0000-000077040000}"/>
    <cellStyle name="Note 4 3" xfId="1072" xr:uid="{00000000-0005-0000-0000-000078040000}"/>
    <cellStyle name="Note 4 3 2" xfId="1073" xr:uid="{00000000-0005-0000-0000-000079040000}"/>
    <cellStyle name="Note 4 4" xfId="1074" xr:uid="{00000000-0005-0000-0000-00007A040000}"/>
    <cellStyle name="Note 4 4 2" xfId="1075" xr:uid="{00000000-0005-0000-0000-00007B040000}"/>
    <cellStyle name="Note 4 5" xfId="1076" xr:uid="{00000000-0005-0000-0000-00007C040000}"/>
    <cellStyle name="Note 4 5 2" xfId="1077" xr:uid="{00000000-0005-0000-0000-00007D040000}"/>
    <cellStyle name="Note 4 6" xfId="1078" xr:uid="{00000000-0005-0000-0000-00007E040000}"/>
    <cellStyle name="Note 4 6 2" xfId="1079" xr:uid="{00000000-0005-0000-0000-00007F040000}"/>
    <cellStyle name="Note 4 7" xfId="1080" xr:uid="{00000000-0005-0000-0000-000080040000}"/>
    <cellStyle name="Note 4 7 2" xfId="1081" xr:uid="{00000000-0005-0000-0000-000081040000}"/>
    <cellStyle name="Note 4 8" xfId="1082" xr:uid="{00000000-0005-0000-0000-000082040000}"/>
    <cellStyle name="Note 4 8 2" xfId="1083" xr:uid="{00000000-0005-0000-0000-000083040000}"/>
    <cellStyle name="Note 4 9" xfId="1084" xr:uid="{00000000-0005-0000-0000-000084040000}"/>
    <cellStyle name="Note 4 9 2" xfId="1085" xr:uid="{00000000-0005-0000-0000-000085040000}"/>
    <cellStyle name="Note 5" xfId="1086" xr:uid="{00000000-0005-0000-0000-000086040000}"/>
    <cellStyle name="Note 5 2" xfId="1087" xr:uid="{00000000-0005-0000-0000-000087040000}"/>
    <cellStyle name="Note 5 2 2" xfId="1088" xr:uid="{00000000-0005-0000-0000-000088040000}"/>
    <cellStyle name="Note 5 3" xfId="1089" xr:uid="{00000000-0005-0000-0000-000089040000}"/>
    <cellStyle name="Note 5 3 2" xfId="1090" xr:uid="{00000000-0005-0000-0000-00008A040000}"/>
    <cellStyle name="Note 5 4" xfId="1091" xr:uid="{00000000-0005-0000-0000-00008B040000}"/>
    <cellStyle name="Note 5 4 2" xfId="1092" xr:uid="{00000000-0005-0000-0000-00008C040000}"/>
    <cellStyle name="Note 5 5" xfId="1093" xr:uid="{00000000-0005-0000-0000-00008D040000}"/>
    <cellStyle name="Note 5 5 2" xfId="1094" xr:uid="{00000000-0005-0000-0000-00008E040000}"/>
    <cellStyle name="Note 5 6" xfId="1095" xr:uid="{00000000-0005-0000-0000-00008F040000}"/>
    <cellStyle name="Note 5 6 2" xfId="1096" xr:uid="{00000000-0005-0000-0000-000090040000}"/>
    <cellStyle name="Note 5 7" xfId="1097" xr:uid="{00000000-0005-0000-0000-000091040000}"/>
    <cellStyle name="Note 5 7 2" xfId="1098" xr:uid="{00000000-0005-0000-0000-000092040000}"/>
    <cellStyle name="Note 5 8" xfId="1099" xr:uid="{00000000-0005-0000-0000-000093040000}"/>
    <cellStyle name="Note 5 8 2" xfId="1100" xr:uid="{00000000-0005-0000-0000-000094040000}"/>
    <cellStyle name="Note 5 9" xfId="1101" xr:uid="{00000000-0005-0000-0000-000095040000}"/>
    <cellStyle name="Note 6" xfId="1102" xr:uid="{00000000-0005-0000-0000-000096040000}"/>
    <cellStyle name="Note 6 2" xfId="1103" xr:uid="{00000000-0005-0000-0000-000097040000}"/>
    <cellStyle name="Note 6 2 2" xfId="1104" xr:uid="{00000000-0005-0000-0000-000098040000}"/>
    <cellStyle name="Note 6 3" xfId="1105" xr:uid="{00000000-0005-0000-0000-000099040000}"/>
    <cellStyle name="Note 6 3 2" xfId="1106" xr:uid="{00000000-0005-0000-0000-00009A040000}"/>
    <cellStyle name="Note 6 4" xfId="1107" xr:uid="{00000000-0005-0000-0000-00009B040000}"/>
    <cellStyle name="Note 6 4 2" xfId="1108" xr:uid="{00000000-0005-0000-0000-00009C040000}"/>
    <cellStyle name="Note 6 5" xfId="1109" xr:uid="{00000000-0005-0000-0000-00009D040000}"/>
    <cellStyle name="Note 6 5 2" xfId="1110" xr:uid="{00000000-0005-0000-0000-00009E040000}"/>
    <cellStyle name="Note 6 6" xfId="1111" xr:uid="{00000000-0005-0000-0000-00009F040000}"/>
    <cellStyle name="Note 6 6 2" xfId="1112" xr:uid="{00000000-0005-0000-0000-0000A0040000}"/>
    <cellStyle name="Note 6 7" xfId="1113" xr:uid="{00000000-0005-0000-0000-0000A1040000}"/>
    <cellStyle name="Note 6 7 2" xfId="1114" xr:uid="{00000000-0005-0000-0000-0000A2040000}"/>
    <cellStyle name="Note 6 8" xfId="1115" xr:uid="{00000000-0005-0000-0000-0000A3040000}"/>
    <cellStyle name="Note 6 8 2" xfId="1116" xr:uid="{00000000-0005-0000-0000-0000A4040000}"/>
    <cellStyle name="Note 6 9" xfId="1117" xr:uid="{00000000-0005-0000-0000-0000A5040000}"/>
    <cellStyle name="Note 7" xfId="1118" xr:uid="{00000000-0005-0000-0000-0000A6040000}"/>
    <cellStyle name="Note 7 2" xfId="1119" xr:uid="{00000000-0005-0000-0000-0000A7040000}"/>
    <cellStyle name="Note 7 2 2" xfId="1120" xr:uid="{00000000-0005-0000-0000-0000A8040000}"/>
    <cellStyle name="Note 7 3" xfId="1121" xr:uid="{00000000-0005-0000-0000-0000A9040000}"/>
    <cellStyle name="Note 7 3 2" xfId="1122" xr:uid="{00000000-0005-0000-0000-0000AA040000}"/>
    <cellStyle name="Note 7 4" xfId="1123" xr:uid="{00000000-0005-0000-0000-0000AB040000}"/>
    <cellStyle name="Note 7 4 2" xfId="1124" xr:uid="{00000000-0005-0000-0000-0000AC040000}"/>
    <cellStyle name="Note 7 5" xfId="1125" xr:uid="{00000000-0005-0000-0000-0000AD040000}"/>
    <cellStyle name="Note 7 5 2" xfId="1126" xr:uid="{00000000-0005-0000-0000-0000AE040000}"/>
    <cellStyle name="Note 7 6" xfId="1127" xr:uid="{00000000-0005-0000-0000-0000AF040000}"/>
    <cellStyle name="Note 7 6 2" xfId="1128" xr:uid="{00000000-0005-0000-0000-0000B0040000}"/>
    <cellStyle name="Note 7 7" xfId="1129" xr:uid="{00000000-0005-0000-0000-0000B1040000}"/>
    <cellStyle name="Note 7 7 2" xfId="1130" xr:uid="{00000000-0005-0000-0000-0000B2040000}"/>
    <cellStyle name="Note 7 8" xfId="1131" xr:uid="{00000000-0005-0000-0000-0000B3040000}"/>
    <cellStyle name="Note 7 8 2" xfId="1132" xr:uid="{00000000-0005-0000-0000-0000B4040000}"/>
    <cellStyle name="Note 7 9" xfId="1133" xr:uid="{00000000-0005-0000-0000-0000B5040000}"/>
    <cellStyle name="Note 8" xfId="1134" xr:uid="{00000000-0005-0000-0000-0000B6040000}"/>
    <cellStyle name="Note 8 2" xfId="1135" xr:uid="{00000000-0005-0000-0000-0000B7040000}"/>
    <cellStyle name="Note 8 2 2" xfId="1136" xr:uid="{00000000-0005-0000-0000-0000B8040000}"/>
    <cellStyle name="Note 8 3" xfId="1137" xr:uid="{00000000-0005-0000-0000-0000B9040000}"/>
    <cellStyle name="Note 8 3 2" xfId="1138" xr:uid="{00000000-0005-0000-0000-0000BA040000}"/>
    <cellStyle name="Note 8 4" xfId="1139" xr:uid="{00000000-0005-0000-0000-0000BB040000}"/>
    <cellStyle name="Note 8 4 2" xfId="1140" xr:uid="{00000000-0005-0000-0000-0000BC040000}"/>
    <cellStyle name="Note 8 5" xfId="1141" xr:uid="{00000000-0005-0000-0000-0000BD040000}"/>
    <cellStyle name="Note 8 5 2" xfId="1142" xr:uid="{00000000-0005-0000-0000-0000BE040000}"/>
    <cellStyle name="Note 8 6" xfId="1143" xr:uid="{00000000-0005-0000-0000-0000BF040000}"/>
    <cellStyle name="Note 8 6 2" xfId="1144" xr:uid="{00000000-0005-0000-0000-0000C0040000}"/>
    <cellStyle name="Note 8 7" xfId="1145" xr:uid="{00000000-0005-0000-0000-0000C1040000}"/>
    <cellStyle name="Note 8 7 2" xfId="1146" xr:uid="{00000000-0005-0000-0000-0000C2040000}"/>
    <cellStyle name="Note 8 8" xfId="1147" xr:uid="{00000000-0005-0000-0000-0000C3040000}"/>
    <cellStyle name="Note 9" xfId="1148" xr:uid="{00000000-0005-0000-0000-0000C4040000}"/>
    <cellStyle name="Note 9 2" xfId="1149" xr:uid="{00000000-0005-0000-0000-0000C5040000}"/>
    <cellStyle name="Note 9 3" xfId="1150" xr:uid="{00000000-0005-0000-0000-0000C6040000}"/>
    <cellStyle name="Note 9 4" xfId="1151" xr:uid="{00000000-0005-0000-0000-0000C7040000}"/>
    <cellStyle name="Note 9 5" xfId="1152" xr:uid="{00000000-0005-0000-0000-0000C8040000}"/>
    <cellStyle name="Note 9 6" xfId="1153" xr:uid="{00000000-0005-0000-0000-0000C9040000}"/>
    <cellStyle name="Note 9 7" xfId="1154" xr:uid="{00000000-0005-0000-0000-0000CA040000}"/>
    <cellStyle name="Output" xfId="1155" builtinId="21" customBuiltin="1"/>
    <cellStyle name="Output 10" xfId="1156" xr:uid="{00000000-0005-0000-0000-0000CC040000}"/>
    <cellStyle name="Output 2" xfId="1157" xr:uid="{00000000-0005-0000-0000-0000CD040000}"/>
    <cellStyle name="Output 2 2" xfId="1158" xr:uid="{00000000-0005-0000-0000-0000CE040000}"/>
    <cellStyle name="Output 2 3" xfId="1159" xr:uid="{00000000-0005-0000-0000-0000CF040000}"/>
    <cellStyle name="Output 2 4" xfId="1160" xr:uid="{00000000-0005-0000-0000-0000D0040000}"/>
    <cellStyle name="Output 2 5" xfId="1161" xr:uid="{00000000-0005-0000-0000-0000D1040000}"/>
    <cellStyle name="Output 2 6" xfId="1162" xr:uid="{00000000-0005-0000-0000-0000D2040000}"/>
    <cellStyle name="Output 2 7" xfId="1163" xr:uid="{00000000-0005-0000-0000-0000D3040000}"/>
    <cellStyle name="Output 3" xfId="1164" xr:uid="{00000000-0005-0000-0000-0000D4040000}"/>
    <cellStyle name="Output 3 2" xfId="1165" xr:uid="{00000000-0005-0000-0000-0000D5040000}"/>
    <cellStyle name="Output 3 3" xfId="1166" xr:uid="{00000000-0005-0000-0000-0000D6040000}"/>
    <cellStyle name="Output 3 4" xfId="1167" xr:uid="{00000000-0005-0000-0000-0000D7040000}"/>
    <cellStyle name="Output 3 5" xfId="1168" xr:uid="{00000000-0005-0000-0000-0000D8040000}"/>
    <cellStyle name="Output 3 6" xfId="1169" xr:uid="{00000000-0005-0000-0000-0000D9040000}"/>
    <cellStyle name="Output 3 7" xfId="1170" xr:uid="{00000000-0005-0000-0000-0000DA040000}"/>
    <cellStyle name="Output 4" xfId="1171" xr:uid="{00000000-0005-0000-0000-0000DB040000}"/>
    <cellStyle name="Output 5" xfId="1172" xr:uid="{00000000-0005-0000-0000-0000DC040000}"/>
    <cellStyle name="Output 6" xfId="1173" xr:uid="{00000000-0005-0000-0000-0000DD040000}"/>
    <cellStyle name="Output 7" xfId="1174" xr:uid="{00000000-0005-0000-0000-0000DE040000}"/>
    <cellStyle name="Output 8" xfId="1175" xr:uid="{00000000-0005-0000-0000-0000DF040000}"/>
    <cellStyle name="Output 9" xfId="1176" xr:uid="{00000000-0005-0000-0000-0000E0040000}"/>
    <cellStyle name="Percent" xfId="1177" builtinId="5"/>
    <cellStyle name="Percent 10" xfId="1178" xr:uid="{00000000-0005-0000-0000-0000E2040000}"/>
    <cellStyle name="Percent 11" xfId="1321" xr:uid="{00000000-0005-0000-0000-0000E3040000}"/>
    <cellStyle name="Percent 2" xfId="1179" xr:uid="{00000000-0005-0000-0000-0000E4040000}"/>
    <cellStyle name="Percent 2 10" xfId="1180" xr:uid="{00000000-0005-0000-0000-0000E5040000}"/>
    <cellStyle name="Percent 2 10 2" xfId="1181" xr:uid="{00000000-0005-0000-0000-0000E6040000}"/>
    <cellStyle name="Percent 2 11" xfId="1182" xr:uid="{00000000-0005-0000-0000-0000E7040000}"/>
    <cellStyle name="Percent 2 11 2" xfId="1183" xr:uid="{00000000-0005-0000-0000-0000E8040000}"/>
    <cellStyle name="Percent 2 12" xfId="1184" xr:uid="{00000000-0005-0000-0000-0000E9040000}"/>
    <cellStyle name="Percent 2 12 2" xfId="1185" xr:uid="{00000000-0005-0000-0000-0000EA040000}"/>
    <cellStyle name="Percent 2 13" xfId="1186" xr:uid="{00000000-0005-0000-0000-0000EB040000}"/>
    <cellStyle name="Percent 2 13 2" xfId="1187" xr:uid="{00000000-0005-0000-0000-0000EC040000}"/>
    <cellStyle name="Percent 2 14" xfId="1188" xr:uid="{00000000-0005-0000-0000-0000ED040000}"/>
    <cellStyle name="Percent 2 14 2" xfId="1189" xr:uid="{00000000-0005-0000-0000-0000EE040000}"/>
    <cellStyle name="Percent 2 15" xfId="1190" xr:uid="{00000000-0005-0000-0000-0000EF040000}"/>
    <cellStyle name="Percent 2 15 2" xfId="1191" xr:uid="{00000000-0005-0000-0000-0000F0040000}"/>
    <cellStyle name="Percent 2 16" xfId="1192" xr:uid="{00000000-0005-0000-0000-0000F1040000}"/>
    <cellStyle name="Percent 2 16 2" xfId="1193" xr:uid="{00000000-0005-0000-0000-0000F2040000}"/>
    <cellStyle name="Percent 2 17" xfId="1194" xr:uid="{00000000-0005-0000-0000-0000F3040000}"/>
    <cellStyle name="Percent 2 17 2" xfId="1195" xr:uid="{00000000-0005-0000-0000-0000F4040000}"/>
    <cellStyle name="Percent 2 18" xfId="1196" xr:uid="{00000000-0005-0000-0000-0000F5040000}"/>
    <cellStyle name="Percent 2 2" xfId="1197" xr:uid="{00000000-0005-0000-0000-0000F6040000}"/>
    <cellStyle name="Percent 2 2 2" xfId="1198" xr:uid="{00000000-0005-0000-0000-0000F7040000}"/>
    <cellStyle name="Percent 2 3" xfId="1199" xr:uid="{00000000-0005-0000-0000-0000F8040000}"/>
    <cellStyle name="Percent 2 3 2" xfId="1200" xr:uid="{00000000-0005-0000-0000-0000F9040000}"/>
    <cellStyle name="Percent 2 4" xfId="1201" xr:uid="{00000000-0005-0000-0000-0000FA040000}"/>
    <cellStyle name="Percent 2 4 2" xfId="1202" xr:uid="{00000000-0005-0000-0000-0000FB040000}"/>
    <cellStyle name="Percent 2 5" xfId="1203" xr:uid="{00000000-0005-0000-0000-0000FC040000}"/>
    <cellStyle name="Percent 2 5 2" xfId="1204" xr:uid="{00000000-0005-0000-0000-0000FD040000}"/>
    <cellStyle name="Percent 2 6" xfId="1205" xr:uid="{00000000-0005-0000-0000-0000FE040000}"/>
    <cellStyle name="Percent 2 6 2" xfId="1206" xr:uid="{00000000-0005-0000-0000-0000FF040000}"/>
    <cellStyle name="Percent 2 7" xfId="1207" xr:uid="{00000000-0005-0000-0000-000000050000}"/>
    <cellStyle name="Percent 2 7 2" xfId="1208" xr:uid="{00000000-0005-0000-0000-000001050000}"/>
    <cellStyle name="Percent 2 8" xfId="1209" xr:uid="{00000000-0005-0000-0000-000002050000}"/>
    <cellStyle name="Percent 2 8 2" xfId="1210" xr:uid="{00000000-0005-0000-0000-000003050000}"/>
    <cellStyle name="Percent 2 9" xfId="1211" xr:uid="{00000000-0005-0000-0000-000004050000}"/>
    <cellStyle name="Percent 2 9 2" xfId="1212" xr:uid="{00000000-0005-0000-0000-000005050000}"/>
    <cellStyle name="Percent 3" xfId="1213" xr:uid="{00000000-0005-0000-0000-000006050000}"/>
    <cellStyle name="Percent 3 10" xfId="1214" xr:uid="{00000000-0005-0000-0000-000007050000}"/>
    <cellStyle name="Percent 3 10 2" xfId="1215" xr:uid="{00000000-0005-0000-0000-000008050000}"/>
    <cellStyle name="Percent 3 11" xfId="1216" xr:uid="{00000000-0005-0000-0000-000009050000}"/>
    <cellStyle name="Percent 3 11 2" xfId="1217" xr:uid="{00000000-0005-0000-0000-00000A050000}"/>
    <cellStyle name="Percent 3 12" xfId="1218" xr:uid="{00000000-0005-0000-0000-00000B050000}"/>
    <cellStyle name="Percent 3 12 2" xfId="1219" xr:uid="{00000000-0005-0000-0000-00000C050000}"/>
    <cellStyle name="Percent 3 13" xfId="1220" xr:uid="{00000000-0005-0000-0000-00000D050000}"/>
    <cellStyle name="Percent 3 13 2" xfId="1221" xr:uid="{00000000-0005-0000-0000-00000E050000}"/>
    <cellStyle name="Percent 3 14" xfId="1222" xr:uid="{00000000-0005-0000-0000-00000F050000}"/>
    <cellStyle name="Percent 3 14 2" xfId="1223" xr:uid="{00000000-0005-0000-0000-000010050000}"/>
    <cellStyle name="Percent 3 15" xfId="1224" xr:uid="{00000000-0005-0000-0000-000011050000}"/>
    <cellStyle name="Percent 3 15 2" xfId="1225" xr:uid="{00000000-0005-0000-0000-000012050000}"/>
    <cellStyle name="Percent 3 16" xfId="1226" xr:uid="{00000000-0005-0000-0000-000013050000}"/>
    <cellStyle name="Percent 3 16 2" xfId="1227" xr:uid="{00000000-0005-0000-0000-000014050000}"/>
    <cellStyle name="Percent 3 17" xfId="1228" xr:uid="{00000000-0005-0000-0000-000015050000}"/>
    <cellStyle name="Percent 3 17 2" xfId="1229" xr:uid="{00000000-0005-0000-0000-000016050000}"/>
    <cellStyle name="Percent 3 18" xfId="1230" xr:uid="{00000000-0005-0000-0000-000017050000}"/>
    <cellStyle name="Percent 3 2" xfId="1231" xr:uid="{00000000-0005-0000-0000-000018050000}"/>
    <cellStyle name="Percent 3 2 2" xfId="1232" xr:uid="{00000000-0005-0000-0000-000019050000}"/>
    <cellStyle name="Percent 3 3" xfId="1233" xr:uid="{00000000-0005-0000-0000-00001A050000}"/>
    <cellStyle name="Percent 3 3 2" xfId="1234" xr:uid="{00000000-0005-0000-0000-00001B050000}"/>
    <cellStyle name="Percent 3 4" xfId="1235" xr:uid="{00000000-0005-0000-0000-00001C050000}"/>
    <cellStyle name="Percent 3 4 2" xfId="1236" xr:uid="{00000000-0005-0000-0000-00001D050000}"/>
    <cellStyle name="Percent 3 5" xfId="1237" xr:uid="{00000000-0005-0000-0000-00001E050000}"/>
    <cellStyle name="Percent 3 5 2" xfId="1238" xr:uid="{00000000-0005-0000-0000-00001F050000}"/>
    <cellStyle name="Percent 3 6" xfId="1239" xr:uid="{00000000-0005-0000-0000-000020050000}"/>
    <cellStyle name="Percent 3 6 2" xfId="1240" xr:uid="{00000000-0005-0000-0000-000021050000}"/>
    <cellStyle name="Percent 3 7" xfId="1241" xr:uid="{00000000-0005-0000-0000-000022050000}"/>
    <cellStyle name="Percent 3 7 2" xfId="1242" xr:uid="{00000000-0005-0000-0000-000023050000}"/>
    <cellStyle name="Percent 3 8" xfId="1243" xr:uid="{00000000-0005-0000-0000-000024050000}"/>
    <cellStyle name="Percent 3 8 2" xfId="1244" xr:uid="{00000000-0005-0000-0000-000025050000}"/>
    <cellStyle name="Percent 3 9" xfId="1245" xr:uid="{00000000-0005-0000-0000-000026050000}"/>
    <cellStyle name="Percent 3 9 2" xfId="1246" xr:uid="{00000000-0005-0000-0000-000027050000}"/>
    <cellStyle name="Percent 4" xfId="1247" xr:uid="{00000000-0005-0000-0000-000028050000}"/>
    <cellStyle name="Percent 5" xfId="1248" xr:uid="{00000000-0005-0000-0000-000029050000}"/>
    <cellStyle name="Percent 5 2" xfId="1249" xr:uid="{00000000-0005-0000-0000-00002A050000}"/>
    <cellStyle name="Percent 5 2 2" xfId="1250" xr:uid="{00000000-0005-0000-0000-00002B050000}"/>
    <cellStyle name="Percent 5 3" xfId="1251" xr:uid="{00000000-0005-0000-0000-00002C050000}"/>
    <cellStyle name="Percent 5 3 2" xfId="1252" xr:uid="{00000000-0005-0000-0000-00002D050000}"/>
    <cellStyle name="Percent 5 4" xfId="1253" xr:uid="{00000000-0005-0000-0000-00002E050000}"/>
    <cellStyle name="Percent 5 4 2" xfId="1254" xr:uid="{00000000-0005-0000-0000-00002F050000}"/>
    <cellStyle name="Percent 5 5" xfId="1255" xr:uid="{00000000-0005-0000-0000-000030050000}"/>
    <cellStyle name="Percent 5 5 2" xfId="1256" xr:uid="{00000000-0005-0000-0000-000031050000}"/>
    <cellStyle name="Percent 5 6" xfId="1257" xr:uid="{00000000-0005-0000-0000-000032050000}"/>
    <cellStyle name="Percent 5 6 2" xfId="1258" xr:uid="{00000000-0005-0000-0000-000033050000}"/>
    <cellStyle name="Percent 5 7" xfId="1259" xr:uid="{00000000-0005-0000-0000-000034050000}"/>
    <cellStyle name="Percent 5 7 2" xfId="1260" xr:uid="{00000000-0005-0000-0000-000035050000}"/>
    <cellStyle name="Percent 5 8" xfId="1261" xr:uid="{00000000-0005-0000-0000-000036050000}"/>
    <cellStyle name="Percent 5 8 2" xfId="1262" xr:uid="{00000000-0005-0000-0000-000037050000}"/>
    <cellStyle name="Percent 5 9" xfId="1263" xr:uid="{00000000-0005-0000-0000-000038050000}"/>
    <cellStyle name="Percent 6" xfId="1264" xr:uid="{00000000-0005-0000-0000-000039050000}"/>
    <cellStyle name="Percent 7" xfId="1265" xr:uid="{00000000-0005-0000-0000-00003A050000}"/>
    <cellStyle name="Percent 8" xfId="1266" xr:uid="{00000000-0005-0000-0000-00003B050000}"/>
    <cellStyle name="Percent 9" xfId="1267" xr:uid="{00000000-0005-0000-0000-00003C050000}"/>
    <cellStyle name="Style 1" xfId="1268" xr:uid="{00000000-0005-0000-0000-00003D050000}"/>
    <cellStyle name="Title" xfId="1269" builtinId="15" customBuiltin="1"/>
    <cellStyle name="Title 2" xfId="1270" xr:uid="{00000000-0005-0000-0000-00003F050000}"/>
    <cellStyle name="Title 3" xfId="1271" xr:uid="{00000000-0005-0000-0000-000040050000}"/>
    <cellStyle name="Title 4" xfId="1272" xr:uid="{00000000-0005-0000-0000-000041050000}"/>
    <cellStyle name="Title 5" xfId="1273" xr:uid="{00000000-0005-0000-0000-000042050000}"/>
    <cellStyle name="Title 6" xfId="1274" xr:uid="{00000000-0005-0000-0000-000043050000}"/>
    <cellStyle name="Title 7" xfId="1275" xr:uid="{00000000-0005-0000-0000-000044050000}"/>
    <cellStyle name="Title 8" xfId="1326" xr:uid="{00000000-0005-0000-0000-000045050000}"/>
    <cellStyle name="Total" xfId="1276" builtinId="25" customBuiltin="1"/>
    <cellStyle name="Total 10" xfId="1277" xr:uid="{00000000-0005-0000-0000-000047050000}"/>
    <cellStyle name="Total 2" xfId="1278" xr:uid="{00000000-0005-0000-0000-000048050000}"/>
    <cellStyle name="Total 2 2" xfId="1279" xr:uid="{00000000-0005-0000-0000-000049050000}"/>
    <cellStyle name="Total 2 3" xfId="1280" xr:uid="{00000000-0005-0000-0000-00004A050000}"/>
    <cellStyle name="Total 2 4" xfId="1281" xr:uid="{00000000-0005-0000-0000-00004B050000}"/>
    <cellStyle name="Total 2 5" xfId="1282" xr:uid="{00000000-0005-0000-0000-00004C050000}"/>
    <cellStyle name="Total 2 6" xfId="1283" xr:uid="{00000000-0005-0000-0000-00004D050000}"/>
    <cellStyle name="Total 2 7" xfId="1284" xr:uid="{00000000-0005-0000-0000-00004E050000}"/>
    <cellStyle name="Total 3" xfId="1285" xr:uid="{00000000-0005-0000-0000-00004F050000}"/>
    <cellStyle name="Total 3 2" xfId="1286" xr:uid="{00000000-0005-0000-0000-000050050000}"/>
    <cellStyle name="Total 3 3" xfId="1287" xr:uid="{00000000-0005-0000-0000-000051050000}"/>
    <cellStyle name="Total 3 4" xfId="1288" xr:uid="{00000000-0005-0000-0000-000052050000}"/>
    <cellStyle name="Total 3 5" xfId="1289" xr:uid="{00000000-0005-0000-0000-000053050000}"/>
    <cellStyle name="Total 3 6" xfId="1290" xr:uid="{00000000-0005-0000-0000-000054050000}"/>
    <cellStyle name="Total 3 7" xfId="1291" xr:uid="{00000000-0005-0000-0000-000055050000}"/>
    <cellStyle name="Total 4" xfId="1292" xr:uid="{00000000-0005-0000-0000-000056050000}"/>
    <cellStyle name="Total 5" xfId="1293" xr:uid="{00000000-0005-0000-0000-000057050000}"/>
    <cellStyle name="Total 6" xfId="1294" xr:uid="{00000000-0005-0000-0000-000058050000}"/>
    <cellStyle name="Total 7" xfId="1295" xr:uid="{00000000-0005-0000-0000-000059050000}"/>
    <cellStyle name="Total 8" xfId="1296" xr:uid="{00000000-0005-0000-0000-00005A050000}"/>
    <cellStyle name="Total 9" xfId="1297" xr:uid="{00000000-0005-0000-0000-00005B050000}"/>
    <cellStyle name="Warning Text" xfId="1298" builtinId="11" customBuiltin="1"/>
    <cellStyle name="Warning Text 10" xfId="1299" xr:uid="{00000000-0005-0000-0000-00005D050000}"/>
    <cellStyle name="Warning Text 2" xfId="1300" xr:uid="{00000000-0005-0000-0000-00005E050000}"/>
    <cellStyle name="Warning Text 2 2" xfId="1301" xr:uid="{00000000-0005-0000-0000-00005F050000}"/>
    <cellStyle name="Warning Text 2 3" xfId="1302" xr:uid="{00000000-0005-0000-0000-000060050000}"/>
    <cellStyle name="Warning Text 2 4" xfId="1303" xr:uid="{00000000-0005-0000-0000-000061050000}"/>
    <cellStyle name="Warning Text 2 5" xfId="1304" xr:uid="{00000000-0005-0000-0000-000062050000}"/>
    <cellStyle name="Warning Text 2 6" xfId="1305" xr:uid="{00000000-0005-0000-0000-000063050000}"/>
    <cellStyle name="Warning Text 2 7" xfId="1306" xr:uid="{00000000-0005-0000-0000-000064050000}"/>
    <cellStyle name="Warning Text 3" xfId="1307" xr:uid="{00000000-0005-0000-0000-000065050000}"/>
    <cellStyle name="Warning Text 3 2" xfId="1308" xr:uid="{00000000-0005-0000-0000-000066050000}"/>
    <cellStyle name="Warning Text 3 3" xfId="1309" xr:uid="{00000000-0005-0000-0000-000067050000}"/>
    <cellStyle name="Warning Text 3 4" xfId="1310" xr:uid="{00000000-0005-0000-0000-000068050000}"/>
    <cellStyle name="Warning Text 3 5" xfId="1311" xr:uid="{00000000-0005-0000-0000-000069050000}"/>
    <cellStyle name="Warning Text 3 6" xfId="1312" xr:uid="{00000000-0005-0000-0000-00006A050000}"/>
    <cellStyle name="Warning Text 3 7" xfId="1313" xr:uid="{00000000-0005-0000-0000-00006B050000}"/>
    <cellStyle name="Warning Text 4" xfId="1314" xr:uid="{00000000-0005-0000-0000-00006C050000}"/>
    <cellStyle name="Warning Text 5" xfId="1315" xr:uid="{00000000-0005-0000-0000-00006D050000}"/>
    <cellStyle name="Warning Text 6" xfId="1316" xr:uid="{00000000-0005-0000-0000-00006E050000}"/>
    <cellStyle name="Warning Text 7" xfId="1317" xr:uid="{00000000-0005-0000-0000-00006F050000}"/>
    <cellStyle name="Warning Text 8" xfId="1318" xr:uid="{00000000-0005-0000-0000-000070050000}"/>
    <cellStyle name="Warning Text 9" xfId="1319" xr:uid="{00000000-0005-0000-0000-000071050000}"/>
  </cellStyles>
  <dxfs count="0"/>
  <tableStyles count="0" defaultTableStyle="TableStyleMedium9" defaultPivotStyle="PivotStyleLight16"/>
  <colors>
    <mruColors>
      <color rgb="FFFF99CC"/>
      <color rgb="FFFF0066"/>
      <color rgb="FFFBFED2"/>
      <color rgb="FFFFFFCC"/>
      <color rgb="FF66FFFF"/>
      <color rgb="FFFFFF99"/>
      <color rgb="FF008000"/>
      <color rgb="FFCCFFCC"/>
      <color rgb="FF00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24</xdr:row>
      <xdr:rowOff>9525</xdr:rowOff>
    </xdr:from>
    <xdr:to>
      <xdr:col>7</xdr:col>
      <xdr:colOff>590550</xdr:colOff>
      <xdr:row>25</xdr:row>
      <xdr:rowOff>0</xdr:rowOff>
    </xdr:to>
    <xdr:sp macro="" textlink="">
      <xdr:nvSpPr>
        <xdr:cNvPr id="91382" name="Line 1">
          <a:extLst>
            <a:ext uri="{FF2B5EF4-FFF2-40B4-BE49-F238E27FC236}">
              <a16:creationId xmlns:a16="http://schemas.microsoft.com/office/drawing/2014/main" id="{00000000-0008-0000-0100-0000F6640100}"/>
            </a:ext>
          </a:extLst>
        </xdr:cNvPr>
        <xdr:cNvSpPr>
          <a:spLocks noChangeShapeType="1"/>
        </xdr:cNvSpPr>
      </xdr:nvSpPr>
      <xdr:spPr bwMode="auto">
        <a:xfrm flipV="1">
          <a:off x="7739903" y="8492378"/>
          <a:ext cx="0" cy="29303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523875</xdr:colOff>
      <xdr:row>24</xdr:row>
      <xdr:rowOff>0</xdr:rowOff>
    </xdr:from>
    <xdr:to>
      <xdr:col>9</xdr:col>
      <xdr:colOff>523875</xdr:colOff>
      <xdr:row>25</xdr:row>
      <xdr:rowOff>2241</xdr:rowOff>
    </xdr:to>
    <xdr:sp macro="" textlink="">
      <xdr:nvSpPr>
        <xdr:cNvPr id="91383" name="Line 3">
          <a:extLst>
            <a:ext uri="{FF2B5EF4-FFF2-40B4-BE49-F238E27FC236}">
              <a16:creationId xmlns:a16="http://schemas.microsoft.com/office/drawing/2014/main" id="{00000000-0008-0000-0100-0000F7640100}"/>
            </a:ext>
          </a:extLst>
        </xdr:cNvPr>
        <xdr:cNvSpPr>
          <a:spLocks noChangeShapeType="1"/>
        </xdr:cNvSpPr>
      </xdr:nvSpPr>
      <xdr:spPr bwMode="auto">
        <a:xfrm flipV="1">
          <a:off x="9712699" y="8482853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438150</xdr:colOff>
      <xdr:row>23</xdr:row>
      <xdr:rowOff>152400</xdr:rowOff>
    </xdr:from>
    <xdr:to>
      <xdr:col>10</xdr:col>
      <xdr:colOff>438150</xdr:colOff>
      <xdr:row>25</xdr:row>
      <xdr:rowOff>2241</xdr:rowOff>
    </xdr:to>
    <xdr:sp macro="" textlink="">
      <xdr:nvSpPr>
        <xdr:cNvPr id="91384" name="Line 369">
          <a:extLst>
            <a:ext uri="{FF2B5EF4-FFF2-40B4-BE49-F238E27FC236}">
              <a16:creationId xmlns:a16="http://schemas.microsoft.com/office/drawing/2014/main" id="{00000000-0008-0000-0100-0000F8640100}"/>
            </a:ext>
          </a:extLst>
        </xdr:cNvPr>
        <xdr:cNvSpPr>
          <a:spLocks noChangeShapeType="1"/>
        </xdr:cNvSpPr>
      </xdr:nvSpPr>
      <xdr:spPr bwMode="auto">
        <a:xfrm flipV="1">
          <a:off x="10691532" y="8355106"/>
          <a:ext cx="0" cy="43254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523875</xdr:colOff>
      <xdr:row>23</xdr:row>
      <xdr:rowOff>57150</xdr:rowOff>
    </xdr:from>
    <xdr:to>
      <xdr:col>11</xdr:col>
      <xdr:colOff>523875</xdr:colOff>
      <xdr:row>24</xdr:row>
      <xdr:rowOff>228600</xdr:rowOff>
    </xdr:to>
    <xdr:sp macro="" textlink="">
      <xdr:nvSpPr>
        <xdr:cNvPr id="91385" name="Line 370">
          <a:extLst>
            <a:ext uri="{FF2B5EF4-FFF2-40B4-BE49-F238E27FC236}">
              <a16:creationId xmlns:a16="http://schemas.microsoft.com/office/drawing/2014/main" id="{00000000-0008-0000-0100-0000F9640100}"/>
            </a:ext>
          </a:extLst>
        </xdr:cNvPr>
        <xdr:cNvSpPr>
          <a:spLocks noChangeShapeType="1"/>
        </xdr:cNvSpPr>
      </xdr:nvSpPr>
      <xdr:spPr bwMode="auto">
        <a:xfrm flipV="1">
          <a:off x="11740963" y="8259856"/>
          <a:ext cx="0" cy="45159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552450</xdr:colOff>
      <xdr:row>24</xdr:row>
      <xdr:rowOff>28575</xdr:rowOff>
    </xdr:from>
    <xdr:to>
      <xdr:col>8</xdr:col>
      <xdr:colOff>552450</xdr:colOff>
      <xdr:row>25</xdr:row>
      <xdr:rowOff>19050</xdr:rowOff>
    </xdr:to>
    <xdr:sp macro="" textlink="">
      <xdr:nvSpPr>
        <xdr:cNvPr id="91386" name="Line 372">
          <a:extLst>
            <a:ext uri="{FF2B5EF4-FFF2-40B4-BE49-F238E27FC236}">
              <a16:creationId xmlns:a16="http://schemas.microsoft.com/office/drawing/2014/main" id="{00000000-0008-0000-0100-0000FA640100}"/>
            </a:ext>
          </a:extLst>
        </xdr:cNvPr>
        <xdr:cNvSpPr>
          <a:spLocks noChangeShapeType="1"/>
        </xdr:cNvSpPr>
      </xdr:nvSpPr>
      <xdr:spPr bwMode="auto">
        <a:xfrm flipV="1">
          <a:off x="8755156" y="8511428"/>
          <a:ext cx="0" cy="29303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orm\sbproj_storm\project\c1691\construction\pipe_dept\Progress\C1691_Current%20ISO%20Sign-Off%20Log-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orm\sbproj_storm\project\c1691\construction\pipe_dept\Workbook%20worksheets\3-Week%20Look%20Ahead%20Reports%20Workbook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orm\sbproj_storm\project\c1691\construction\pipe_dept\PIPE%20PERSONNEL%20&amp;%20TRAINING\C1691%20Current%20Pipe%20Personne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orm\sbproj_storm\project\c1683\construction\Pipe%20Dept\Progress\C1683%20-%20Current%20ISO%20Sign-Off%20Log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 Iso Sign-off Log"/>
      <sheetName val="By Test Package"/>
      <sheetName val="By System"/>
      <sheetName val="Iso Count By Week"/>
      <sheetName val="Weld Track Progress"/>
      <sheetName val="Supervisor Assignments"/>
      <sheetName val="Foreman's Incomplete Rate"/>
    </sheetNames>
    <sheetDataSet>
      <sheetData sheetId="0" refreshError="1">
        <row r="5">
          <cell r="L5"/>
          <cell r="AE5"/>
          <cell r="AF5"/>
        </row>
        <row r="6">
          <cell r="L6"/>
          <cell r="AE6"/>
          <cell r="AF6"/>
        </row>
        <row r="7">
          <cell r="L7"/>
          <cell r="AE7"/>
          <cell r="AF7"/>
        </row>
        <row r="8">
          <cell r="L8"/>
          <cell r="AE8"/>
          <cell r="AF8"/>
        </row>
        <row r="9">
          <cell r="L9"/>
          <cell r="AE9"/>
          <cell r="AF9"/>
        </row>
        <row r="10">
          <cell r="L10"/>
          <cell r="AE10"/>
          <cell r="AF10"/>
        </row>
        <row r="11">
          <cell r="L11"/>
          <cell r="AE11"/>
          <cell r="AF11"/>
        </row>
        <row r="12">
          <cell r="L12">
            <v>0</v>
          </cell>
          <cell r="AE12">
            <v>2</v>
          </cell>
          <cell r="AF12"/>
        </row>
        <row r="13">
          <cell r="L13">
            <v>0</v>
          </cell>
          <cell r="AE13">
            <v>3</v>
          </cell>
          <cell r="AF13"/>
        </row>
        <row r="14">
          <cell r="L14">
            <v>0</v>
          </cell>
          <cell r="AE14">
            <v>2</v>
          </cell>
          <cell r="AF14"/>
        </row>
        <row r="15">
          <cell r="L15"/>
          <cell r="AE15"/>
          <cell r="AF15"/>
        </row>
        <row r="16">
          <cell r="L16">
            <v>0</v>
          </cell>
          <cell r="AE16">
            <v>2</v>
          </cell>
          <cell r="AF16"/>
        </row>
        <row r="17">
          <cell r="L17">
            <v>0</v>
          </cell>
          <cell r="AE17">
            <v>3</v>
          </cell>
          <cell r="AF17"/>
        </row>
        <row r="18">
          <cell r="L18">
            <v>0</v>
          </cell>
          <cell r="AE18">
            <v>2</v>
          </cell>
          <cell r="AF18"/>
        </row>
        <row r="19">
          <cell r="L19"/>
          <cell r="AE19"/>
          <cell r="AF19"/>
        </row>
        <row r="20">
          <cell r="L20">
            <v>0</v>
          </cell>
          <cell r="AE20">
            <v>2</v>
          </cell>
          <cell r="AF20"/>
        </row>
        <row r="21">
          <cell r="L21">
            <v>0</v>
          </cell>
          <cell r="AE21"/>
          <cell r="AF21"/>
        </row>
        <row r="22">
          <cell r="L22">
            <v>0</v>
          </cell>
          <cell r="AE22"/>
          <cell r="AF22"/>
        </row>
        <row r="23">
          <cell r="L23">
            <v>0</v>
          </cell>
          <cell r="AE23"/>
          <cell r="AF23"/>
        </row>
        <row r="24">
          <cell r="L24">
            <v>0</v>
          </cell>
          <cell r="AE24">
            <v>4</v>
          </cell>
          <cell r="AF24"/>
        </row>
        <row r="25">
          <cell r="L25">
            <v>0</v>
          </cell>
          <cell r="AE25">
            <v>3</v>
          </cell>
          <cell r="AF25"/>
        </row>
        <row r="26">
          <cell r="L26"/>
          <cell r="AE26"/>
          <cell r="AF26"/>
        </row>
        <row r="27">
          <cell r="L27">
            <v>0</v>
          </cell>
          <cell r="AE27">
            <v>4</v>
          </cell>
          <cell r="AF27"/>
        </row>
        <row r="28">
          <cell r="L28">
            <v>0</v>
          </cell>
          <cell r="AE28">
            <v>3</v>
          </cell>
          <cell r="AF28"/>
        </row>
        <row r="29">
          <cell r="L29">
            <v>0</v>
          </cell>
          <cell r="AE29">
            <v>4</v>
          </cell>
          <cell r="AF29"/>
        </row>
        <row r="30">
          <cell r="L30">
            <v>0</v>
          </cell>
          <cell r="AE30">
            <v>1</v>
          </cell>
          <cell r="AF30"/>
        </row>
        <row r="31">
          <cell r="L31">
            <v>0</v>
          </cell>
          <cell r="AE31">
            <v>1</v>
          </cell>
          <cell r="AF31"/>
        </row>
        <row r="32">
          <cell r="L32">
            <v>0</v>
          </cell>
          <cell r="AE32">
            <v>2</v>
          </cell>
          <cell r="AF32"/>
        </row>
        <row r="33">
          <cell r="L33">
            <v>0</v>
          </cell>
          <cell r="AE33">
            <v>4</v>
          </cell>
          <cell r="AF33"/>
        </row>
        <row r="34">
          <cell r="L34">
            <v>0</v>
          </cell>
          <cell r="AE34">
            <v>2</v>
          </cell>
          <cell r="AF34"/>
        </row>
        <row r="35">
          <cell r="L35"/>
          <cell r="AE35"/>
          <cell r="AF35"/>
        </row>
        <row r="36">
          <cell r="L36">
            <v>2.6589878691336801E-2</v>
          </cell>
          <cell r="AE36">
            <v>3</v>
          </cell>
          <cell r="AF36"/>
        </row>
        <row r="37">
          <cell r="L37">
            <v>0</v>
          </cell>
          <cell r="AE37">
            <v>3</v>
          </cell>
          <cell r="AF37"/>
        </row>
        <row r="38">
          <cell r="L38">
            <v>0</v>
          </cell>
          <cell r="AE38">
            <v>4</v>
          </cell>
          <cell r="AF38"/>
        </row>
        <row r="39">
          <cell r="L39">
            <v>0</v>
          </cell>
          <cell r="AE39"/>
          <cell r="AF39"/>
        </row>
        <row r="40">
          <cell r="L40">
            <v>0</v>
          </cell>
          <cell r="AE40"/>
          <cell r="AF40"/>
        </row>
        <row r="41">
          <cell r="L41">
            <v>0</v>
          </cell>
          <cell r="AE41">
            <v>2</v>
          </cell>
          <cell r="AF41"/>
        </row>
        <row r="42">
          <cell r="L42">
            <v>0</v>
          </cell>
          <cell r="AE42">
            <v>6</v>
          </cell>
          <cell r="AF42"/>
        </row>
        <row r="43">
          <cell r="L43">
            <v>0</v>
          </cell>
          <cell r="AE43"/>
          <cell r="AF43"/>
        </row>
        <row r="44">
          <cell r="L44">
            <v>0</v>
          </cell>
          <cell r="AE44">
            <v>4</v>
          </cell>
          <cell r="AF44"/>
        </row>
        <row r="45">
          <cell r="L45">
            <v>6.6904802404036904E-3</v>
          </cell>
          <cell r="AE45">
            <v>3</v>
          </cell>
          <cell r="AF45"/>
        </row>
        <row r="46">
          <cell r="L46">
            <v>2.1162123385939698E-2</v>
          </cell>
          <cell r="AE46">
            <v>2</v>
          </cell>
          <cell r="AF46"/>
        </row>
        <row r="47">
          <cell r="L47">
            <v>0</v>
          </cell>
          <cell r="AE47">
            <v>2</v>
          </cell>
          <cell r="AF47"/>
        </row>
        <row r="48">
          <cell r="L48">
            <v>0</v>
          </cell>
          <cell r="AE48">
            <v>1</v>
          </cell>
          <cell r="AF48"/>
        </row>
        <row r="49">
          <cell r="L49">
            <v>0</v>
          </cell>
          <cell r="AE49">
            <v>3</v>
          </cell>
          <cell r="AF49"/>
        </row>
        <row r="50">
          <cell r="L50">
            <v>0</v>
          </cell>
          <cell r="AE50">
            <v>3</v>
          </cell>
          <cell r="AF50"/>
        </row>
        <row r="51">
          <cell r="L51">
            <v>0</v>
          </cell>
          <cell r="AE51">
            <v>3</v>
          </cell>
          <cell r="AF51"/>
        </row>
        <row r="52">
          <cell r="L52">
            <v>0.39624329159212801</v>
          </cell>
          <cell r="AE52">
            <v>3</v>
          </cell>
          <cell r="AF52"/>
        </row>
        <row r="53">
          <cell r="L53">
            <v>0.38461538461538403</v>
          </cell>
          <cell r="AE53">
            <v>3</v>
          </cell>
          <cell r="AF53"/>
        </row>
        <row r="54">
          <cell r="L54">
            <v>0.192317925646421</v>
          </cell>
          <cell r="AE54">
            <v>3</v>
          </cell>
          <cell r="AF54"/>
        </row>
        <row r="55">
          <cell r="L55">
            <v>3.0761632624263499E-2</v>
          </cell>
          <cell r="AE55">
            <v>2</v>
          </cell>
          <cell r="AF55"/>
        </row>
        <row r="56">
          <cell r="L56">
            <v>0</v>
          </cell>
          <cell r="AE56">
            <v>1</v>
          </cell>
          <cell r="AF56"/>
        </row>
        <row r="57">
          <cell r="L57">
            <v>0</v>
          </cell>
          <cell r="AE57"/>
          <cell r="AF57"/>
        </row>
        <row r="58">
          <cell r="L58">
            <v>0</v>
          </cell>
          <cell r="AE58">
            <v>1</v>
          </cell>
          <cell r="AF58"/>
        </row>
        <row r="59">
          <cell r="L59">
            <v>0</v>
          </cell>
          <cell r="AE59"/>
          <cell r="AF59"/>
        </row>
        <row r="60">
          <cell r="L60">
            <v>0</v>
          </cell>
          <cell r="AE60"/>
          <cell r="AF60"/>
        </row>
        <row r="61">
          <cell r="L61">
            <v>0</v>
          </cell>
          <cell r="AE61"/>
          <cell r="AF61"/>
        </row>
        <row r="62">
          <cell r="L62">
            <v>0</v>
          </cell>
          <cell r="AE62"/>
          <cell r="AF62"/>
        </row>
        <row r="63">
          <cell r="L63">
            <v>1.27140633108458E-2</v>
          </cell>
          <cell r="AE63"/>
          <cell r="AF63"/>
        </row>
        <row r="64">
          <cell r="L64">
            <v>0</v>
          </cell>
          <cell r="AE64">
            <v>3</v>
          </cell>
          <cell r="AF64"/>
        </row>
        <row r="65">
          <cell r="L65">
            <v>0</v>
          </cell>
          <cell r="AE65">
            <v>4</v>
          </cell>
          <cell r="AF65"/>
        </row>
        <row r="66">
          <cell r="L66">
            <v>3.0767492656473602E-2</v>
          </cell>
          <cell r="AE66">
            <v>2</v>
          </cell>
          <cell r="AF66"/>
        </row>
        <row r="67">
          <cell r="L67">
            <v>3.0750423170961001E-2</v>
          </cell>
          <cell r="AE67">
            <v>4</v>
          </cell>
          <cell r="AF67"/>
        </row>
        <row r="68">
          <cell r="L68">
            <v>3.0732292917166799E-2</v>
          </cell>
          <cell r="AE68"/>
          <cell r="AF68"/>
        </row>
        <row r="69">
          <cell r="L69">
            <v>1.47097178029315E-2</v>
          </cell>
          <cell r="AE69">
            <v>2</v>
          </cell>
          <cell r="AF69"/>
        </row>
        <row r="70">
          <cell r="L70">
            <v>3.0763084298841298E-2</v>
          </cell>
          <cell r="AE70">
            <v>2</v>
          </cell>
          <cell r="AF70"/>
        </row>
        <row r="71">
          <cell r="L71">
            <v>0</v>
          </cell>
          <cell r="AE71">
            <v>1</v>
          </cell>
          <cell r="AF71"/>
        </row>
        <row r="72">
          <cell r="L72">
            <v>0</v>
          </cell>
          <cell r="AE72"/>
          <cell r="AF72"/>
        </row>
        <row r="73">
          <cell r="L73">
            <v>1.8043684710351299E-2</v>
          </cell>
          <cell r="AE73">
            <v>3</v>
          </cell>
          <cell r="AF73"/>
        </row>
        <row r="74">
          <cell r="L74">
            <v>2.6268115942028901E-2</v>
          </cell>
          <cell r="AE74">
            <v>2</v>
          </cell>
          <cell r="AF74"/>
        </row>
        <row r="75">
          <cell r="L75">
            <v>3.0785496610485699E-2</v>
          </cell>
          <cell r="AE75">
            <v>5</v>
          </cell>
          <cell r="AF75"/>
        </row>
        <row r="76">
          <cell r="L76">
            <v>2.1087375080223701E-2</v>
          </cell>
          <cell r="AE76">
            <v>3</v>
          </cell>
          <cell r="AF76"/>
        </row>
        <row r="77">
          <cell r="L77">
            <v>0</v>
          </cell>
          <cell r="AE77"/>
          <cell r="AF77"/>
        </row>
        <row r="78">
          <cell r="L78">
            <v>0</v>
          </cell>
          <cell r="AE78"/>
          <cell r="AF78"/>
        </row>
        <row r="79">
          <cell r="L79">
            <v>0</v>
          </cell>
          <cell r="AE79"/>
          <cell r="AF79"/>
        </row>
        <row r="80">
          <cell r="L80">
            <v>0</v>
          </cell>
          <cell r="AE80"/>
          <cell r="AF80"/>
        </row>
        <row r="81">
          <cell r="L81">
            <v>0</v>
          </cell>
          <cell r="AE81"/>
          <cell r="AF81"/>
        </row>
        <row r="82">
          <cell r="L82">
            <v>0</v>
          </cell>
          <cell r="AE82"/>
          <cell r="AF82"/>
        </row>
        <row r="83">
          <cell r="L83">
            <v>0</v>
          </cell>
          <cell r="AE83"/>
          <cell r="AF83"/>
        </row>
        <row r="84">
          <cell r="L84">
            <v>0</v>
          </cell>
          <cell r="AE84"/>
          <cell r="AF84"/>
        </row>
        <row r="85">
          <cell r="L85">
            <v>0</v>
          </cell>
          <cell r="AE85"/>
          <cell r="AF85"/>
        </row>
        <row r="86">
          <cell r="L86">
            <v>0</v>
          </cell>
          <cell r="AE86"/>
          <cell r="AF86"/>
        </row>
        <row r="87">
          <cell r="L87">
            <v>0</v>
          </cell>
          <cell r="AE87"/>
          <cell r="AF87"/>
        </row>
        <row r="88">
          <cell r="L88">
            <v>3.08044121603443E-2</v>
          </cell>
          <cell r="AE88">
            <v>2</v>
          </cell>
          <cell r="AF88"/>
        </row>
        <row r="89">
          <cell r="L89">
            <v>0.26948219912524102</v>
          </cell>
          <cell r="AE89">
            <v>5</v>
          </cell>
          <cell r="AF89"/>
        </row>
        <row r="90">
          <cell r="L90">
            <v>0.219906091423999</v>
          </cell>
          <cell r="AE90">
            <v>5</v>
          </cell>
          <cell r="AF90"/>
        </row>
        <row r="91">
          <cell r="L91">
            <v>3.0775625271071201E-2</v>
          </cell>
          <cell r="AE91">
            <v>4</v>
          </cell>
          <cell r="AF91"/>
        </row>
        <row r="92">
          <cell r="L92">
            <v>3.07798235324118E-2</v>
          </cell>
          <cell r="AE92">
            <v>3</v>
          </cell>
          <cell r="AF92"/>
        </row>
        <row r="93">
          <cell r="L93">
            <v>7.6912312127403501E-2</v>
          </cell>
          <cell r="AE93">
            <v>3</v>
          </cell>
          <cell r="AF93"/>
        </row>
        <row r="94">
          <cell r="L94">
            <v>3.0758270350637999E-2</v>
          </cell>
          <cell r="AE94">
            <v>2</v>
          </cell>
          <cell r="AF94"/>
        </row>
        <row r="95">
          <cell r="L95">
            <v>2.7935179791346701E-2</v>
          </cell>
          <cell r="AE95">
            <v>2</v>
          </cell>
          <cell r="AF95"/>
        </row>
        <row r="96">
          <cell r="L96">
            <v>1.53908464965573E-2</v>
          </cell>
          <cell r="AE96">
            <v>2</v>
          </cell>
          <cell r="AF96"/>
        </row>
        <row r="97">
          <cell r="L97">
            <v>0</v>
          </cell>
          <cell r="AE97">
            <v>1</v>
          </cell>
          <cell r="AF97"/>
        </row>
        <row r="98">
          <cell r="L98">
            <v>1.7327557480839698E-2</v>
          </cell>
          <cell r="AE98">
            <v>1</v>
          </cell>
          <cell r="AF98"/>
        </row>
        <row r="99">
          <cell r="L99">
            <v>2.5344655022116001E-2</v>
          </cell>
          <cell r="AE99">
            <v>1</v>
          </cell>
          <cell r="AF99"/>
        </row>
        <row r="100">
          <cell r="L100">
            <v>1.40064196089874E-2</v>
          </cell>
          <cell r="AE100">
            <v>5</v>
          </cell>
          <cell r="AF100"/>
        </row>
        <row r="101">
          <cell r="L101">
            <v>1.44230769230769E-2</v>
          </cell>
          <cell r="AE101">
            <v>1</v>
          </cell>
          <cell r="AF101"/>
        </row>
        <row r="102">
          <cell r="L102">
            <v>2.4544551175886001E-2</v>
          </cell>
          <cell r="AE102">
            <v>2</v>
          </cell>
          <cell r="AF102"/>
        </row>
        <row r="103">
          <cell r="L103">
            <v>3.0760059612518601E-2</v>
          </cell>
          <cell r="AE103">
            <v>2</v>
          </cell>
          <cell r="AF103"/>
        </row>
        <row r="104">
          <cell r="L104">
            <v>3.0816921954777501E-2</v>
          </cell>
          <cell r="AE104">
            <v>2</v>
          </cell>
          <cell r="AF104"/>
        </row>
        <row r="105">
          <cell r="L105">
            <v>3.0753695033507701E-2</v>
          </cell>
          <cell r="AE105"/>
          <cell r="AF105"/>
        </row>
        <row r="106">
          <cell r="L106">
            <v>3.0753695033507701E-2</v>
          </cell>
          <cell r="AE106">
            <v>4</v>
          </cell>
          <cell r="AF106"/>
        </row>
        <row r="107">
          <cell r="L107">
            <v>3.07719620084622E-2</v>
          </cell>
          <cell r="AE107"/>
          <cell r="AF107"/>
        </row>
        <row r="108">
          <cell r="L108">
            <v>3.07590174817437E-2</v>
          </cell>
          <cell r="AE108">
            <v>2</v>
          </cell>
          <cell r="AF108"/>
        </row>
        <row r="109">
          <cell r="L109">
            <v>0</v>
          </cell>
          <cell r="AE109">
            <v>1</v>
          </cell>
          <cell r="AF109"/>
        </row>
        <row r="110">
          <cell r="L110">
            <v>3.0753695033507701E-2</v>
          </cell>
          <cell r="AE110"/>
          <cell r="AF110"/>
        </row>
        <row r="111">
          <cell r="L111">
            <v>0.43844079004611503</v>
          </cell>
          <cell r="AE111">
            <v>1</v>
          </cell>
          <cell r="AF111"/>
        </row>
        <row r="112">
          <cell r="L112">
            <v>1.60960305551766E-2</v>
          </cell>
          <cell r="AE112">
            <v>3</v>
          </cell>
          <cell r="AF112"/>
        </row>
        <row r="113">
          <cell r="L113">
            <v>0</v>
          </cell>
          <cell r="AE113">
            <v>3</v>
          </cell>
          <cell r="AF113"/>
        </row>
        <row r="114">
          <cell r="L114">
            <v>3.0776092774308601E-2</v>
          </cell>
          <cell r="AE114">
            <v>3</v>
          </cell>
          <cell r="AF114"/>
        </row>
        <row r="115">
          <cell r="L115">
            <v>3.0709342560553601E-2</v>
          </cell>
          <cell r="AE115">
            <v>3</v>
          </cell>
          <cell r="AF115"/>
        </row>
        <row r="116">
          <cell r="L116">
            <v>1.3995424572735801E-2</v>
          </cell>
          <cell r="AE116">
            <v>1</v>
          </cell>
          <cell r="AF116"/>
        </row>
        <row r="117">
          <cell r="L117">
            <v>2.1206765968189802E-2</v>
          </cell>
          <cell r="AE117">
            <v>1</v>
          </cell>
          <cell r="AF117"/>
        </row>
        <row r="118">
          <cell r="L118">
            <v>7.0484581497797299E-3</v>
          </cell>
          <cell r="AE118"/>
          <cell r="AF118"/>
        </row>
        <row r="119">
          <cell r="L119">
            <v>3.7071362372567101E-3</v>
          </cell>
          <cell r="AE119"/>
          <cell r="AF119"/>
        </row>
        <row r="120">
          <cell r="L120">
            <v>1.28755364806866E-2</v>
          </cell>
          <cell r="AE120">
            <v>4</v>
          </cell>
          <cell r="AF120"/>
        </row>
        <row r="121">
          <cell r="L121">
            <v>6.3391442155309001E-3</v>
          </cell>
          <cell r="AE121"/>
          <cell r="AF121"/>
        </row>
        <row r="122">
          <cell r="L122">
            <v>0.42733802510338798</v>
          </cell>
          <cell r="AE122">
            <v>4</v>
          </cell>
          <cell r="AF122"/>
        </row>
        <row r="123">
          <cell r="L123">
            <v>0</v>
          </cell>
          <cell r="AE123">
            <v>9</v>
          </cell>
          <cell r="AF123"/>
        </row>
        <row r="124">
          <cell r="L124">
            <v>3.0780307803078E-2</v>
          </cell>
          <cell r="AE124">
            <v>2</v>
          </cell>
          <cell r="AF124"/>
        </row>
        <row r="125">
          <cell r="L125">
            <v>0.39565370684957801</v>
          </cell>
          <cell r="AE125">
            <v>2</v>
          </cell>
          <cell r="AF125"/>
        </row>
        <row r="126">
          <cell r="L126">
            <v>0</v>
          </cell>
          <cell r="AE126">
            <v>3</v>
          </cell>
          <cell r="AF126"/>
        </row>
        <row r="127">
          <cell r="L127">
            <v>0</v>
          </cell>
          <cell r="AE127"/>
          <cell r="AF127"/>
        </row>
        <row r="128">
          <cell r="L128">
            <v>0</v>
          </cell>
          <cell r="AE128"/>
          <cell r="AF128"/>
        </row>
        <row r="129">
          <cell r="L129">
            <v>0</v>
          </cell>
          <cell r="AE129"/>
          <cell r="AF129"/>
        </row>
        <row r="130">
          <cell r="L130">
            <v>0</v>
          </cell>
          <cell r="AE130">
            <v>12</v>
          </cell>
          <cell r="AF130"/>
        </row>
        <row r="131">
          <cell r="L131">
            <v>3.07863359276156E-2</v>
          </cell>
          <cell r="AE131">
            <v>2</v>
          </cell>
          <cell r="AF131"/>
        </row>
        <row r="132">
          <cell r="L132">
            <v>3.07884520994154E-2</v>
          </cell>
          <cell r="AE132">
            <v>2</v>
          </cell>
          <cell r="AF132"/>
        </row>
        <row r="133">
          <cell r="L133">
            <v>0</v>
          </cell>
          <cell r="AE133">
            <v>1</v>
          </cell>
          <cell r="AF133"/>
        </row>
        <row r="134">
          <cell r="L134">
            <v>0</v>
          </cell>
          <cell r="AE134"/>
          <cell r="AF134"/>
        </row>
        <row r="135">
          <cell r="L135">
            <v>0</v>
          </cell>
          <cell r="AE135"/>
          <cell r="AF135"/>
        </row>
        <row r="136">
          <cell r="L136">
            <v>0</v>
          </cell>
          <cell r="AE136">
            <v>1</v>
          </cell>
          <cell r="AF136"/>
        </row>
        <row r="137">
          <cell r="L137">
            <v>0</v>
          </cell>
          <cell r="AE137"/>
          <cell r="AF137"/>
        </row>
        <row r="138">
          <cell r="L138">
            <v>0</v>
          </cell>
          <cell r="AE138"/>
          <cell r="AF138"/>
        </row>
        <row r="139">
          <cell r="L139">
            <v>0</v>
          </cell>
          <cell r="AE139"/>
          <cell r="AF139"/>
        </row>
        <row r="140">
          <cell r="L140">
            <v>0</v>
          </cell>
          <cell r="AE140"/>
          <cell r="AF140"/>
        </row>
        <row r="141">
          <cell r="L141">
            <v>0</v>
          </cell>
          <cell r="AE141">
            <v>1</v>
          </cell>
          <cell r="AF141"/>
        </row>
        <row r="142">
          <cell r="L142">
            <v>3.0778951168878001E-2</v>
          </cell>
          <cell r="AE142"/>
          <cell r="AF142"/>
        </row>
        <row r="143">
          <cell r="L143">
            <v>3.0652603823335501E-2</v>
          </cell>
          <cell r="AE143"/>
          <cell r="AF143"/>
        </row>
        <row r="144">
          <cell r="L144">
            <v>3.0652603823335501E-2</v>
          </cell>
          <cell r="AE144"/>
          <cell r="AF144"/>
        </row>
        <row r="145">
          <cell r="L145">
            <v>0.326148452129566</v>
          </cell>
          <cell r="AE145">
            <v>5</v>
          </cell>
          <cell r="AF145"/>
        </row>
        <row r="146">
          <cell r="L146">
            <v>0.35385029134917001</v>
          </cell>
          <cell r="AE146">
            <v>3</v>
          </cell>
          <cell r="AF146"/>
        </row>
        <row r="147">
          <cell r="L147">
            <v>3.7056251389609398E-4</v>
          </cell>
          <cell r="AE147">
            <v>9</v>
          </cell>
          <cell r="AF147"/>
        </row>
        <row r="148">
          <cell r="L148">
            <v>1.506646971935E-2</v>
          </cell>
          <cell r="AE148">
            <v>3</v>
          </cell>
          <cell r="AF148"/>
        </row>
        <row r="149">
          <cell r="L149">
            <v>6.85898729070002E-3</v>
          </cell>
          <cell r="AE149">
            <v>3</v>
          </cell>
          <cell r="AF149"/>
        </row>
        <row r="150">
          <cell r="L150">
            <v>0.19230070158857099</v>
          </cell>
          <cell r="AE150">
            <v>3</v>
          </cell>
          <cell r="AF150"/>
        </row>
        <row r="151">
          <cell r="L151">
            <v>3.0815902921922399E-2</v>
          </cell>
          <cell r="AE151">
            <v>1</v>
          </cell>
          <cell r="AF151"/>
        </row>
        <row r="152">
          <cell r="L152">
            <v>3.0771551399049701E-2</v>
          </cell>
          <cell r="AE152">
            <v>5</v>
          </cell>
          <cell r="AF152"/>
        </row>
        <row r="153">
          <cell r="L153">
            <v>3.0779993004547E-2</v>
          </cell>
          <cell r="AE153">
            <v>2</v>
          </cell>
          <cell r="AF153"/>
        </row>
        <row r="154">
          <cell r="L154">
            <v>0.181738366988586</v>
          </cell>
          <cell r="AE154"/>
          <cell r="AF154"/>
        </row>
        <row r="155">
          <cell r="L155">
            <v>7.6861231709278E-2</v>
          </cell>
          <cell r="AE155"/>
          <cell r="AF155"/>
        </row>
        <row r="156">
          <cell r="L156">
            <v>0.22104818258664399</v>
          </cell>
          <cell r="AE156"/>
          <cell r="AF156"/>
        </row>
        <row r="157">
          <cell r="L157">
            <v>7.6861231709278E-2</v>
          </cell>
          <cell r="AE157"/>
          <cell r="AF157"/>
        </row>
        <row r="158">
          <cell r="L158">
            <v>7.6861231709278E-2</v>
          </cell>
          <cell r="AE158"/>
          <cell r="AF158"/>
        </row>
        <row r="159">
          <cell r="L159">
            <v>7.6861231709278E-2</v>
          </cell>
          <cell r="AE159"/>
          <cell r="AF159"/>
        </row>
        <row r="160">
          <cell r="L160">
            <v>0.216305732484076</v>
          </cell>
          <cell r="AE160">
            <v>1</v>
          </cell>
          <cell r="AF160"/>
        </row>
        <row r="161">
          <cell r="L161">
            <v>7.6861231709278E-2</v>
          </cell>
          <cell r="AE161"/>
          <cell r="AF161"/>
        </row>
        <row r="162">
          <cell r="L162">
            <v>7.6861231709278E-2</v>
          </cell>
          <cell r="AE162"/>
          <cell r="AF162"/>
        </row>
        <row r="163">
          <cell r="L163">
            <v>7.6861231709278E-2</v>
          </cell>
          <cell r="AE163"/>
          <cell r="AF163"/>
        </row>
        <row r="164">
          <cell r="L164">
            <v>0.17842024678014901</v>
          </cell>
          <cell r="AE164"/>
          <cell r="AF164"/>
        </row>
        <row r="165">
          <cell r="L165">
            <v>7.6861231709278E-2</v>
          </cell>
          <cell r="AE165"/>
          <cell r="AF165"/>
        </row>
        <row r="166">
          <cell r="L166">
            <v>3.0776401009273001E-2</v>
          </cell>
          <cell r="AE166">
            <v>7</v>
          </cell>
          <cell r="AF166"/>
        </row>
        <row r="167">
          <cell r="L167">
            <v>3.0765111054910001E-2</v>
          </cell>
          <cell r="AE167">
            <v>5</v>
          </cell>
          <cell r="AF167"/>
        </row>
        <row r="168">
          <cell r="L168">
            <v>3.0761615161586799E-2</v>
          </cell>
          <cell r="AE168">
            <v>2</v>
          </cell>
          <cell r="AF168"/>
        </row>
        <row r="169">
          <cell r="L169">
            <v>3.0859217426381601E-2</v>
          </cell>
          <cell r="AE169">
            <v>1</v>
          </cell>
          <cell r="AF169"/>
        </row>
        <row r="170">
          <cell r="L170">
            <v>3.0783679432328001E-2</v>
          </cell>
          <cell r="AE170">
            <v>4</v>
          </cell>
          <cell r="AF170"/>
        </row>
        <row r="171">
          <cell r="L171">
            <v>3.0815902921922399E-2</v>
          </cell>
          <cell r="AE171"/>
          <cell r="AF171"/>
        </row>
        <row r="172">
          <cell r="L172">
            <v>1.0287443267776E-2</v>
          </cell>
          <cell r="AE172">
            <v>2</v>
          </cell>
          <cell r="AF172"/>
        </row>
        <row r="173">
          <cell r="L173">
            <v>0.23338436025003101</v>
          </cell>
          <cell r="AE173">
            <v>3</v>
          </cell>
          <cell r="AF173"/>
        </row>
        <row r="174">
          <cell r="L174">
            <v>3.0779436152570401E-2</v>
          </cell>
          <cell r="AE174">
            <v>7</v>
          </cell>
          <cell r="AF174"/>
        </row>
        <row r="175">
          <cell r="L175">
            <v>3.0791863237457501E-2</v>
          </cell>
          <cell r="AE175">
            <v>7</v>
          </cell>
          <cell r="AF175"/>
        </row>
        <row r="176">
          <cell r="L176">
            <v>0</v>
          </cell>
          <cell r="AE176"/>
          <cell r="AF176"/>
        </row>
        <row r="177">
          <cell r="L177">
            <v>0</v>
          </cell>
          <cell r="AE177">
            <v>1</v>
          </cell>
          <cell r="AF177"/>
        </row>
        <row r="178">
          <cell r="L178">
            <v>0</v>
          </cell>
          <cell r="AE178"/>
          <cell r="AF178"/>
        </row>
        <row r="179">
          <cell r="L179">
            <v>0</v>
          </cell>
          <cell r="AE179">
            <v>2</v>
          </cell>
          <cell r="AF179"/>
        </row>
        <row r="180">
          <cell r="L180">
            <v>0</v>
          </cell>
          <cell r="AE180">
            <v>1</v>
          </cell>
          <cell r="AF180"/>
        </row>
        <row r="181">
          <cell r="L181">
            <v>1.16475671613751E-2</v>
          </cell>
          <cell r="AE181">
            <v>3</v>
          </cell>
          <cell r="AF181"/>
        </row>
        <row r="182">
          <cell r="L182">
            <v>0</v>
          </cell>
          <cell r="AE182">
            <v>1</v>
          </cell>
          <cell r="AF182"/>
        </row>
        <row r="183">
          <cell r="L183">
            <v>0</v>
          </cell>
          <cell r="AE183">
            <v>2</v>
          </cell>
          <cell r="AF183"/>
        </row>
        <row r="184">
          <cell r="L184">
            <v>3.0757487315342801E-2</v>
          </cell>
          <cell r="AE184">
            <v>2</v>
          </cell>
          <cell r="AF184"/>
        </row>
        <row r="185">
          <cell r="L185">
            <v>3.07678205872467E-2</v>
          </cell>
          <cell r="AE185">
            <v>3</v>
          </cell>
          <cell r="AF185"/>
        </row>
        <row r="186">
          <cell r="L186">
            <v>0</v>
          </cell>
          <cell r="AE186">
            <v>2</v>
          </cell>
          <cell r="AF186"/>
        </row>
        <row r="187">
          <cell r="L187">
            <v>0</v>
          </cell>
          <cell r="AE187">
            <v>2</v>
          </cell>
          <cell r="AF187"/>
        </row>
        <row r="188">
          <cell r="L188">
            <v>0</v>
          </cell>
          <cell r="AE188"/>
          <cell r="AF188"/>
        </row>
        <row r="189">
          <cell r="L189">
            <v>3.0784952417449E-2</v>
          </cell>
          <cell r="AE189">
            <v>3</v>
          </cell>
          <cell r="AF189"/>
        </row>
        <row r="190">
          <cell r="L190">
            <v>3.0758370310609101E-2</v>
          </cell>
          <cell r="AE190">
            <v>2</v>
          </cell>
          <cell r="AF190"/>
        </row>
        <row r="191">
          <cell r="L191">
            <v>0</v>
          </cell>
          <cell r="AE191"/>
          <cell r="AF191"/>
        </row>
        <row r="192">
          <cell r="L192">
            <v>0</v>
          </cell>
          <cell r="AE192"/>
          <cell r="AF192"/>
        </row>
        <row r="193">
          <cell r="L193">
            <v>0</v>
          </cell>
          <cell r="AE193"/>
          <cell r="AF193"/>
        </row>
        <row r="194">
          <cell r="L194">
            <v>0</v>
          </cell>
          <cell r="AE194"/>
          <cell r="AF194"/>
        </row>
        <row r="195">
          <cell r="L195">
            <v>0</v>
          </cell>
          <cell r="AE195"/>
          <cell r="AF195"/>
        </row>
        <row r="196">
          <cell r="L196">
            <v>0</v>
          </cell>
          <cell r="AE196"/>
          <cell r="AF196"/>
        </row>
        <row r="197">
          <cell r="L197">
            <v>0</v>
          </cell>
          <cell r="AE197"/>
          <cell r="AF197"/>
        </row>
        <row r="198">
          <cell r="L198">
            <v>0</v>
          </cell>
          <cell r="AE198"/>
          <cell r="AF198"/>
        </row>
        <row r="199">
          <cell r="L199">
            <v>0</v>
          </cell>
          <cell r="AE199"/>
          <cell r="AF199"/>
        </row>
        <row r="200">
          <cell r="L200">
            <v>0</v>
          </cell>
          <cell r="AE200"/>
          <cell r="AF200"/>
        </row>
        <row r="201">
          <cell r="L201">
            <v>0</v>
          </cell>
          <cell r="AE201"/>
          <cell r="AF201"/>
        </row>
        <row r="202">
          <cell r="L202">
            <v>0</v>
          </cell>
          <cell r="AE202"/>
          <cell r="AF202"/>
        </row>
        <row r="203">
          <cell r="L203">
            <v>0</v>
          </cell>
          <cell r="AE203"/>
          <cell r="AF203"/>
        </row>
        <row r="204">
          <cell r="L204">
            <v>0</v>
          </cell>
          <cell r="AE204"/>
          <cell r="AF204"/>
        </row>
        <row r="205">
          <cell r="L205">
            <v>0</v>
          </cell>
          <cell r="AE205"/>
          <cell r="AF205"/>
        </row>
        <row r="206">
          <cell r="L206">
            <v>0</v>
          </cell>
          <cell r="AE206">
            <v>2</v>
          </cell>
          <cell r="AF206"/>
        </row>
        <row r="207">
          <cell r="L207">
            <v>0</v>
          </cell>
          <cell r="AE207">
            <v>2</v>
          </cell>
          <cell r="AF207"/>
        </row>
        <row r="208">
          <cell r="L208">
            <v>0</v>
          </cell>
          <cell r="AE208"/>
          <cell r="AF208"/>
        </row>
        <row r="209">
          <cell r="L209">
            <v>1.1853068888628001E-2</v>
          </cell>
          <cell r="AE209">
            <v>1</v>
          </cell>
          <cell r="AF209"/>
        </row>
        <row r="210">
          <cell r="L210">
            <v>1.1853068888628001E-2</v>
          </cell>
          <cell r="AE210">
            <v>1</v>
          </cell>
          <cell r="AF210"/>
        </row>
        <row r="211">
          <cell r="L211">
            <v>1.1483253588516699E-2</v>
          </cell>
          <cell r="AE211">
            <v>1</v>
          </cell>
          <cell r="AF211"/>
        </row>
        <row r="212">
          <cell r="L212">
            <v>0</v>
          </cell>
          <cell r="AE212"/>
          <cell r="AF212"/>
        </row>
        <row r="213">
          <cell r="L213">
            <v>0</v>
          </cell>
          <cell r="AE213"/>
          <cell r="AF213"/>
        </row>
        <row r="214">
          <cell r="L214">
            <v>0</v>
          </cell>
          <cell r="AE214"/>
          <cell r="AF214"/>
        </row>
        <row r="215">
          <cell r="L215">
            <v>0</v>
          </cell>
          <cell r="AE215"/>
          <cell r="AF215"/>
        </row>
        <row r="216">
          <cell r="L216">
            <v>0</v>
          </cell>
          <cell r="AE216"/>
          <cell r="AF216"/>
        </row>
        <row r="217">
          <cell r="L217">
            <v>0</v>
          </cell>
          <cell r="AE217"/>
          <cell r="AF217"/>
        </row>
        <row r="218">
          <cell r="L218">
            <v>0</v>
          </cell>
          <cell r="AE218"/>
          <cell r="AF218"/>
        </row>
        <row r="219">
          <cell r="L219"/>
          <cell r="AE219"/>
          <cell r="AF219"/>
        </row>
        <row r="220">
          <cell r="L220"/>
          <cell r="AE220"/>
          <cell r="AF220"/>
        </row>
        <row r="221">
          <cell r="L221">
            <v>0.46923828125</v>
          </cell>
          <cell r="AE221">
            <v>4</v>
          </cell>
          <cell r="AF221"/>
        </row>
        <row r="222">
          <cell r="L222">
            <v>0.36722918116446301</v>
          </cell>
          <cell r="AE222">
            <v>3</v>
          </cell>
          <cell r="AF222"/>
        </row>
        <row r="223">
          <cell r="L223">
            <v>0.504861933553574</v>
          </cell>
          <cell r="AE223">
            <v>2</v>
          </cell>
          <cell r="AF223"/>
        </row>
        <row r="224">
          <cell r="L224">
            <v>3.0827474310437999E-2</v>
          </cell>
          <cell r="AE224">
            <v>3</v>
          </cell>
          <cell r="AF224"/>
        </row>
        <row r="225">
          <cell r="L225">
            <v>0</v>
          </cell>
          <cell r="AE225"/>
          <cell r="AF225"/>
        </row>
        <row r="226">
          <cell r="L226">
            <v>0</v>
          </cell>
          <cell r="AE226">
            <v>3</v>
          </cell>
          <cell r="AF226"/>
        </row>
        <row r="227">
          <cell r="L227">
            <v>0</v>
          </cell>
          <cell r="AE227">
            <v>3</v>
          </cell>
          <cell r="AF227"/>
        </row>
        <row r="228">
          <cell r="L228">
            <v>0</v>
          </cell>
          <cell r="AE228">
            <v>5</v>
          </cell>
          <cell r="AF228"/>
        </row>
        <row r="229">
          <cell r="L229"/>
          <cell r="AE229"/>
          <cell r="AF229"/>
        </row>
        <row r="230">
          <cell r="L230">
            <v>0</v>
          </cell>
          <cell r="AE230"/>
          <cell r="AF230"/>
        </row>
        <row r="231">
          <cell r="L231">
            <v>0</v>
          </cell>
          <cell r="AE231">
            <v>3</v>
          </cell>
          <cell r="AF231"/>
        </row>
        <row r="232">
          <cell r="L232">
            <v>0</v>
          </cell>
          <cell r="AE232"/>
          <cell r="AF232"/>
        </row>
        <row r="233">
          <cell r="L233">
            <v>0</v>
          </cell>
          <cell r="AE233">
            <v>4</v>
          </cell>
          <cell r="AF233"/>
        </row>
        <row r="234">
          <cell r="L234">
            <v>0</v>
          </cell>
          <cell r="AE234">
            <v>4</v>
          </cell>
          <cell r="AF234"/>
        </row>
        <row r="235">
          <cell r="L235"/>
          <cell r="AE235"/>
          <cell r="AF235"/>
        </row>
        <row r="236">
          <cell r="L236">
            <v>0</v>
          </cell>
          <cell r="AE236"/>
          <cell r="AF236"/>
        </row>
        <row r="237">
          <cell r="L237">
            <v>0</v>
          </cell>
          <cell r="AE237">
            <v>2</v>
          </cell>
          <cell r="AF237"/>
        </row>
        <row r="238">
          <cell r="L238">
            <v>0</v>
          </cell>
          <cell r="AE238">
            <v>3</v>
          </cell>
          <cell r="AF238"/>
        </row>
        <row r="239">
          <cell r="L239"/>
          <cell r="AE239"/>
          <cell r="AF239"/>
        </row>
        <row r="240">
          <cell r="L240"/>
          <cell r="AE240"/>
          <cell r="AF240"/>
        </row>
        <row r="241">
          <cell r="L241">
            <v>0</v>
          </cell>
          <cell r="AE241">
            <v>5</v>
          </cell>
          <cell r="AF241"/>
        </row>
        <row r="242">
          <cell r="L242">
            <v>0</v>
          </cell>
          <cell r="AE242">
            <v>2</v>
          </cell>
          <cell r="AF242"/>
        </row>
        <row r="243">
          <cell r="L243">
            <v>0</v>
          </cell>
          <cell r="AE243">
            <v>2</v>
          </cell>
          <cell r="AF243"/>
        </row>
        <row r="244">
          <cell r="L244">
            <v>0</v>
          </cell>
          <cell r="AE244">
            <v>1</v>
          </cell>
          <cell r="AF244"/>
        </row>
        <row r="245">
          <cell r="L245">
            <v>0</v>
          </cell>
          <cell r="AE245">
            <v>1</v>
          </cell>
          <cell r="AF245"/>
        </row>
        <row r="246">
          <cell r="L246">
            <v>0</v>
          </cell>
          <cell r="AE246">
            <v>1</v>
          </cell>
          <cell r="AF246"/>
        </row>
        <row r="247">
          <cell r="L247">
            <v>0</v>
          </cell>
          <cell r="AE247">
            <v>3</v>
          </cell>
          <cell r="AF247"/>
        </row>
        <row r="248">
          <cell r="L248">
            <v>0</v>
          </cell>
          <cell r="AE248">
            <v>4</v>
          </cell>
          <cell r="AF248"/>
        </row>
        <row r="249">
          <cell r="L249">
            <v>0</v>
          </cell>
          <cell r="AE249"/>
          <cell r="AF249"/>
        </row>
        <row r="250">
          <cell r="L250">
            <v>0</v>
          </cell>
          <cell r="AE250"/>
          <cell r="AF250"/>
        </row>
        <row r="251">
          <cell r="L251">
            <v>0</v>
          </cell>
          <cell r="AE251"/>
          <cell r="AF251"/>
        </row>
        <row r="252">
          <cell r="L252">
            <v>1.46995023605971E-2</v>
          </cell>
          <cell r="AE252">
            <v>4</v>
          </cell>
          <cell r="AF252"/>
        </row>
        <row r="253">
          <cell r="L253">
            <v>1.55685400169139E-2</v>
          </cell>
          <cell r="AE253">
            <v>3</v>
          </cell>
          <cell r="AF253"/>
        </row>
        <row r="254">
          <cell r="L254">
            <v>1.6212390545789698E-2</v>
          </cell>
          <cell r="AE254">
            <v>1</v>
          </cell>
          <cell r="AF254"/>
        </row>
        <row r="255">
          <cell r="L255"/>
          <cell r="AE255"/>
          <cell r="AF255"/>
        </row>
        <row r="256">
          <cell r="L256">
            <v>3.0765809177848599E-2</v>
          </cell>
          <cell r="AE256"/>
          <cell r="AF256"/>
        </row>
        <row r="257">
          <cell r="L257"/>
          <cell r="AE257"/>
          <cell r="AF257"/>
        </row>
        <row r="258">
          <cell r="L258">
            <v>0</v>
          </cell>
          <cell r="AE258">
            <v>2</v>
          </cell>
          <cell r="AF258"/>
        </row>
        <row r="259">
          <cell r="L259">
            <v>0.307690587972278</v>
          </cell>
          <cell r="AE259">
            <v>2</v>
          </cell>
          <cell r="AF259"/>
        </row>
        <row r="260">
          <cell r="L260">
            <v>0.30772679719025497</v>
          </cell>
          <cell r="AE260">
            <v>1</v>
          </cell>
          <cell r="AF260"/>
        </row>
        <row r="261">
          <cell r="L261">
            <v>0.224614352783366</v>
          </cell>
          <cell r="AE261">
            <v>3</v>
          </cell>
          <cell r="AF261"/>
        </row>
        <row r="262">
          <cell r="L262">
            <v>0.43076235188911199</v>
          </cell>
          <cell r="AE262">
            <v>3</v>
          </cell>
          <cell r="AF262"/>
        </row>
        <row r="263">
          <cell r="L263">
            <v>0.30614704700682999</v>
          </cell>
          <cell r="AE263"/>
          <cell r="AF263"/>
        </row>
        <row r="264">
          <cell r="L264">
            <v>3.0724517334440499E-2</v>
          </cell>
          <cell r="AE264"/>
          <cell r="AF264"/>
        </row>
        <row r="265">
          <cell r="L265">
            <v>9.0206945345203699E-3</v>
          </cell>
          <cell r="AE265">
            <v>2</v>
          </cell>
          <cell r="AF265"/>
        </row>
        <row r="266">
          <cell r="L266">
            <v>0.36746987951807197</v>
          </cell>
          <cell r="AE266">
            <v>1</v>
          </cell>
          <cell r="AF266"/>
        </row>
        <row r="267">
          <cell r="L267">
            <v>4.2372881355932203E-3</v>
          </cell>
          <cell r="AE267"/>
          <cell r="AF267"/>
        </row>
        <row r="268">
          <cell r="L268">
            <v>3.0787166976121501E-2</v>
          </cell>
          <cell r="AE268">
            <v>1</v>
          </cell>
          <cell r="AF268"/>
        </row>
        <row r="269">
          <cell r="L269">
            <v>3.0729833546734898E-2</v>
          </cell>
          <cell r="AE269">
            <v>1</v>
          </cell>
          <cell r="AF269"/>
        </row>
        <row r="270">
          <cell r="L270">
            <v>0.189803535327354</v>
          </cell>
          <cell r="AE270">
            <v>1</v>
          </cell>
          <cell r="AF270"/>
        </row>
        <row r="271">
          <cell r="L271">
            <v>0</v>
          </cell>
          <cell r="AE271"/>
          <cell r="AF271"/>
        </row>
        <row r="272">
          <cell r="L272">
            <v>3.0763528539659E-2</v>
          </cell>
          <cell r="AE272">
            <v>2</v>
          </cell>
          <cell r="AF272"/>
        </row>
        <row r="273">
          <cell r="L273">
            <v>0</v>
          </cell>
          <cell r="AE273"/>
          <cell r="AF273"/>
        </row>
        <row r="274">
          <cell r="L274">
            <v>0</v>
          </cell>
          <cell r="AE274"/>
          <cell r="AF274"/>
        </row>
        <row r="275">
          <cell r="L275">
            <v>0</v>
          </cell>
          <cell r="AE275"/>
          <cell r="AF275"/>
        </row>
        <row r="276">
          <cell r="L276">
            <v>3.09119010819165E-2</v>
          </cell>
          <cell r="AE276">
            <v>2</v>
          </cell>
          <cell r="AF276"/>
        </row>
        <row r="277">
          <cell r="L277">
            <v>0</v>
          </cell>
          <cell r="AE277"/>
          <cell r="AF277"/>
        </row>
        <row r="278">
          <cell r="L278">
            <v>0</v>
          </cell>
          <cell r="AE278"/>
          <cell r="AF278"/>
        </row>
        <row r="279">
          <cell r="L279">
            <v>7.6831588962892397E-2</v>
          </cell>
          <cell r="AE279">
            <v>2</v>
          </cell>
          <cell r="AF279"/>
        </row>
        <row r="280">
          <cell r="L280">
            <v>0</v>
          </cell>
          <cell r="AE280">
            <v>1</v>
          </cell>
          <cell r="AF280"/>
        </row>
        <row r="281">
          <cell r="L281">
            <v>0</v>
          </cell>
          <cell r="AE281"/>
          <cell r="AF281"/>
        </row>
        <row r="282">
          <cell r="L282">
            <v>0</v>
          </cell>
          <cell r="AE282"/>
          <cell r="AF282"/>
        </row>
        <row r="283">
          <cell r="L283">
            <v>0</v>
          </cell>
          <cell r="AE283"/>
          <cell r="AF283"/>
        </row>
        <row r="284">
          <cell r="L284">
            <v>2.0364963503649601E-2</v>
          </cell>
          <cell r="AE284">
            <v>3</v>
          </cell>
          <cell r="AF284"/>
        </row>
        <row r="285">
          <cell r="L285">
            <v>0</v>
          </cell>
          <cell r="AE285"/>
          <cell r="AF285"/>
        </row>
        <row r="286">
          <cell r="L286">
            <v>0</v>
          </cell>
          <cell r="AE286"/>
          <cell r="AF286"/>
        </row>
        <row r="287">
          <cell r="L287">
            <v>0</v>
          </cell>
          <cell r="AE287"/>
          <cell r="AF287"/>
        </row>
        <row r="288">
          <cell r="L288">
            <v>0</v>
          </cell>
          <cell r="AE288"/>
          <cell r="AF288"/>
        </row>
        <row r="289">
          <cell r="L289">
            <v>0</v>
          </cell>
          <cell r="AE289"/>
          <cell r="AF289"/>
        </row>
        <row r="290">
          <cell r="L290">
            <v>0</v>
          </cell>
          <cell r="AE290"/>
          <cell r="AF290"/>
        </row>
        <row r="291">
          <cell r="L291">
            <v>0</v>
          </cell>
          <cell r="AE291"/>
          <cell r="AF291"/>
        </row>
        <row r="292">
          <cell r="L292">
            <v>0</v>
          </cell>
          <cell r="AE292"/>
          <cell r="AF292"/>
        </row>
        <row r="293">
          <cell r="L293">
            <v>0</v>
          </cell>
          <cell r="AE293"/>
          <cell r="AF293"/>
        </row>
        <row r="294">
          <cell r="L294">
            <v>0</v>
          </cell>
          <cell r="AE294">
            <v>2</v>
          </cell>
          <cell r="AF294"/>
        </row>
        <row r="295">
          <cell r="L295">
            <v>0.46148914735781599</v>
          </cell>
          <cell r="AE295">
            <v>2</v>
          </cell>
          <cell r="AF295"/>
        </row>
        <row r="296">
          <cell r="L296">
            <v>0</v>
          </cell>
          <cell r="AE296"/>
          <cell r="AF296"/>
        </row>
        <row r="297">
          <cell r="L297">
            <v>0</v>
          </cell>
          <cell r="AE297"/>
          <cell r="AF297"/>
        </row>
        <row r="298">
          <cell r="L298">
            <v>0</v>
          </cell>
          <cell r="AE298">
            <v>2</v>
          </cell>
          <cell r="AF298"/>
        </row>
        <row r="299">
          <cell r="L299">
            <v>0</v>
          </cell>
          <cell r="AE299">
            <v>1</v>
          </cell>
          <cell r="AF299"/>
        </row>
        <row r="300">
          <cell r="L300">
            <v>0</v>
          </cell>
          <cell r="AE300"/>
          <cell r="AF300"/>
        </row>
        <row r="301">
          <cell r="L301">
            <v>0</v>
          </cell>
          <cell r="AE301"/>
          <cell r="AF301"/>
        </row>
        <row r="302">
          <cell r="L302">
            <v>0</v>
          </cell>
          <cell r="AE302">
            <v>3</v>
          </cell>
          <cell r="AF302"/>
        </row>
        <row r="303">
          <cell r="L303">
            <v>0</v>
          </cell>
          <cell r="AE303"/>
          <cell r="AF303"/>
        </row>
        <row r="304">
          <cell r="L304">
            <v>0</v>
          </cell>
          <cell r="AE304"/>
          <cell r="AF304"/>
        </row>
        <row r="305">
          <cell r="L305">
            <v>0</v>
          </cell>
          <cell r="AE305">
            <v>3</v>
          </cell>
          <cell r="AF305"/>
        </row>
        <row r="306">
          <cell r="L306">
            <v>0</v>
          </cell>
          <cell r="AE306"/>
          <cell r="AF306"/>
        </row>
        <row r="307">
          <cell r="L307">
            <v>0</v>
          </cell>
          <cell r="AE307">
            <v>1</v>
          </cell>
          <cell r="AF307"/>
        </row>
        <row r="308">
          <cell r="L308">
            <v>0</v>
          </cell>
          <cell r="AE308">
            <v>1</v>
          </cell>
          <cell r="AF308"/>
        </row>
        <row r="309">
          <cell r="L309">
            <v>0</v>
          </cell>
          <cell r="AE309">
            <v>4</v>
          </cell>
          <cell r="AF309"/>
        </row>
        <row r="310">
          <cell r="L310">
            <v>0</v>
          </cell>
          <cell r="AE310"/>
          <cell r="AF310"/>
        </row>
        <row r="311">
          <cell r="L311">
            <v>0</v>
          </cell>
          <cell r="AE311">
            <v>3</v>
          </cell>
          <cell r="AF311"/>
        </row>
        <row r="312">
          <cell r="L312">
            <v>0</v>
          </cell>
          <cell r="AE312">
            <v>3</v>
          </cell>
          <cell r="AF312"/>
        </row>
        <row r="313">
          <cell r="L313">
            <v>0</v>
          </cell>
          <cell r="AE313">
            <v>4</v>
          </cell>
          <cell r="AF313"/>
        </row>
        <row r="314">
          <cell r="L314">
            <v>0</v>
          </cell>
          <cell r="AE314"/>
          <cell r="AF314"/>
        </row>
        <row r="315">
          <cell r="L315">
            <v>0</v>
          </cell>
          <cell r="AE315">
            <v>5</v>
          </cell>
          <cell r="AF315"/>
        </row>
        <row r="316">
          <cell r="L316">
            <v>0</v>
          </cell>
          <cell r="AE316">
            <v>2</v>
          </cell>
          <cell r="AF316"/>
        </row>
        <row r="317">
          <cell r="L317">
            <v>0</v>
          </cell>
          <cell r="AE317">
            <v>1</v>
          </cell>
          <cell r="AF317"/>
        </row>
        <row r="318">
          <cell r="L318">
            <v>0</v>
          </cell>
          <cell r="AE318">
            <v>1</v>
          </cell>
          <cell r="AF318"/>
        </row>
        <row r="319">
          <cell r="L319">
            <v>0</v>
          </cell>
          <cell r="AE319"/>
          <cell r="AF319"/>
        </row>
        <row r="320">
          <cell r="L320">
            <v>0</v>
          </cell>
          <cell r="AE320">
            <v>1</v>
          </cell>
          <cell r="AF320"/>
        </row>
        <row r="321">
          <cell r="L321">
            <v>0</v>
          </cell>
          <cell r="AE321">
            <v>1</v>
          </cell>
          <cell r="AF321"/>
        </row>
        <row r="322">
          <cell r="L322">
            <v>0</v>
          </cell>
          <cell r="AE322">
            <v>2</v>
          </cell>
          <cell r="AF322"/>
        </row>
        <row r="323">
          <cell r="L323">
            <v>0</v>
          </cell>
          <cell r="AE323">
            <v>2</v>
          </cell>
          <cell r="AF323"/>
        </row>
        <row r="324">
          <cell r="L324">
            <v>0</v>
          </cell>
          <cell r="AE324"/>
          <cell r="AF324"/>
        </row>
        <row r="325">
          <cell r="L325">
            <v>0</v>
          </cell>
          <cell r="AE325">
            <v>1</v>
          </cell>
          <cell r="AF325"/>
        </row>
        <row r="326">
          <cell r="L326">
            <v>0</v>
          </cell>
          <cell r="AE326">
            <v>3</v>
          </cell>
          <cell r="AF326"/>
        </row>
        <row r="327">
          <cell r="L327">
            <v>0</v>
          </cell>
          <cell r="AE327"/>
          <cell r="AF327"/>
        </row>
        <row r="328">
          <cell r="L328">
            <v>0</v>
          </cell>
          <cell r="AE328"/>
          <cell r="AF328"/>
        </row>
        <row r="329">
          <cell r="L329">
            <v>0</v>
          </cell>
          <cell r="AE329">
            <v>2</v>
          </cell>
          <cell r="AF329"/>
        </row>
        <row r="330">
          <cell r="L330">
            <v>0</v>
          </cell>
          <cell r="AE330">
            <v>1</v>
          </cell>
          <cell r="AF330"/>
        </row>
        <row r="331">
          <cell r="L331">
            <v>0</v>
          </cell>
          <cell r="AE331"/>
          <cell r="AF331"/>
        </row>
        <row r="332">
          <cell r="L332">
            <v>0</v>
          </cell>
          <cell r="AE332">
            <v>4</v>
          </cell>
          <cell r="AF332"/>
        </row>
        <row r="333">
          <cell r="L333">
            <v>0</v>
          </cell>
          <cell r="AE333">
            <v>1</v>
          </cell>
          <cell r="AF333"/>
        </row>
        <row r="334">
          <cell r="L334">
            <v>0</v>
          </cell>
          <cell r="AE334"/>
          <cell r="AF334"/>
        </row>
        <row r="335">
          <cell r="L335">
            <v>0</v>
          </cell>
          <cell r="AE335">
            <v>2</v>
          </cell>
          <cell r="AF335"/>
        </row>
        <row r="336">
          <cell r="L336">
            <v>0</v>
          </cell>
          <cell r="AE336"/>
          <cell r="AF336"/>
        </row>
        <row r="337">
          <cell r="L337">
            <v>0</v>
          </cell>
          <cell r="AE337"/>
          <cell r="AF337"/>
        </row>
        <row r="338">
          <cell r="L338">
            <v>0</v>
          </cell>
          <cell r="AE338">
            <v>2</v>
          </cell>
          <cell r="AF338"/>
        </row>
        <row r="339">
          <cell r="L339">
            <v>0</v>
          </cell>
          <cell r="AE339"/>
          <cell r="AF339"/>
        </row>
        <row r="340">
          <cell r="L340">
            <v>0</v>
          </cell>
          <cell r="AE340"/>
          <cell r="AF340"/>
        </row>
        <row r="341">
          <cell r="L341">
            <v>0</v>
          </cell>
          <cell r="AE341"/>
          <cell r="AF341"/>
        </row>
        <row r="342">
          <cell r="L342">
            <v>0</v>
          </cell>
          <cell r="AE342"/>
          <cell r="AF342"/>
        </row>
        <row r="343">
          <cell r="L343">
            <v>3.0736618971912998E-2</v>
          </cell>
          <cell r="AE343"/>
          <cell r="AF343"/>
        </row>
        <row r="344">
          <cell r="L344">
            <v>0</v>
          </cell>
          <cell r="AE344">
            <v>1</v>
          </cell>
          <cell r="AF344"/>
        </row>
        <row r="345">
          <cell r="L345">
            <v>0</v>
          </cell>
          <cell r="AE345"/>
          <cell r="AF345"/>
        </row>
        <row r="346">
          <cell r="L346">
            <v>0</v>
          </cell>
          <cell r="AE346">
            <v>3</v>
          </cell>
          <cell r="AF346"/>
        </row>
        <row r="347">
          <cell r="L347">
            <v>0</v>
          </cell>
          <cell r="AE347">
            <v>3</v>
          </cell>
          <cell r="AF347"/>
        </row>
        <row r="348">
          <cell r="L348">
            <v>0</v>
          </cell>
          <cell r="AE348">
            <v>1</v>
          </cell>
          <cell r="AF348"/>
        </row>
        <row r="349">
          <cell r="L349">
            <v>1.2652705061082001E-2</v>
          </cell>
          <cell r="AE349">
            <v>1</v>
          </cell>
          <cell r="AF349"/>
        </row>
        <row r="350">
          <cell r="L350">
            <v>0</v>
          </cell>
          <cell r="AE350">
            <v>1</v>
          </cell>
          <cell r="AF350"/>
        </row>
        <row r="351">
          <cell r="L351">
            <v>0</v>
          </cell>
          <cell r="AE351">
            <v>3</v>
          </cell>
          <cell r="AF351"/>
        </row>
        <row r="352">
          <cell r="L352">
            <v>0</v>
          </cell>
          <cell r="AE352">
            <v>1</v>
          </cell>
          <cell r="AF352"/>
        </row>
        <row r="353">
          <cell r="L353">
            <v>0</v>
          </cell>
          <cell r="AE353">
            <v>1</v>
          </cell>
          <cell r="AF353"/>
        </row>
        <row r="354">
          <cell r="L354">
            <v>0</v>
          </cell>
          <cell r="AE354"/>
          <cell r="AF354"/>
        </row>
        <row r="355">
          <cell r="L355">
            <v>0</v>
          </cell>
          <cell r="AE355"/>
          <cell r="AF355"/>
        </row>
        <row r="356">
          <cell r="L356">
            <v>0</v>
          </cell>
          <cell r="AE356"/>
          <cell r="AF356"/>
        </row>
        <row r="357">
          <cell r="L357">
            <v>0</v>
          </cell>
          <cell r="AE357"/>
          <cell r="AF357"/>
        </row>
        <row r="358">
          <cell r="L358">
            <v>0</v>
          </cell>
          <cell r="AE358"/>
          <cell r="AF358"/>
        </row>
        <row r="359">
          <cell r="L359">
            <v>0</v>
          </cell>
          <cell r="AE359"/>
          <cell r="AF359"/>
        </row>
        <row r="360">
          <cell r="L360">
            <v>0</v>
          </cell>
          <cell r="AE360"/>
          <cell r="AF360"/>
        </row>
        <row r="361">
          <cell r="L361">
            <v>2.65664160401002E-2</v>
          </cell>
          <cell r="AE361">
            <v>4</v>
          </cell>
          <cell r="AF361"/>
        </row>
        <row r="362">
          <cell r="L362">
            <v>0</v>
          </cell>
          <cell r="AE362"/>
          <cell r="AF362"/>
        </row>
        <row r="363">
          <cell r="L363">
            <v>0</v>
          </cell>
          <cell r="AE363"/>
          <cell r="AF363"/>
        </row>
        <row r="364">
          <cell r="L364">
            <v>0</v>
          </cell>
          <cell r="AE364">
            <v>1</v>
          </cell>
          <cell r="AF364"/>
        </row>
        <row r="365">
          <cell r="L365">
            <v>0</v>
          </cell>
          <cell r="AE365">
            <v>1</v>
          </cell>
          <cell r="AF365"/>
        </row>
        <row r="366">
          <cell r="L366">
            <v>0</v>
          </cell>
          <cell r="AE366">
            <v>1</v>
          </cell>
          <cell r="AF366"/>
        </row>
        <row r="367">
          <cell r="L367">
            <v>0</v>
          </cell>
          <cell r="AE367">
            <v>3</v>
          </cell>
          <cell r="AF367"/>
        </row>
        <row r="368">
          <cell r="L368">
            <v>1.28284389489953E-2</v>
          </cell>
          <cell r="AE368">
            <v>4</v>
          </cell>
          <cell r="AF368"/>
        </row>
        <row r="369">
          <cell r="L369">
            <v>0</v>
          </cell>
          <cell r="AE369">
            <v>2</v>
          </cell>
          <cell r="AF369"/>
        </row>
        <row r="370">
          <cell r="L370">
            <v>0</v>
          </cell>
          <cell r="AE370">
            <v>2</v>
          </cell>
          <cell r="AF370"/>
        </row>
        <row r="371">
          <cell r="L371">
            <v>0</v>
          </cell>
          <cell r="AE371"/>
          <cell r="AF371"/>
        </row>
        <row r="372">
          <cell r="L372">
            <v>0</v>
          </cell>
          <cell r="AE372">
            <v>1</v>
          </cell>
          <cell r="AF372"/>
        </row>
        <row r="373">
          <cell r="L373">
            <v>0</v>
          </cell>
          <cell r="AE373">
            <v>3</v>
          </cell>
          <cell r="AF373"/>
        </row>
        <row r="374">
          <cell r="L374">
            <v>0</v>
          </cell>
          <cell r="AE374"/>
          <cell r="AF374"/>
        </row>
        <row r="375">
          <cell r="L375">
            <v>0</v>
          </cell>
          <cell r="AE375">
            <v>1</v>
          </cell>
          <cell r="AF375"/>
        </row>
        <row r="376">
          <cell r="L376">
            <v>0</v>
          </cell>
          <cell r="AE376"/>
          <cell r="AF376"/>
        </row>
        <row r="377">
          <cell r="L377">
            <v>0</v>
          </cell>
          <cell r="AE377"/>
          <cell r="AF377"/>
        </row>
        <row r="378">
          <cell r="L378">
            <v>0</v>
          </cell>
          <cell r="AE378"/>
          <cell r="AF378"/>
        </row>
        <row r="379">
          <cell r="L379">
            <v>0</v>
          </cell>
          <cell r="AE379"/>
          <cell r="AF379"/>
        </row>
        <row r="380">
          <cell r="L380">
            <v>0</v>
          </cell>
          <cell r="AE380"/>
          <cell r="AF380"/>
        </row>
        <row r="381">
          <cell r="L381">
            <v>0</v>
          </cell>
          <cell r="AE381">
            <v>2</v>
          </cell>
          <cell r="AF381"/>
        </row>
        <row r="382">
          <cell r="L382">
            <v>0.23078508139295201</v>
          </cell>
          <cell r="AE382">
            <v>2</v>
          </cell>
          <cell r="AF382"/>
        </row>
        <row r="383">
          <cell r="L383">
            <v>0</v>
          </cell>
          <cell r="AE383">
            <v>2</v>
          </cell>
          <cell r="AF383"/>
        </row>
        <row r="384">
          <cell r="L384">
            <v>0</v>
          </cell>
          <cell r="AE384">
            <v>1</v>
          </cell>
          <cell r="AF384"/>
        </row>
        <row r="385">
          <cell r="L385">
            <v>0</v>
          </cell>
          <cell r="AE385"/>
          <cell r="AF385"/>
        </row>
        <row r="386">
          <cell r="L386">
            <v>0</v>
          </cell>
          <cell r="AE386">
            <v>1</v>
          </cell>
          <cell r="AF386"/>
        </row>
        <row r="387">
          <cell r="L387">
            <v>0</v>
          </cell>
          <cell r="AE387">
            <v>1</v>
          </cell>
          <cell r="AF387"/>
        </row>
        <row r="388">
          <cell r="L388">
            <v>0</v>
          </cell>
          <cell r="AE388">
            <v>1</v>
          </cell>
          <cell r="AF388"/>
        </row>
        <row r="389">
          <cell r="L389">
            <v>0</v>
          </cell>
          <cell r="AE389"/>
          <cell r="AF389"/>
        </row>
        <row r="390">
          <cell r="L390">
            <v>0</v>
          </cell>
          <cell r="AE390">
            <v>1</v>
          </cell>
          <cell r="AF390"/>
        </row>
        <row r="391">
          <cell r="L391">
            <v>0</v>
          </cell>
          <cell r="AE391">
            <v>2</v>
          </cell>
          <cell r="AF391"/>
        </row>
        <row r="392">
          <cell r="L392">
            <v>0</v>
          </cell>
          <cell r="AE392"/>
          <cell r="AF392"/>
        </row>
        <row r="393">
          <cell r="L393">
            <v>0</v>
          </cell>
          <cell r="AE393">
            <v>1</v>
          </cell>
          <cell r="AF393"/>
        </row>
        <row r="394">
          <cell r="L394">
            <v>0</v>
          </cell>
          <cell r="AE394">
            <v>2</v>
          </cell>
          <cell r="AF394"/>
        </row>
        <row r="395">
          <cell r="L395">
            <v>0</v>
          </cell>
          <cell r="AE395"/>
          <cell r="AF395"/>
        </row>
        <row r="396">
          <cell r="L396">
            <v>0</v>
          </cell>
          <cell r="AE396"/>
          <cell r="AF396"/>
        </row>
        <row r="397">
          <cell r="L397">
            <v>0</v>
          </cell>
          <cell r="AE397"/>
          <cell r="AF397"/>
        </row>
        <row r="398">
          <cell r="L398">
            <v>0</v>
          </cell>
          <cell r="AE398"/>
          <cell r="AF398"/>
        </row>
        <row r="399">
          <cell r="L399">
            <v>0</v>
          </cell>
          <cell r="AE399">
            <v>7</v>
          </cell>
          <cell r="AF399"/>
        </row>
        <row r="400">
          <cell r="L400">
            <v>0</v>
          </cell>
          <cell r="AE400">
            <v>1</v>
          </cell>
          <cell r="AF400"/>
        </row>
        <row r="401">
          <cell r="L401">
            <v>0</v>
          </cell>
          <cell r="AE401">
            <v>1</v>
          </cell>
          <cell r="AF401"/>
        </row>
        <row r="402">
          <cell r="L402">
            <v>0</v>
          </cell>
          <cell r="AE402">
            <v>1</v>
          </cell>
          <cell r="AF402"/>
        </row>
        <row r="403">
          <cell r="L403">
            <v>0</v>
          </cell>
          <cell r="AE403">
            <v>1</v>
          </cell>
          <cell r="AF403"/>
        </row>
        <row r="404">
          <cell r="L404">
            <v>0</v>
          </cell>
          <cell r="AE404">
            <v>3</v>
          </cell>
          <cell r="AF404"/>
        </row>
        <row r="405">
          <cell r="L405">
            <v>0</v>
          </cell>
          <cell r="AE405">
            <v>1</v>
          </cell>
          <cell r="AF405"/>
        </row>
        <row r="406">
          <cell r="L406">
            <v>0</v>
          </cell>
          <cell r="AE406">
            <v>2</v>
          </cell>
          <cell r="AF406"/>
        </row>
        <row r="407">
          <cell r="L407">
            <v>0</v>
          </cell>
          <cell r="AE407"/>
          <cell r="AF407"/>
        </row>
        <row r="408">
          <cell r="L408">
            <v>0</v>
          </cell>
          <cell r="AE408"/>
          <cell r="AF408"/>
        </row>
        <row r="409">
          <cell r="L409">
            <v>0</v>
          </cell>
          <cell r="AE409">
            <v>2</v>
          </cell>
          <cell r="AF409"/>
        </row>
        <row r="410">
          <cell r="L410">
            <v>0</v>
          </cell>
          <cell r="AE410"/>
          <cell r="AF410"/>
        </row>
        <row r="411">
          <cell r="L411">
            <v>0</v>
          </cell>
          <cell r="AE411"/>
          <cell r="AF411"/>
        </row>
        <row r="412">
          <cell r="L412">
            <v>0</v>
          </cell>
          <cell r="AE412">
            <v>2</v>
          </cell>
          <cell r="AF412"/>
        </row>
        <row r="413">
          <cell r="L413">
            <v>0</v>
          </cell>
          <cell r="AE413"/>
          <cell r="AF413"/>
        </row>
        <row r="414">
          <cell r="L414">
            <v>0</v>
          </cell>
          <cell r="AE414">
            <v>1</v>
          </cell>
          <cell r="AF414"/>
        </row>
        <row r="415">
          <cell r="L415">
            <v>0</v>
          </cell>
          <cell r="AE415"/>
          <cell r="AF415"/>
        </row>
        <row r="416">
          <cell r="L416">
            <v>0</v>
          </cell>
          <cell r="AE416">
            <v>1</v>
          </cell>
          <cell r="AF416"/>
        </row>
        <row r="417">
          <cell r="L417">
            <v>0</v>
          </cell>
          <cell r="AE417">
            <v>4</v>
          </cell>
          <cell r="AF417"/>
        </row>
        <row r="418">
          <cell r="L418">
            <v>0</v>
          </cell>
          <cell r="AE418"/>
          <cell r="AF418"/>
        </row>
        <row r="419">
          <cell r="L419">
            <v>0</v>
          </cell>
          <cell r="AE419">
            <v>1</v>
          </cell>
          <cell r="AF419"/>
        </row>
        <row r="420">
          <cell r="L420">
            <v>0</v>
          </cell>
          <cell r="AE420"/>
          <cell r="AF420"/>
        </row>
        <row r="421">
          <cell r="L421">
            <v>0</v>
          </cell>
          <cell r="AE421"/>
          <cell r="AF421"/>
        </row>
        <row r="422">
          <cell r="L422">
            <v>0</v>
          </cell>
          <cell r="AE422"/>
          <cell r="AF422"/>
        </row>
        <row r="423">
          <cell r="L423">
            <v>0</v>
          </cell>
          <cell r="AE423">
            <v>3</v>
          </cell>
          <cell r="AF423"/>
        </row>
        <row r="424">
          <cell r="L424">
            <v>0</v>
          </cell>
          <cell r="AE424"/>
          <cell r="AF424"/>
        </row>
        <row r="425">
          <cell r="L425">
            <v>0</v>
          </cell>
          <cell r="AE425"/>
          <cell r="AF425"/>
        </row>
        <row r="426">
          <cell r="L426">
            <v>0</v>
          </cell>
          <cell r="AE426"/>
          <cell r="AF426"/>
        </row>
        <row r="427">
          <cell r="L427">
            <v>0</v>
          </cell>
          <cell r="AE427"/>
          <cell r="AF427"/>
        </row>
        <row r="428">
          <cell r="L428">
            <v>0</v>
          </cell>
          <cell r="AE428">
            <v>1</v>
          </cell>
          <cell r="AF428"/>
        </row>
        <row r="429">
          <cell r="L429">
            <v>0</v>
          </cell>
          <cell r="AE429">
            <v>1</v>
          </cell>
          <cell r="AF429"/>
        </row>
        <row r="430">
          <cell r="L430">
            <v>0</v>
          </cell>
          <cell r="AE430"/>
          <cell r="AF430"/>
        </row>
        <row r="431">
          <cell r="L431">
            <v>0</v>
          </cell>
          <cell r="AE431">
            <v>1</v>
          </cell>
          <cell r="AF431"/>
        </row>
        <row r="432">
          <cell r="L432">
            <v>0</v>
          </cell>
          <cell r="AE432"/>
          <cell r="AF432"/>
        </row>
        <row r="433">
          <cell r="L433">
            <v>0</v>
          </cell>
          <cell r="AE433"/>
          <cell r="AF433"/>
        </row>
        <row r="434">
          <cell r="L434">
            <v>0</v>
          </cell>
          <cell r="AE434">
            <v>3</v>
          </cell>
          <cell r="AF434"/>
        </row>
        <row r="435">
          <cell r="L435">
            <v>0</v>
          </cell>
          <cell r="AE435">
            <v>2</v>
          </cell>
          <cell r="AF435"/>
        </row>
        <row r="436">
          <cell r="L436">
            <v>0</v>
          </cell>
          <cell r="AE436"/>
          <cell r="AF436"/>
        </row>
        <row r="437">
          <cell r="L437">
            <v>0</v>
          </cell>
          <cell r="AE437"/>
          <cell r="AF437"/>
        </row>
        <row r="438">
          <cell r="L438">
            <v>0</v>
          </cell>
          <cell r="AE438"/>
          <cell r="AF438"/>
        </row>
        <row r="439">
          <cell r="L439">
            <v>0</v>
          </cell>
          <cell r="AE439"/>
          <cell r="AF439"/>
        </row>
        <row r="440">
          <cell r="L440">
            <v>0</v>
          </cell>
          <cell r="AE440">
            <v>2</v>
          </cell>
          <cell r="AF440"/>
        </row>
        <row r="441">
          <cell r="L441">
            <v>0</v>
          </cell>
          <cell r="AE441"/>
          <cell r="AF441"/>
        </row>
        <row r="442">
          <cell r="L442">
            <v>0</v>
          </cell>
          <cell r="AE442">
            <v>5</v>
          </cell>
          <cell r="AF442"/>
        </row>
        <row r="443">
          <cell r="L443">
            <v>0</v>
          </cell>
          <cell r="AE443">
            <v>1</v>
          </cell>
          <cell r="AF443"/>
        </row>
        <row r="444">
          <cell r="L444">
            <v>0</v>
          </cell>
          <cell r="AE444">
            <v>1</v>
          </cell>
          <cell r="AF444"/>
        </row>
        <row r="445">
          <cell r="L445">
            <v>0</v>
          </cell>
          <cell r="AE445"/>
          <cell r="AF445"/>
        </row>
        <row r="446">
          <cell r="L446">
            <v>0</v>
          </cell>
          <cell r="AE446"/>
          <cell r="AF446"/>
        </row>
        <row r="447">
          <cell r="L447">
            <v>0</v>
          </cell>
          <cell r="AE447"/>
          <cell r="AF447"/>
        </row>
        <row r="448">
          <cell r="L448">
            <v>0</v>
          </cell>
          <cell r="AE448"/>
          <cell r="AF448"/>
        </row>
        <row r="449">
          <cell r="L449">
            <v>0</v>
          </cell>
          <cell r="AE449"/>
          <cell r="AF449"/>
        </row>
        <row r="450">
          <cell r="L450">
            <v>0</v>
          </cell>
          <cell r="AE450"/>
          <cell r="AF450"/>
        </row>
        <row r="451">
          <cell r="L451">
            <v>0</v>
          </cell>
          <cell r="AE451"/>
          <cell r="AF451"/>
        </row>
        <row r="452">
          <cell r="L452">
            <v>0</v>
          </cell>
          <cell r="AE452">
            <v>5</v>
          </cell>
          <cell r="AF452"/>
        </row>
        <row r="453">
          <cell r="L453">
            <v>0</v>
          </cell>
          <cell r="AE453"/>
          <cell r="AF453"/>
        </row>
        <row r="454">
          <cell r="L454">
            <v>0</v>
          </cell>
          <cell r="AE454">
            <v>4</v>
          </cell>
          <cell r="AF454"/>
        </row>
        <row r="455">
          <cell r="L455">
            <v>0</v>
          </cell>
          <cell r="AE455"/>
          <cell r="AF455"/>
        </row>
        <row r="456">
          <cell r="L456">
            <v>0</v>
          </cell>
          <cell r="AE456">
            <v>13</v>
          </cell>
          <cell r="AF456"/>
        </row>
        <row r="457">
          <cell r="L457">
            <v>0</v>
          </cell>
          <cell r="AE457">
            <v>2</v>
          </cell>
          <cell r="AF457"/>
        </row>
        <row r="458">
          <cell r="L458">
            <v>0</v>
          </cell>
          <cell r="AE458">
            <v>9</v>
          </cell>
          <cell r="AF458"/>
        </row>
        <row r="459">
          <cell r="L459">
            <v>0</v>
          </cell>
          <cell r="AE459"/>
          <cell r="AF459"/>
        </row>
        <row r="460">
          <cell r="L460">
            <v>0</v>
          </cell>
          <cell r="AE460"/>
          <cell r="AF460"/>
        </row>
        <row r="461">
          <cell r="L461">
            <v>0</v>
          </cell>
          <cell r="AE461">
            <v>1</v>
          </cell>
          <cell r="AF461"/>
        </row>
        <row r="462">
          <cell r="L462">
            <v>0</v>
          </cell>
          <cell r="AE462">
            <v>2</v>
          </cell>
          <cell r="AF462"/>
        </row>
        <row r="463">
          <cell r="L463">
            <v>0</v>
          </cell>
          <cell r="AE463">
            <v>2</v>
          </cell>
          <cell r="AF463"/>
        </row>
        <row r="464">
          <cell r="L464">
            <v>0</v>
          </cell>
          <cell r="AE464">
            <v>2</v>
          </cell>
          <cell r="AF464"/>
        </row>
        <row r="465">
          <cell r="L465">
            <v>0</v>
          </cell>
          <cell r="AE465">
            <v>2</v>
          </cell>
          <cell r="AF465"/>
        </row>
        <row r="466">
          <cell r="L466">
            <v>0</v>
          </cell>
          <cell r="AE466">
            <v>5</v>
          </cell>
          <cell r="AF466"/>
        </row>
        <row r="467">
          <cell r="L467">
            <v>0</v>
          </cell>
          <cell r="AE467">
            <v>1</v>
          </cell>
          <cell r="AF467"/>
        </row>
        <row r="468">
          <cell r="L468">
            <v>0</v>
          </cell>
          <cell r="AE468">
            <v>1</v>
          </cell>
          <cell r="AF468"/>
        </row>
        <row r="469">
          <cell r="L469">
            <v>0</v>
          </cell>
          <cell r="AE469">
            <v>1</v>
          </cell>
          <cell r="AF469"/>
        </row>
        <row r="470">
          <cell r="L470">
            <v>0</v>
          </cell>
          <cell r="AE470">
            <v>3</v>
          </cell>
          <cell r="AF470"/>
        </row>
        <row r="471">
          <cell r="L471">
            <v>0</v>
          </cell>
          <cell r="AE471">
            <v>1</v>
          </cell>
          <cell r="AF471"/>
        </row>
        <row r="472">
          <cell r="L472">
            <v>0</v>
          </cell>
          <cell r="AE472">
            <v>3</v>
          </cell>
          <cell r="AF472"/>
        </row>
        <row r="473">
          <cell r="L473">
            <v>0</v>
          </cell>
          <cell r="AE473">
            <v>2</v>
          </cell>
          <cell r="AF473"/>
        </row>
        <row r="474">
          <cell r="L474">
            <v>0</v>
          </cell>
          <cell r="AE474">
            <v>3</v>
          </cell>
          <cell r="AF474"/>
        </row>
        <row r="475">
          <cell r="L475">
            <v>0</v>
          </cell>
          <cell r="AE475"/>
          <cell r="AF475"/>
        </row>
        <row r="476">
          <cell r="L476">
            <v>0</v>
          </cell>
          <cell r="AE476">
            <v>2</v>
          </cell>
          <cell r="AF476"/>
        </row>
        <row r="477">
          <cell r="L477">
            <v>0</v>
          </cell>
          <cell r="AE477">
            <v>2</v>
          </cell>
          <cell r="AF477"/>
        </row>
        <row r="478">
          <cell r="L478">
            <v>0</v>
          </cell>
          <cell r="AE478">
            <v>3</v>
          </cell>
          <cell r="AF478"/>
        </row>
        <row r="479">
          <cell r="L479">
            <v>0</v>
          </cell>
          <cell r="AE479">
            <v>2</v>
          </cell>
          <cell r="AF479"/>
        </row>
        <row r="480">
          <cell r="L480">
            <v>0</v>
          </cell>
          <cell r="AE480">
            <v>1</v>
          </cell>
          <cell r="AF480"/>
        </row>
        <row r="481">
          <cell r="L481">
            <v>0</v>
          </cell>
          <cell r="AE481">
            <v>5</v>
          </cell>
          <cell r="AF481"/>
        </row>
        <row r="482">
          <cell r="L482">
            <v>0</v>
          </cell>
          <cell r="AE482">
            <v>1</v>
          </cell>
          <cell r="AF482"/>
        </row>
        <row r="483">
          <cell r="L483">
            <v>0</v>
          </cell>
          <cell r="AE483">
            <v>5</v>
          </cell>
          <cell r="AF483"/>
        </row>
        <row r="484">
          <cell r="L484">
            <v>0</v>
          </cell>
          <cell r="AE484">
            <v>3</v>
          </cell>
          <cell r="AF484"/>
        </row>
        <row r="485">
          <cell r="L485">
            <v>0</v>
          </cell>
          <cell r="AE485">
            <v>2</v>
          </cell>
          <cell r="AF485"/>
        </row>
        <row r="486">
          <cell r="L486">
            <v>0</v>
          </cell>
          <cell r="AE486">
            <v>2</v>
          </cell>
          <cell r="AF486"/>
        </row>
        <row r="487">
          <cell r="L487">
            <v>0</v>
          </cell>
          <cell r="AE487">
            <v>4</v>
          </cell>
          <cell r="AF487"/>
        </row>
        <row r="488">
          <cell r="L488">
            <v>0</v>
          </cell>
          <cell r="AE488"/>
          <cell r="AF488"/>
        </row>
        <row r="489">
          <cell r="L489">
            <v>0</v>
          </cell>
          <cell r="AE489">
            <v>2</v>
          </cell>
          <cell r="AF489"/>
        </row>
        <row r="490">
          <cell r="L490">
            <v>0</v>
          </cell>
          <cell r="AE490">
            <v>1</v>
          </cell>
          <cell r="AF490"/>
        </row>
        <row r="491">
          <cell r="L491">
            <v>0</v>
          </cell>
          <cell r="AE491">
            <v>4</v>
          </cell>
          <cell r="AF491"/>
        </row>
        <row r="492">
          <cell r="L492">
            <v>0</v>
          </cell>
          <cell r="AE492">
            <v>3</v>
          </cell>
          <cell r="AF492"/>
        </row>
        <row r="493">
          <cell r="L493">
            <v>0</v>
          </cell>
          <cell r="AE493">
            <v>1</v>
          </cell>
          <cell r="AF493"/>
        </row>
        <row r="494">
          <cell r="L494">
            <v>0</v>
          </cell>
          <cell r="AE494">
            <v>2</v>
          </cell>
          <cell r="AF494"/>
        </row>
        <row r="495">
          <cell r="L495">
            <v>0</v>
          </cell>
          <cell r="AE495">
            <v>1</v>
          </cell>
          <cell r="AF495"/>
        </row>
        <row r="496">
          <cell r="L496">
            <v>1.5010351966873701E-2</v>
          </cell>
          <cell r="AE496">
            <v>3</v>
          </cell>
          <cell r="AF496"/>
        </row>
        <row r="497">
          <cell r="L497">
            <v>0</v>
          </cell>
          <cell r="AE497">
            <v>1</v>
          </cell>
          <cell r="AF497"/>
        </row>
        <row r="498">
          <cell r="L498">
            <v>0</v>
          </cell>
          <cell r="AE498">
            <v>3</v>
          </cell>
          <cell r="AF498"/>
        </row>
        <row r="499">
          <cell r="L499">
            <v>0</v>
          </cell>
          <cell r="AE499">
            <v>1</v>
          </cell>
          <cell r="AF499"/>
        </row>
        <row r="500">
          <cell r="L500">
            <v>0</v>
          </cell>
          <cell r="AE500"/>
          <cell r="AF500"/>
        </row>
        <row r="501">
          <cell r="L501">
            <v>0</v>
          </cell>
          <cell r="AE501">
            <v>3</v>
          </cell>
          <cell r="AF501"/>
        </row>
        <row r="502">
          <cell r="L502">
            <v>0</v>
          </cell>
          <cell r="AE502"/>
          <cell r="AF502"/>
        </row>
        <row r="503">
          <cell r="L503">
            <v>0</v>
          </cell>
          <cell r="AE503">
            <v>1</v>
          </cell>
          <cell r="AF503"/>
        </row>
        <row r="504">
          <cell r="L504">
            <v>0</v>
          </cell>
          <cell r="AE504">
            <v>3</v>
          </cell>
          <cell r="AF504"/>
        </row>
        <row r="505">
          <cell r="L505">
            <v>0</v>
          </cell>
          <cell r="AE505">
            <v>2</v>
          </cell>
          <cell r="AF505"/>
        </row>
        <row r="506">
          <cell r="L506">
            <v>0</v>
          </cell>
          <cell r="AE506">
            <v>2</v>
          </cell>
          <cell r="AF506"/>
        </row>
        <row r="507">
          <cell r="L507">
            <v>0</v>
          </cell>
          <cell r="AE507"/>
          <cell r="AF507"/>
        </row>
        <row r="508">
          <cell r="L508">
            <v>0</v>
          </cell>
          <cell r="AE508">
            <v>6</v>
          </cell>
          <cell r="AF508"/>
        </row>
        <row r="509">
          <cell r="L509">
            <v>0</v>
          </cell>
          <cell r="AE509">
            <v>3</v>
          </cell>
          <cell r="AF509"/>
        </row>
        <row r="510">
          <cell r="L510">
            <v>0</v>
          </cell>
          <cell r="AE510"/>
          <cell r="AF510"/>
        </row>
        <row r="511">
          <cell r="L511">
            <v>0</v>
          </cell>
          <cell r="AE511"/>
          <cell r="AF511"/>
        </row>
        <row r="512">
          <cell r="L512"/>
          <cell r="AE512"/>
          <cell r="AF512"/>
        </row>
        <row r="513">
          <cell r="L513">
            <v>0.49630567248535501</v>
          </cell>
          <cell r="AE513"/>
          <cell r="AF513"/>
        </row>
        <row r="514">
          <cell r="L514">
            <v>0.46072454816446001</v>
          </cell>
          <cell r="AE514"/>
          <cell r="AF514"/>
        </row>
        <row r="515">
          <cell r="L515"/>
          <cell r="AE515"/>
          <cell r="AF515"/>
        </row>
        <row r="516">
          <cell r="L516">
            <v>0.469800103394795</v>
          </cell>
          <cell r="AE516"/>
          <cell r="AF516"/>
        </row>
        <row r="517">
          <cell r="L517">
            <v>0.46157002188183799</v>
          </cell>
          <cell r="AE517"/>
          <cell r="AF517"/>
        </row>
        <row r="518">
          <cell r="L518"/>
          <cell r="AE518"/>
          <cell r="AF518"/>
        </row>
        <row r="519">
          <cell r="L519">
            <v>0.381522552554595</v>
          </cell>
          <cell r="AE519"/>
          <cell r="AF519"/>
        </row>
        <row r="520">
          <cell r="L520">
            <v>0.44612944791356901</v>
          </cell>
          <cell r="AE520"/>
          <cell r="AF520"/>
        </row>
        <row r="521">
          <cell r="L521">
            <v>0.37689562890276501</v>
          </cell>
          <cell r="AE521"/>
          <cell r="AF521"/>
        </row>
        <row r="522">
          <cell r="L522"/>
          <cell r="AE522"/>
          <cell r="AF522"/>
        </row>
        <row r="523">
          <cell r="L523">
            <v>0.27225661827497799</v>
          </cell>
          <cell r="AE523">
            <v>1</v>
          </cell>
          <cell r="AF523"/>
        </row>
        <row r="524">
          <cell r="L524">
            <v>0.46687130343639999</v>
          </cell>
          <cell r="AE524"/>
          <cell r="AF524"/>
        </row>
        <row r="525">
          <cell r="L525"/>
          <cell r="AE525"/>
          <cell r="AF525"/>
        </row>
        <row r="526">
          <cell r="L526">
            <v>0.33603392963949702</v>
          </cell>
          <cell r="AE526"/>
          <cell r="AF526"/>
        </row>
        <row r="527">
          <cell r="L527">
            <v>0.30766790896835999</v>
          </cell>
          <cell r="AE527"/>
          <cell r="AF527"/>
        </row>
        <row r="528">
          <cell r="L528">
            <v>3.0781513350483399E-2</v>
          </cell>
          <cell r="AE528">
            <v>2</v>
          </cell>
          <cell r="AF528"/>
        </row>
        <row r="529">
          <cell r="L529">
            <v>3.0751378009863599E-2</v>
          </cell>
          <cell r="AE529">
            <v>3</v>
          </cell>
          <cell r="AF529"/>
        </row>
        <row r="530">
          <cell r="L530">
            <v>0</v>
          </cell>
          <cell r="AE530"/>
          <cell r="AF530"/>
        </row>
        <row r="531">
          <cell r="L531">
            <v>0</v>
          </cell>
          <cell r="AE531"/>
          <cell r="AF531"/>
        </row>
        <row r="532">
          <cell r="L532">
            <v>3.18471337579617E-2</v>
          </cell>
          <cell r="AE532"/>
          <cell r="AF532"/>
        </row>
        <row r="533">
          <cell r="L533">
            <v>0</v>
          </cell>
          <cell r="AE533"/>
          <cell r="AF533"/>
        </row>
        <row r="534">
          <cell r="L534">
            <v>0</v>
          </cell>
          <cell r="AE534"/>
          <cell r="AF534"/>
        </row>
        <row r="535">
          <cell r="L535">
            <v>0</v>
          </cell>
          <cell r="AE535"/>
          <cell r="AF535"/>
        </row>
        <row r="536">
          <cell r="L536">
            <v>0</v>
          </cell>
          <cell r="AE536"/>
          <cell r="AF536"/>
        </row>
        <row r="537">
          <cell r="L537">
            <v>0</v>
          </cell>
          <cell r="AE537"/>
          <cell r="AF537"/>
        </row>
        <row r="538">
          <cell r="L538">
            <v>0</v>
          </cell>
          <cell r="AE538"/>
          <cell r="AF538"/>
        </row>
        <row r="539">
          <cell r="L539">
            <v>0</v>
          </cell>
          <cell r="AE539"/>
          <cell r="AF539"/>
        </row>
        <row r="540">
          <cell r="L540">
            <v>0</v>
          </cell>
          <cell r="AE540"/>
          <cell r="AF540"/>
        </row>
        <row r="541">
          <cell r="L541">
            <v>0</v>
          </cell>
          <cell r="AE541"/>
          <cell r="AF541"/>
        </row>
        <row r="542">
          <cell r="L542">
            <v>0</v>
          </cell>
          <cell r="AE542"/>
          <cell r="AF542"/>
        </row>
        <row r="543">
          <cell r="L543">
            <v>0</v>
          </cell>
          <cell r="AE543"/>
          <cell r="AF543"/>
        </row>
        <row r="544">
          <cell r="L544">
            <v>0</v>
          </cell>
          <cell r="AE544"/>
          <cell r="AF544"/>
        </row>
        <row r="545">
          <cell r="L545">
            <v>0</v>
          </cell>
          <cell r="AE545"/>
          <cell r="AF545"/>
        </row>
        <row r="546">
          <cell r="L546">
            <v>0</v>
          </cell>
          <cell r="AE546"/>
          <cell r="AF546"/>
        </row>
        <row r="547">
          <cell r="L547">
            <v>0</v>
          </cell>
          <cell r="AE547"/>
          <cell r="AF547"/>
        </row>
        <row r="548">
          <cell r="L548">
            <v>2.8571428571428501E-2</v>
          </cell>
          <cell r="AE548"/>
          <cell r="AF548"/>
        </row>
        <row r="549">
          <cell r="L549">
            <v>2.8571428571428501E-2</v>
          </cell>
          <cell r="AE549"/>
          <cell r="AF549"/>
        </row>
        <row r="550">
          <cell r="L550">
            <v>2.8571428571428501E-2</v>
          </cell>
          <cell r="AE550"/>
          <cell r="AF550"/>
        </row>
        <row r="551">
          <cell r="L551">
            <v>0.16922992420081201</v>
          </cell>
          <cell r="AE551">
            <v>3</v>
          </cell>
          <cell r="AF551"/>
        </row>
        <row r="552">
          <cell r="L552">
            <v>0.43077108143871001</v>
          </cell>
          <cell r="AE552">
            <v>3</v>
          </cell>
          <cell r="AF552"/>
        </row>
        <row r="553">
          <cell r="L553">
            <v>3.0801483631672299E-2</v>
          </cell>
          <cell r="AE553">
            <v>3</v>
          </cell>
          <cell r="AF553"/>
        </row>
        <row r="554">
          <cell r="L554">
            <v>0.32136706848589203</v>
          </cell>
          <cell r="AE554">
            <v>1</v>
          </cell>
          <cell r="AF554"/>
        </row>
        <row r="555">
          <cell r="L555">
            <v>0.43958307584558898</v>
          </cell>
          <cell r="AE555">
            <v>4</v>
          </cell>
          <cell r="AF555"/>
        </row>
        <row r="556">
          <cell r="L556">
            <v>0.49231329027562898</v>
          </cell>
          <cell r="AE556">
            <v>3</v>
          </cell>
          <cell r="AF556"/>
        </row>
        <row r="557">
          <cell r="L557">
            <v>0.30768687296877201</v>
          </cell>
          <cell r="AE557">
            <v>1</v>
          </cell>
          <cell r="AF557"/>
        </row>
        <row r="558">
          <cell r="L558">
            <v>3.07604671033893E-2</v>
          </cell>
          <cell r="AE558">
            <v>3</v>
          </cell>
          <cell r="AF558"/>
        </row>
        <row r="559">
          <cell r="L559">
            <v>3.07548928238583E-2</v>
          </cell>
          <cell r="AE559"/>
          <cell r="AF559"/>
        </row>
        <row r="560">
          <cell r="L560">
            <v>3.0763163084204199E-2</v>
          </cell>
          <cell r="AE560"/>
          <cell r="AF560"/>
        </row>
        <row r="561">
          <cell r="L561">
            <v>3.0769230769230702E-2</v>
          </cell>
          <cell r="AE561">
            <v>4</v>
          </cell>
          <cell r="AF561"/>
        </row>
        <row r="562">
          <cell r="L562">
            <v>1.93881947436449E-2</v>
          </cell>
          <cell r="AE562">
            <v>4</v>
          </cell>
          <cell r="AF562"/>
        </row>
        <row r="563">
          <cell r="L563">
            <v>0</v>
          </cell>
          <cell r="AE563"/>
          <cell r="AF563"/>
        </row>
        <row r="564">
          <cell r="L564">
            <v>0</v>
          </cell>
          <cell r="AE564"/>
          <cell r="AF564"/>
        </row>
        <row r="565">
          <cell r="L565">
            <v>0</v>
          </cell>
          <cell r="AE565"/>
          <cell r="AF565"/>
        </row>
        <row r="566">
          <cell r="L566">
            <v>0</v>
          </cell>
          <cell r="AE566"/>
          <cell r="AF566"/>
        </row>
        <row r="567">
          <cell r="L567">
            <v>0</v>
          </cell>
          <cell r="AE567"/>
          <cell r="AF567"/>
        </row>
        <row r="568">
          <cell r="L568">
            <v>0</v>
          </cell>
          <cell r="AE568"/>
          <cell r="AF568"/>
        </row>
        <row r="569">
          <cell r="L569">
            <v>0</v>
          </cell>
          <cell r="AE569"/>
          <cell r="AF569"/>
        </row>
        <row r="570">
          <cell r="L570">
            <v>0</v>
          </cell>
          <cell r="AE570"/>
          <cell r="AF570"/>
        </row>
        <row r="571">
          <cell r="L571">
            <v>0</v>
          </cell>
          <cell r="AE571"/>
          <cell r="AF571"/>
        </row>
        <row r="572">
          <cell r="L572">
            <v>0</v>
          </cell>
          <cell r="AE572"/>
          <cell r="AF572"/>
        </row>
        <row r="573">
          <cell r="L573">
            <v>0</v>
          </cell>
          <cell r="AE573"/>
          <cell r="AF573"/>
        </row>
        <row r="574">
          <cell r="L574">
            <v>0</v>
          </cell>
          <cell r="AE574"/>
          <cell r="AF574"/>
        </row>
        <row r="575">
          <cell r="L575">
            <v>0</v>
          </cell>
          <cell r="AE575"/>
          <cell r="AF575"/>
        </row>
        <row r="576">
          <cell r="L576">
            <v>0</v>
          </cell>
          <cell r="AE576"/>
          <cell r="AF576"/>
        </row>
        <row r="577">
          <cell r="L577">
            <v>0</v>
          </cell>
          <cell r="AE577"/>
          <cell r="AF577"/>
        </row>
        <row r="578">
          <cell r="L578">
            <v>0</v>
          </cell>
          <cell r="AE578"/>
          <cell r="AF578"/>
        </row>
        <row r="579">
          <cell r="L579">
            <v>0</v>
          </cell>
          <cell r="AE579"/>
          <cell r="AF579"/>
        </row>
        <row r="580">
          <cell r="L580">
            <v>0</v>
          </cell>
          <cell r="AE580"/>
          <cell r="AF580"/>
        </row>
        <row r="581">
          <cell r="L581">
            <v>0</v>
          </cell>
          <cell r="AE581"/>
          <cell r="AF581"/>
        </row>
        <row r="582">
          <cell r="L582">
            <v>0</v>
          </cell>
          <cell r="AE582"/>
          <cell r="AF582"/>
        </row>
        <row r="583">
          <cell r="L583">
            <v>0</v>
          </cell>
          <cell r="AE583"/>
          <cell r="AF583"/>
        </row>
        <row r="584">
          <cell r="L584">
            <v>0</v>
          </cell>
          <cell r="AE584"/>
          <cell r="AF584"/>
        </row>
        <row r="585">
          <cell r="L585">
            <v>0</v>
          </cell>
          <cell r="AE585"/>
          <cell r="AF585"/>
        </row>
        <row r="586">
          <cell r="L586">
            <v>0</v>
          </cell>
          <cell r="AE586"/>
          <cell r="AF586"/>
        </row>
        <row r="587">
          <cell r="L587">
            <v>0</v>
          </cell>
          <cell r="AE587"/>
          <cell r="AF587"/>
        </row>
        <row r="588">
          <cell r="L588">
            <v>0</v>
          </cell>
          <cell r="AE588"/>
          <cell r="AF588"/>
        </row>
        <row r="589">
          <cell r="L589">
            <v>0</v>
          </cell>
          <cell r="AE589"/>
          <cell r="AF589"/>
        </row>
        <row r="590">
          <cell r="L590">
            <v>0</v>
          </cell>
          <cell r="AE590"/>
          <cell r="AF590"/>
        </row>
        <row r="591">
          <cell r="L591">
            <v>0</v>
          </cell>
          <cell r="AE591"/>
          <cell r="AF591"/>
        </row>
        <row r="592">
          <cell r="L592">
            <v>0</v>
          </cell>
          <cell r="AE592"/>
          <cell r="AF592"/>
        </row>
        <row r="593">
          <cell r="L593">
            <v>0</v>
          </cell>
          <cell r="AE593"/>
          <cell r="AF593"/>
        </row>
        <row r="594">
          <cell r="L594">
            <v>0</v>
          </cell>
          <cell r="AE594"/>
          <cell r="AF594"/>
        </row>
        <row r="595">
          <cell r="L595">
            <v>0</v>
          </cell>
          <cell r="AE595"/>
          <cell r="AF595"/>
        </row>
        <row r="596">
          <cell r="L596">
            <v>0</v>
          </cell>
          <cell r="AE596"/>
          <cell r="AF596"/>
        </row>
        <row r="597">
          <cell r="L597">
            <v>0</v>
          </cell>
          <cell r="AE597"/>
          <cell r="AF597"/>
        </row>
        <row r="598">
          <cell r="L598">
            <v>0</v>
          </cell>
          <cell r="AE598"/>
          <cell r="AF598"/>
        </row>
        <row r="599">
          <cell r="L599">
            <v>0</v>
          </cell>
          <cell r="AE599"/>
          <cell r="AF599"/>
        </row>
        <row r="600">
          <cell r="L600">
            <v>0</v>
          </cell>
          <cell r="AE600"/>
          <cell r="AF600"/>
        </row>
        <row r="601">
          <cell r="L601">
            <v>0</v>
          </cell>
          <cell r="AE601"/>
          <cell r="AF601"/>
        </row>
        <row r="602">
          <cell r="L602">
            <v>0</v>
          </cell>
          <cell r="AE602"/>
          <cell r="AF602"/>
        </row>
        <row r="603">
          <cell r="L603">
            <v>0</v>
          </cell>
          <cell r="AE603"/>
          <cell r="AF603"/>
        </row>
        <row r="604">
          <cell r="L604">
            <v>0</v>
          </cell>
          <cell r="AE604"/>
          <cell r="AF604"/>
        </row>
        <row r="605">
          <cell r="L605">
            <v>0</v>
          </cell>
          <cell r="AE605"/>
          <cell r="AF605"/>
        </row>
        <row r="606">
          <cell r="L606">
            <v>0</v>
          </cell>
          <cell r="AE606"/>
          <cell r="AF606"/>
        </row>
        <row r="607">
          <cell r="L607">
            <v>0</v>
          </cell>
          <cell r="AE607"/>
          <cell r="AF607"/>
        </row>
        <row r="608">
          <cell r="L608">
            <v>0</v>
          </cell>
          <cell r="AE608"/>
          <cell r="AF608"/>
        </row>
        <row r="609">
          <cell r="L609">
            <v>0</v>
          </cell>
          <cell r="AE609"/>
          <cell r="AF609"/>
        </row>
        <row r="610">
          <cell r="L610">
            <v>0</v>
          </cell>
          <cell r="AE610"/>
          <cell r="AF610"/>
        </row>
        <row r="611">
          <cell r="L611">
            <v>0</v>
          </cell>
          <cell r="AE611"/>
          <cell r="AF611"/>
        </row>
        <row r="612">
          <cell r="L612">
            <v>0</v>
          </cell>
          <cell r="AE612"/>
          <cell r="AF612"/>
        </row>
        <row r="613">
          <cell r="L613">
            <v>0</v>
          </cell>
          <cell r="AE613"/>
          <cell r="AF613"/>
        </row>
        <row r="614">
          <cell r="L614">
            <v>0</v>
          </cell>
          <cell r="AE614"/>
          <cell r="AF614"/>
        </row>
        <row r="615">
          <cell r="L615">
            <v>0</v>
          </cell>
          <cell r="AE615">
            <v>9</v>
          </cell>
          <cell r="AF615"/>
        </row>
        <row r="616">
          <cell r="L616">
            <v>0</v>
          </cell>
          <cell r="AE616">
            <v>9</v>
          </cell>
          <cell r="AF616"/>
        </row>
        <row r="617">
          <cell r="L617">
            <v>0</v>
          </cell>
          <cell r="AE617">
            <v>11</v>
          </cell>
          <cell r="AF617"/>
        </row>
        <row r="618">
          <cell r="L618">
            <v>0</v>
          </cell>
          <cell r="AE618">
            <v>10</v>
          </cell>
          <cell r="AF618"/>
        </row>
        <row r="619">
          <cell r="L619">
            <v>0</v>
          </cell>
          <cell r="AE619">
            <v>10</v>
          </cell>
          <cell r="AF619"/>
        </row>
        <row r="620">
          <cell r="L620">
            <v>0</v>
          </cell>
          <cell r="AE620">
            <v>9</v>
          </cell>
          <cell r="AF620"/>
        </row>
        <row r="621">
          <cell r="L621">
            <v>3.0756678136861799E-2</v>
          </cell>
          <cell r="AE621">
            <v>1</v>
          </cell>
          <cell r="AF621"/>
        </row>
        <row r="622">
          <cell r="L622">
            <v>3.07400692269655E-2</v>
          </cell>
          <cell r="AE622"/>
          <cell r="AF622"/>
        </row>
        <row r="623">
          <cell r="L623">
            <v>3.0756678136861799E-2</v>
          </cell>
          <cell r="AE623">
            <v>1</v>
          </cell>
          <cell r="AF623"/>
        </row>
        <row r="624">
          <cell r="L624">
            <v>3.07400692269655E-2</v>
          </cell>
          <cell r="AE624"/>
          <cell r="AF624"/>
        </row>
        <row r="625">
          <cell r="L625">
            <v>3.0756678136861799E-2</v>
          </cell>
          <cell r="AE625">
            <v>1</v>
          </cell>
          <cell r="AF625"/>
        </row>
        <row r="626">
          <cell r="L626">
            <v>3.07400692269655E-2</v>
          </cell>
          <cell r="AE626"/>
          <cell r="AF626"/>
        </row>
        <row r="627">
          <cell r="L627">
            <v>3.0776867709108899E-2</v>
          </cell>
          <cell r="AE627">
            <v>1</v>
          </cell>
          <cell r="AF627"/>
        </row>
        <row r="628">
          <cell r="L628">
            <v>0</v>
          </cell>
          <cell r="AE628"/>
          <cell r="AF628"/>
        </row>
        <row r="629">
          <cell r="L629">
            <v>0</v>
          </cell>
          <cell r="AE629">
            <v>1</v>
          </cell>
          <cell r="AF629"/>
        </row>
        <row r="630">
          <cell r="L630">
            <v>0</v>
          </cell>
          <cell r="AE630"/>
          <cell r="AF630"/>
        </row>
        <row r="631">
          <cell r="L631">
            <v>0</v>
          </cell>
          <cell r="AE631">
            <v>1</v>
          </cell>
          <cell r="AF631"/>
        </row>
        <row r="632">
          <cell r="L632">
            <v>0</v>
          </cell>
          <cell r="AE632"/>
          <cell r="AF632"/>
        </row>
        <row r="633">
          <cell r="L633">
            <v>0</v>
          </cell>
          <cell r="AE633"/>
          <cell r="AF633"/>
        </row>
        <row r="634">
          <cell r="L634">
            <v>0.25780383457455203</v>
          </cell>
          <cell r="AE634">
            <v>2</v>
          </cell>
          <cell r="AF634"/>
        </row>
        <row r="635">
          <cell r="L635">
            <v>7.3615661529749599E-3</v>
          </cell>
          <cell r="AE635">
            <v>4</v>
          </cell>
          <cell r="AF635"/>
        </row>
        <row r="636">
          <cell r="L636">
            <v>3.07316445930307E-2</v>
          </cell>
          <cell r="AE636">
            <v>4</v>
          </cell>
          <cell r="AF636"/>
        </row>
        <row r="637">
          <cell r="L637">
            <v>3.0776092774308601E-2</v>
          </cell>
          <cell r="AE637">
            <v>1</v>
          </cell>
          <cell r="AF637"/>
        </row>
        <row r="638">
          <cell r="L638">
            <v>0</v>
          </cell>
          <cell r="AE638"/>
          <cell r="AF638"/>
        </row>
        <row r="639">
          <cell r="L639">
            <v>8.3780077297095107E-2</v>
          </cell>
          <cell r="AE639">
            <v>3</v>
          </cell>
          <cell r="AF639"/>
        </row>
        <row r="640">
          <cell r="L640">
            <v>0</v>
          </cell>
          <cell r="AE640">
            <v>3</v>
          </cell>
          <cell r="AF640"/>
        </row>
        <row r="641">
          <cell r="L641">
            <v>0</v>
          </cell>
          <cell r="AE641">
            <v>1</v>
          </cell>
          <cell r="AF641"/>
        </row>
        <row r="642">
          <cell r="L642">
            <v>0</v>
          </cell>
          <cell r="AE642">
            <v>3</v>
          </cell>
          <cell r="AF642"/>
        </row>
        <row r="643">
          <cell r="L643">
            <v>0</v>
          </cell>
          <cell r="AE643">
            <v>1</v>
          </cell>
          <cell r="AF643"/>
        </row>
        <row r="644">
          <cell r="L644">
            <v>0</v>
          </cell>
          <cell r="AE644">
            <v>3</v>
          </cell>
          <cell r="AF644"/>
        </row>
        <row r="645">
          <cell r="L645">
            <v>3.0778482396676101E-2</v>
          </cell>
          <cell r="AE645">
            <v>1</v>
          </cell>
          <cell r="AF645"/>
        </row>
        <row r="646">
          <cell r="L646">
            <v>3.07467057101024E-2</v>
          </cell>
          <cell r="AE646">
            <v>1</v>
          </cell>
          <cell r="AF646"/>
        </row>
        <row r="647">
          <cell r="L647">
            <v>1.64822227454673E-2</v>
          </cell>
          <cell r="AE647">
            <v>3</v>
          </cell>
          <cell r="AF647"/>
        </row>
        <row r="648">
          <cell r="L648">
            <v>0</v>
          </cell>
          <cell r="AE648"/>
          <cell r="AF648"/>
        </row>
        <row r="649">
          <cell r="L649">
            <v>1.10666352719566E-2</v>
          </cell>
          <cell r="AE649">
            <v>2</v>
          </cell>
          <cell r="AF649"/>
        </row>
        <row r="650">
          <cell r="L650">
            <v>3.07668990603213E-2</v>
          </cell>
          <cell r="AE650">
            <v>4</v>
          </cell>
          <cell r="AF650"/>
        </row>
        <row r="651">
          <cell r="L651">
            <v>3.07951908879983E-2</v>
          </cell>
          <cell r="AE651"/>
          <cell r="AF651"/>
        </row>
        <row r="652">
          <cell r="L652">
            <v>0</v>
          </cell>
          <cell r="AE652"/>
          <cell r="AF652"/>
        </row>
        <row r="653">
          <cell r="L653">
            <v>0.47539997594129602</v>
          </cell>
          <cell r="AE653">
            <v>4</v>
          </cell>
          <cell r="AF653"/>
        </row>
        <row r="654">
          <cell r="L654">
            <v>0.37394910031574502</v>
          </cell>
          <cell r="AE654">
            <v>3</v>
          </cell>
          <cell r="AF654"/>
        </row>
        <row r="655">
          <cell r="L655">
            <v>0.36232548447593199</v>
          </cell>
          <cell r="AE655">
            <v>4</v>
          </cell>
          <cell r="AF655"/>
        </row>
        <row r="656">
          <cell r="L656">
            <v>3.07501805799195E-2</v>
          </cell>
          <cell r="AE656">
            <v>1</v>
          </cell>
          <cell r="AF656"/>
        </row>
        <row r="657">
          <cell r="L657">
            <v>3.0769230769230702E-2</v>
          </cell>
          <cell r="AE657">
            <v>2</v>
          </cell>
          <cell r="AF657"/>
        </row>
        <row r="658">
          <cell r="L658">
            <v>3.08398950131233E-2</v>
          </cell>
          <cell r="AE658"/>
          <cell r="AF658"/>
        </row>
        <row r="659">
          <cell r="L659">
            <v>3.0655391120507299E-2</v>
          </cell>
          <cell r="AE659"/>
          <cell r="AF659"/>
        </row>
        <row r="660">
          <cell r="L660">
            <v>3.0707239127414201E-2</v>
          </cell>
          <cell r="AE660">
            <v>3</v>
          </cell>
          <cell r="AF660"/>
        </row>
        <row r="661">
          <cell r="L661">
            <v>3.08194858684845E-2</v>
          </cell>
          <cell r="AE661">
            <v>2</v>
          </cell>
          <cell r="AF661"/>
        </row>
        <row r="662">
          <cell r="L662">
            <v>3.0767977406039499E-2</v>
          </cell>
          <cell r="AE662">
            <v>3</v>
          </cell>
          <cell r="AF662"/>
        </row>
        <row r="663">
          <cell r="L663">
            <v>3.0765125233502302E-2</v>
          </cell>
          <cell r="AE663">
            <v>2</v>
          </cell>
          <cell r="AF663"/>
        </row>
        <row r="664">
          <cell r="L664">
            <v>3.0760872377305699E-2</v>
          </cell>
          <cell r="AE664">
            <v>1</v>
          </cell>
          <cell r="AF664"/>
        </row>
        <row r="665">
          <cell r="L665">
            <v>0</v>
          </cell>
          <cell r="AE665"/>
          <cell r="AF665"/>
        </row>
        <row r="666">
          <cell r="L666">
            <v>1.69133192389006E-2</v>
          </cell>
          <cell r="AE666">
            <v>1</v>
          </cell>
          <cell r="AF666"/>
        </row>
        <row r="667">
          <cell r="L667">
            <v>3.07754606195586E-2</v>
          </cell>
          <cell r="AE667">
            <v>2</v>
          </cell>
          <cell r="AF667"/>
        </row>
        <row r="668">
          <cell r="L668">
            <v>0.51929109159347497</v>
          </cell>
          <cell r="AE668"/>
          <cell r="AF668"/>
        </row>
        <row r="669">
          <cell r="L669">
            <v>0</v>
          </cell>
          <cell r="AE669">
            <v>2</v>
          </cell>
          <cell r="AF669"/>
        </row>
        <row r="670">
          <cell r="L670">
            <v>2.3917617096666999E-2</v>
          </cell>
          <cell r="AE670">
            <v>2</v>
          </cell>
          <cell r="AF670"/>
        </row>
        <row r="671">
          <cell r="L671">
            <v>0.22691023738872401</v>
          </cell>
          <cell r="AE671">
            <v>1</v>
          </cell>
          <cell r="AF671"/>
        </row>
        <row r="672">
          <cell r="L672">
            <v>0.42171561580064298</v>
          </cell>
          <cell r="AE672">
            <v>3</v>
          </cell>
          <cell r="AF672"/>
        </row>
        <row r="673">
          <cell r="L673">
            <v>0.461583646616541</v>
          </cell>
          <cell r="AE673">
            <v>1</v>
          </cell>
          <cell r="AF673"/>
        </row>
        <row r="674">
          <cell r="L674">
            <v>0.461499937398272</v>
          </cell>
          <cell r="AE674">
            <v>1</v>
          </cell>
          <cell r="AF674"/>
        </row>
        <row r="675">
          <cell r="L675">
            <v>3.0778380789532302E-2</v>
          </cell>
          <cell r="AE675">
            <v>4</v>
          </cell>
          <cell r="AF675"/>
        </row>
        <row r="676">
          <cell r="L676">
            <v>5.2334225393993399E-2</v>
          </cell>
          <cell r="AE676"/>
          <cell r="AF676"/>
        </row>
        <row r="677">
          <cell r="L677">
            <v>3.07590174817437E-2</v>
          </cell>
          <cell r="AE677">
            <v>2</v>
          </cell>
          <cell r="AF677"/>
        </row>
        <row r="678">
          <cell r="L678">
            <v>2.2285293808472599E-2</v>
          </cell>
          <cell r="AE678">
            <v>3</v>
          </cell>
          <cell r="AF678"/>
        </row>
        <row r="679">
          <cell r="L679">
            <v>3.07551766138855E-2</v>
          </cell>
          <cell r="AE679">
            <v>2</v>
          </cell>
          <cell r="AF679"/>
        </row>
        <row r="680">
          <cell r="L680">
            <v>3.0772936677606801E-2</v>
          </cell>
          <cell r="AE680">
            <v>2</v>
          </cell>
          <cell r="AF680"/>
        </row>
        <row r="681">
          <cell r="L681">
            <v>0.25672487022180202</v>
          </cell>
          <cell r="AE681">
            <v>2</v>
          </cell>
          <cell r="AF681"/>
        </row>
        <row r="682">
          <cell r="L682">
            <v>0.41922646993069501</v>
          </cell>
          <cell r="AE682">
            <v>2</v>
          </cell>
          <cell r="AF682"/>
        </row>
        <row r="683">
          <cell r="L683">
            <v>0.67520752628666203</v>
          </cell>
          <cell r="AE683"/>
          <cell r="AF683"/>
        </row>
        <row r="684">
          <cell r="L684">
            <v>0.68803895113509705</v>
          </cell>
          <cell r="AE684">
            <v>2</v>
          </cell>
          <cell r="AF684"/>
        </row>
        <row r="685">
          <cell r="L685">
            <v>0.561818181818181</v>
          </cell>
          <cell r="AE685">
            <v>1</v>
          </cell>
          <cell r="AF685"/>
        </row>
        <row r="686">
          <cell r="L686">
            <v>0.46153403974017498</v>
          </cell>
          <cell r="AE686">
            <v>3</v>
          </cell>
          <cell r="AF686"/>
        </row>
        <row r="687">
          <cell r="L687">
            <v>0.35551527705851799</v>
          </cell>
          <cell r="AE687">
            <v>2</v>
          </cell>
          <cell r="AF687"/>
        </row>
        <row r="688">
          <cell r="L688">
            <v>0</v>
          </cell>
          <cell r="AE688">
            <v>4</v>
          </cell>
          <cell r="AF688"/>
        </row>
        <row r="689">
          <cell r="L689">
            <v>4.3508355581924202E-3</v>
          </cell>
          <cell r="AE689">
            <v>4</v>
          </cell>
          <cell r="AF689"/>
        </row>
        <row r="690">
          <cell r="L690">
            <v>3.0734206033010799E-2</v>
          </cell>
          <cell r="AE690">
            <v>2</v>
          </cell>
          <cell r="AF690"/>
        </row>
        <row r="691">
          <cell r="L691">
            <v>0.25364689580847499</v>
          </cell>
          <cell r="AE691">
            <v>2</v>
          </cell>
          <cell r="AF691"/>
        </row>
        <row r="692">
          <cell r="L692">
            <v>3.0769230769230702E-2</v>
          </cell>
          <cell r="AE692">
            <v>1</v>
          </cell>
          <cell r="AF692"/>
        </row>
        <row r="693">
          <cell r="L693">
            <v>3.0848821613335801E-2</v>
          </cell>
          <cell r="AE693"/>
          <cell r="AF693"/>
        </row>
        <row r="694">
          <cell r="L694">
            <v>0</v>
          </cell>
          <cell r="AE694"/>
          <cell r="AF694"/>
        </row>
        <row r="695">
          <cell r="L695">
            <v>3.07599517490952E-2</v>
          </cell>
          <cell r="AE695">
            <v>3</v>
          </cell>
          <cell r="AF695"/>
        </row>
        <row r="696">
          <cell r="L696">
            <v>3.0866999546073502E-2</v>
          </cell>
          <cell r="AE696">
            <v>1</v>
          </cell>
          <cell r="AF696"/>
        </row>
        <row r="697">
          <cell r="L697">
            <v>3.0495552731893201E-2</v>
          </cell>
          <cell r="AE697">
            <v>1</v>
          </cell>
          <cell r="AF697"/>
        </row>
        <row r="698">
          <cell r="L698">
            <v>3.0790520671164098E-2</v>
          </cell>
          <cell r="AE698">
            <v>2</v>
          </cell>
          <cell r="AF698"/>
        </row>
        <row r="699">
          <cell r="L699">
            <v>3.0790520671164098E-2</v>
          </cell>
          <cell r="AE699">
            <v>2</v>
          </cell>
          <cell r="AF699"/>
        </row>
        <row r="700">
          <cell r="L700">
            <v>3.0791281569712801E-2</v>
          </cell>
          <cell r="AE700">
            <v>3</v>
          </cell>
          <cell r="AF700"/>
        </row>
        <row r="701">
          <cell r="L701">
            <v>3.07618272007107E-2</v>
          </cell>
          <cell r="AE701">
            <v>2</v>
          </cell>
          <cell r="AF701"/>
        </row>
        <row r="702">
          <cell r="L702">
            <v>3.0759371996154999E-2</v>
          </cell>
          <cell r="AE702">
            <v>1</v>
          </cell>
          <cell r="AF702"/>
        </row>
        <row r="703">
          <cell r="L703">
            <v>3.0757964115708501E-2</v>
          </cell>
          <cell r="AE703"/>
          <cell r="AF703"/>
        </row>
        <row r="704">
          <cell r="L704">
            <v>3.076171875E-2</v>
          </cell>
          <cell r="AE704"/>
          <cell r="AF704"/>
        </row>
        <row r="705">
          <cell r="L705">
            <v>3.07604671033893E-2</v>
          </cell>
          <cell r="AE705">
            <v>3</v>
          </cell>
          <cell r="AF705"/>
        </row>
        <row r="706">
          <cell r="L706">
            <v>3.0752764894755601E-2</v>
          </cell>
          <cell r="AE706">
            <v>2</v>
          </cell>
          <cell r="AF706"/>
        </row>
        <row r="707">
          <cell r="L707">
            <v>3.0669144981412599E-2</v>
          </cell>
          <cell r="AE707">
            <v>1</v>
          </cell>
          <cell r="AF707"/>
        </row>
        <row r="708">
          <cell r="L708">
            <v>0</v>
          </cell>
          <cell r="AE708"/>
          <cell r="AF708"/>
        </row>
        <row r="709">
          <cell r="L709">
            <v>3.0809758332378801E-2</v>
          </cell>
          <cell r="AE709">
            <v>2</v>
          </cell>
          <cell r="AF709"/>
        </row>
        <row r="710">
          <cell r="L710">
            <v>5.7684384013185E-3</v>
          </cell>
          <cell r="AE710"/>
          <cell r="AF710"/>
        </row>
        <row r="711">
          <cell r="L711">
            <v>3.0707841776543999E-2</v>
          </cell>
          <cell r="AE711">
            <v>1</v>
          </cell>
          <cell r="AF711"/>
        </row>
        <row r="712">
          <cell r="L712">
            <v>3.0773618990270299E-2</v>
          </cell>
          <cell r="AE712">
            <v>2</v>
          </cell>
          <cell r="AF712"/>
        </row>
        <row r="713">
          <cell r="L713">
            <v>0.31081578221282002</v>
          </cell>
          <cell r="AE713"/>
          <cell r="AF713"/>
        </row>
        <row r="714">
          <cell r="L714">
            <v>0.40243636204863897</v>
          </cell>
          <cell r="AE714">
            <v>2</v>
          </cell>
          <cell r="AF714"/>
        </row>
        <row r="715">
          <cell r="L715">
            <v>3.07743849909064E-2</v>
          </cell>
          <cell r="AE715">
            <v>2</v>
          </cell>
          <cell r="AF715"/>
        </row>
        <row r="716">
          <cell r="L716">
            <v>0.18302419850141199</v>
          </cell>
          <cell r="AE716">
            <v>1</v>
          </cell>
          <cell r="AF716"/>
        </row>
        <row r="717">
          <cell r="L717">
            <v>3.0784132064347599E-2</v>
          </cell>
          <cell r="AE717">
            <v>2</v>
          </cell>
          <cell r="AF717"/>
        </row>
        <row r="718">
          <cell r="L718">
            <v>0</v>
          </cell>
          <cell r="AE718">
            <v>2</v>
          </cell>
          <cell r="AF718"/>
        </row>
        <row r="719">
          <cell r="L719">
            <v>0</v>
          </cell>
          <cell r="AE719"/>
          <cell r="AF719"/>
        </row>
        <row r="720">
          <cell r="L720">
            <v>0</v>
          </cell>
          <cell r="AE720"/>
          <cell r="AF720"/>
        </row>
        <row r="721">
          <cell r="L721">
            <v>0</v>
          </cell>
          <cell r="AE721"/>
          <cell r="AF721"/>
        </row>
        <row r="722">
          <cell r="L722">
            <v>0.398181544935377</v>
          </cell>
          <cell r="AE722">
            <v>1</v>
          </cell>
          <cell r="AF722"/>
        </row>
        <row r="723">
          <cell r="L723">
            <v>0.39192704691040298</v>
          </cell>
          <cell r="AE723">
            <v>2</v>
          </cell>
          <cell r="AF723"/>
        </row>
        <row r="724">
          <cell r="L724">
            <v>0.192301959907593</v>
          </cell>
          <cell r="AE724">
            <v>2</v>
          </cell>
          <cell r="AF724"/>
        </row>
        <row r="725">
          <cell r="L725">
            <v>0</v>
          </cell>
          <cell r="AE725">
            <v>5</v>
          </cell>
          <cell r="AF725"/>
        </row>
        <row r="726">
          <cell r="L726">
            <v>3.0813214739517099E-2</v>
          </cell>
          <cell r="AE726"/>
          <cell r="AF726"/>
        </row>
        <row r="727">
          <cell r="L727">
            <v>0</v>
          </cell>
          <cell r="AE727"/>
          <cell r="AF727"/>
        </row>
        <row r="728">
          <cell r="L728">
            <v>3.0790486529162098E-2</v>
          </cell>
          <cell r="AE728">
            <v>2</v>
          </cell>
          <cell r="AF728"/>
        </row>
        <row r="729">
          <cell r="L729">
            <v>3.07635780613267E-2</v>
          </cell>
          <cell r="AE729">
            <v>4</v>
          </cell>
          <cell r="AF729"/>
        </row>
        <row r="730">
          <cell r="L730">
            <v>8.3560559415955596E-3</v>
          </cell>
          <cell r="AE730"/>
          <cell r="AF730"/>
        </row>
        <row r="731">
          <cell r="L731">
            <v>9.1064314171883792E-3</v>
          </cell>
          <cell r="AE731">
            <v>1</v>
          </cell>
          <cell r="AF731"/>
        </row>
        <row r="732">
          <cell r="L732">
            <v>0</v>
          </cell>
          <cell r="AE732">
            <v>1</v>
          </cell>
          <cell r="AF732"/>
        </row>
        <row r="733">
          <cell r="L733">
            <v>0</v>
          </cell>
          <cell r="AE733"/>
          <cell r="AF733"/>
        </row>
        <row r="734">
          <cell r="L734">
            <v>0</v>
          </cell>
          <cell r="AE734"/>
          <cell r="AF734"/>
        </row>
        <row r="735">
          <cell r="L735">
            <v>0</v>
          </cell>
          <cell r="AE735"/>
          <cell r="AF735"/>
        </row>
        <row r="736">
          <cell r="L736">
            <v>0</v>
          </cell>
          <cell r="AE736"/>
          <cell r="AF736"/>
        </row>
        <row r="737">
          <cell r="L737">
            <v>0</v>
          </cell>
          <cell r="AE737"/>
          <cell r="AF737"/>
        </row>
        <row r="738">
          <cell r="L738">
            <v>0</v>
          </cell>
          <cell r="AE738"/>
          <cell r="AF738"/>
        </row>
        <row r="739">
          <cell r="L739">
            <v>0</v>
          </cell>
          <cell r="AE739"/>
          <cell r="AF739"/>
        </row>
        <row r="740">
          <cell r="L740">
            <v>0</v>
          </cell>
          <cell r="AE740"/>
          <cell r="AF740"/>
        </row>
        <row r="741">
          <cell r="L741">
            <v>3.0768127375744098E-2</v>
          </cell>
          <cell r="AE741">
            <v>2</v>
          </cell>
          <cell r="AF741"/>
        </row>
        <row r="742">
          <cell r="L742">
            <v>3.0755106724810601E-2</v>
          </cell>
          <cell r="AE742"/>
          <cell r="AF742"/>
        </row>
        <row r="743">
          <cell r="L743">
            <v>0.42332443886359999</v>
          </cell>
          <cell r="AE743"/>
          <cell r="AF743"/>
        </row>
        <row r="744">
          <cell r="L744">
            <v>0.23069635243960199</v>
          </cell>
          <cell r="AE744"/>
          <cell r="AF744"/>
        </row>
        <row r="745">
          <cell r="L745">
            <v>0.23069635243960199</v>
          </cell>
          <cell r="AE745"/>
          <cell r="AF745"/>
        </row>
        <row r="746">
          <cell r="L746">
            <v>0.23069635243960199</v>
          </cell>
          <cell r="AE746"/>
          <cell r="AF746"/>
        </row>
        <row r="747">
          <cell r="L747">
            <v>0.60826432022084098</v>
          </cell>
          <cell r="AE747"/>
          <cell r="AF747"/>
        </row>
        <row r="748">
          <cell r="L748">
            <v>0.23069635243960199</v>
          </cell>
          <cell r="AE748"/>
          <cell r="AF748"/>
        </row>
        <row r="749">
          <cell r="L749">
            <v>0.23069635243960199</v>
          </cell>
          <cell r="AE749"/>
          <cell r="AF749"/>
        </row>
        <row r="750">
          <cell r="L750">
            <v>0.23069635243960199</v>
          </cell>
          <cell r="AE750"/>
          <cell r="AF750"/>
        </row>
        <row r="751">
          <cell r="L751">
            <v>0.42721117223867899</v>
          </cell>
          <cell r="AE751"/>
          <cell r="AF751"/>
        </row>
        <row r="752">
          <cell r="L752">
            <v>0.23069635243960199</v>
          </cell>
          <cell r="AE752"/>
          <cell r="AF752"/>
        </row>
        <row r="753">
          <cell r="L753">
            <v>0.23069635243960199</v>
          </cell>
          <cell r="AE753"/>
          <cell r="AF753"/>
        </row>
        <row r="754">
          <cell r="L754">
            <v>0.23069635243960199</v>
          </cell>
          <cell r="AE754"/>
          <cell r="AF754"/>
        </row>
        <row r="755">
          <cell r="L755">
            <v>0.23069635243960199</v>
          </cell>
          <cell r="AE755">
            <v>1</v>
          </cell>
          <cell r="AF755"/>
        </row>
        <row r="756">
          <cell r="L756">
            <v>0.47467667737175501</v>
          </cell>
          <cell r="AE756">
            <v>2</v>
          </cell>
          <cell r="AF756"/>
        </row>
        <row r="757">
          <cell r="L757">
            <v>0.42575713025580703</v>
          </cell>
          <cell r="AE757">
            <v>1</v>
          </cell>
          <cell r="AF757"/>
        </row>
        <row r="758">
          <cell r="L758">
            <v>0.23069635243960199</v>
          </cell>
          <cell r="AE758"/>
          <cell r="AF758"/>
        </row>
        <row r="759">
          <cell r="L759">
            <v>0.23069635243960199</v>
          </cell>
          <cell r="AE759"/>
          <cell r="AF759"/>
        </row>
        <row r="760">
          <cell r="L760">
            <v>0.23069635243960199</v>
          </cell>
          <cell r="AE760"/>
          <cell r="AF760"/>
        </row>
        <row r="761">
          <cell r="L761">
            <v>0.23069635243960199</v>
          </cell>
          <cell r="AE761"/>
          <cell r="AF761"/>
        </row>
        <row r="762">
          <cell r="L762">
            <v>0.60826432022084098</v>
          </cell>
          <cell r="AE762"/>
          <cell r="AF762"/>
        </row>
        <row r="763">
          <cell r="L763">
            <v>0.23069635243960199</v>
          </cell>
          <cell r="AE763"/>
          <cell r="AF763"/>
        </row>
        <row r="764">
          <cell r="L764">
            <v>0.23069635243960199</v>
          </cell>
          <cell r="AE764"/>
          <cell r="AF764"/>
        </row>
        <row r="765">
          <cell r="L765">
            <v>0.23069635243960199</v>
          </cell>
          <cell r="AE765"/>
          <cell r="AF765"/>
        </row>
        <row r="766">
          <cell r="L766">
            <v>0.42146790498890402</v>
          </cell>
          <cell r="AE766"/>
          <cell r="AF766"/>
        </row>
        <row r="767">
          <cell r="L767">
            <v>0.23069635243960199</v>
          </cell>
          <cell r="AE767"/>
          <cell r="AF767"/>
        </row>
        <row r="768">
          <cell r="L768">
            <v>0.23069635243960199</v>
          </cell>
          <cell r="AE768"/>
          <cell r="AF768"/>
        </row>
        <row r="769">
          <cell r="L769">
            <v>0.23060156931124601</v>
          </cell>
          <cell r="AE769"/>
          <cell r="AF769"/>
        </row>
        <row r="770">
          <cell r="L770">
            <v>4.5985821038513099E-3</v>
          </cell>
          <cell r="AE770"/>
          <cell r="AF770"/>
        </row>
        <row r="771">
          <cell r="L771">
            <v>3.0651340996168501E-2</v>
          </cell>
          <cell r="AE771"/>
          <cell r="AF771"/>
        </row>
        <row r="772">
          <cell r="L772">
            <v>9.9303394101081903E-3</v>
          </cell>
          <cell r="AE772">
            <v>5</v>
          </cell>
          <cell r="AF772"/>
        </row>
        <row r="773">
          <cell r="L773">
            <v>1.3139885026006E-2</v>
          </cell>
          <cell r="AE773"/>
          <cell r="AF773"/>
        </row>
        <row r="774">
          <cell r="L774">
            <v>1.4570966001079299E-2</v>
          </cell>
          <cell r="AE774">
            <v>3</v>
          </cell>
          <cell r="AF774"/>
        </row>
        <row r="775">
          <cell r="L775">
            <v>1.8154650728427299E-2</v>
          </cell>
          <cell r="AE775">
            <v>4</v>
          </cell>
          <cell r="AF775"/>
        </row>
        <row r="776">
          <cell r="L776">
            <v>0</v>
          </cell>
          <cell r="AE776"/>
          <cell r="AF776"/>
        </row>
        <row r="777">
          <cell r="L777">
            <v>0</v>
          </cell>
          <cell r="AE777"/>
          <cell r="AF777"/>
        </row>
        <row r="778">
          <cell r="L778">
            <v>0</v>
          </cell>
          <cell r="AE778"/>
          <cell r="AF778"/>
        </row>
        <row r="779">
          <cell r="L779">
            <v>0</v>
          </cell>
          <cell r="AE779"/>
          <cell r="AF779"/>
        </row>
        <row r="780">
          <cell r="L780">
            <v>0</v>
          </cell>
          <cell r="AE780"/>
          <cell r="AF780"/>
        </row>
        <row r="781">
          <cell r="L781">
            <v>0</v>
          </cell>
          <cell r="AE781"/>
          <cell r="AF781"/>
        </row>
        <row r="782">
          <cell r="L782">
            <v>0</v>
          </cell>
          <cell r="AE782"/>
          <cell r="AF782"/>
        </row>
        <row r="783">
          <cell r="L783">
            <v>0</v>
          </cell>
          <cell r="AE783"/>
          <cell r="AF783"/>
        </row>
        <row r="784">
          <cell r="L784">
            <v>0</v>
          </cell>
          <cell r="AE784"/>
          <cell r="AF784"/>
        </row>
        <row r="785">
          <cell r="L785">
            <v>0</v>
          </cell>
          <cell r="AE785"/>
          <cell r="AF785"/>
        </row>
        <row r="786">
          <cell r="L786">
            <v>0</v>
          </cell>
          <cell r="AE786"/>
          <cell r="AF786"/>
        </row>
        <row r="787">
          <cell r="L787">
            <v>0</v>
          </cell>
          <cell r="AE787"/>
          <cell r="AF787"/>
        </row>
        <row r="788">
          <cell r="L788"/>
          <cell r="AE788"/>
          <cell r="AF788"/>
        </row>
        <row r="789">
          <cell r="L789">
            <v>3.0765198302835702E-2</v>
          </cell>
          <cell r="AE789">
            <v>3</v>
          </cell>
          <cell r="AF789"/>
        </row>
        <row r="790">
          <cell r="L790">
            <v>3.0563514804202399E-2</v>
          </cell>
          <cell r="AE790"/>
          <cell r="AF790"/>
        </row>
        <row r="791">
          <cell r="L791">
            <v>0</v>
          </cell>
          <cell r="AE791"/>
          <cell r="AF791"/>
        </row>
        <row r="792">
          <cell r="L792">
            <v>0</v>
          </cell>
          <cell r="AE792"/>
          <cell r="AF792"/>
        </row>
        <row r="793">
          <cell r="L793">
            <v>0</v>
          </cell>
          <cell r="AE793"/>
          <cell r="AF793"/>
        </row>
        <row r="794">
          <cell r="L794">
            <v>0</v>
          </cell>
          <cell r="AE794"/>
          <cell r="AF794"/>
        </row>
        <row r="795">
          <cell r="L795"/>
          <cell r="AE795"/>
          <cell r="AF795"/>
        </row>
        <row r="796">
          <cell r="L796">
            <v>3.0753585580530901E-2</v>
          </cell>
          <cell r="AE796">
            <v>2</v>
          </cell>
          <cell r="AF796"/>
        </row>
        <row r="797">
          <cell r="L797">
            <v>3.0844155844155799E-2</v>
          </cell>
          <cell r="AE797"/>
          <cell r="AF797"/>
        </row>
        <row r="798">
          <cell r="L798">
            <v>0.229201788462948</v>
          </cell>
          <cell r="AE798">
            <v>1</v>
          </cell>
          <cell r="AF798"/>
        </row>
        <row r="799">
          <cell r="L799">
            <v>0.43076235188911199</v>
          </cell>
          <cell r="AE799">
            <v>3</v>
          </cell>
          <cell r="AF799"/>
        </row>
        <row r="800">
          <cell r="L800">
            <v>0.42671057091666198</v>
          </cell>
          <cell r="AE800">
            <v>2</v>
          </cell>
          <cell r="AF800"/>
        </row>
        <row r="801">
          <cell r="L801">
            <v>3.0765373733032401E-2</v>
          </cell>
          <cell r="AE801">
            <v>4</v>
          </cell>
          <cell r="AF801"/>
        </row>
        <row r="802">
          <cell r="L802">
            <v>3.07268071695883E-2</v>
          </cell>
          <cell r="AE802"/>
          <cell r="AF802"/>
        </row>
        <row r="803">
          <cell r="L803">
            <v>3.0780641572408601E-2</v>
          </cell>
          <cell r="AE803">
            <v>2</v>
          </cell>
          <cell r="AF803"/>
        </row>
        <row r="804">
          <cell r="L804">
            <v>0</v>
          </cell>
          <cell r="AE804">
            <v>4</v>
          </cell>
          <cell r="AF804"/>
        </row>
        <row r="805">
          <cell r="L805">
            <v>3.0759478386863E-2</v>
          </cell>
          <cell r="AE805">
            <v>3</v>
          </cell>
          <cell r="AF805"/>
        </row>
        <row r="806">
          <cell r="L806">
            <v>1.75805776475512E-2</v>
          </cell>
          <cell r="AE806">
            <v>2</v>
          </cell>
          <cell r="AF806"/>
        </row>
        <row r="807">
          <cell r="L807">
            <v>3.07599517490952E-2</v>
          </cell>
          <cell r="AE807"/>
          <cell r="AF807"/>
        </row>
        <row r="808">
          <cell r="L808">
            <v>3.0755750273822501E-2</v>
          </cell>
          <cell r="AE808">
            <v>2</v>
          </cell>
          <cell r="AF808"/>
        </row>
        <row r="809">
          <cell r="L809">
            <v>3.0755846681336602E-2</v>
          </cell>
          <cell r="AE809"/>
          <cell r="AF809"/>
        </row>
        <row r="810">
          <cell r="L810">
            <v>3.0773361976369401E-2</v>
          </cell>
          <cell r="AE810">
            <v>1</v>
          </cell>
          <cell r="AF810"/>
        </row>
        <row r="811">
          <cell r="L811">
            <v>3.07635868141082E-2</v>
          </cell>
          <cell r="AE811">
            <v>2</v>
          </cell>
          <cell r="AF811"/>
        </row>
        <row r="812">
          <cell r="L812">
            <v>3.0755846681336602E-2</v>
          </cell>
          <cell r="AE812"/>
          <cell r="AF812"/>
        </row>
        <row r="813">
          <cell r="L813">
            <v>3.0769230769230702E-2</v>
          </cell>
          <cell r="AE813">
            <v>1</v>
          </cell>
          <cell r="AF813"/>
        </row>
        <row r="814">
          <cell r="L814">
            <v>3.0721569639860499E-2</v>
          </cell>
          <cell r="AE814"/>
          <cell r="AF814"/>
        </row>
        <row r="815">
          <cell r="L815">
            <v>3.0760029051138501E-2</v>
          </cell>
          <cell r="AE815">
            <v>5</v>
          </cell>
          <cell r="AF815"/>
        </row>
        <row r="816">
          <cell r="L816">
            <v>3.07595731324544E-2</v>
          </cell>
          <cell r="AE816">
            <v>1</v>
          </cell>
          <cell r="AF816"/>
        </row>
        <row r="817">
          <cell r="L817">
            <v>3.0782570995014E-2</v>
          </cell>
          <cell r="AE817">
            <v>1</v>
          </cell>
          <cell r="AF817"/>
        </row>
        <row r="818">
          <cell r="L818">
            <v>3.07456872565386E-2</v>
          </cell>
          <cell r="AE818"/>
          <cell r="AF818"/>
        </row>
        <row r="819">
          <cell r="L819">
            <v>3.0790960451977399E-2</v>
          </cell>
          <cell r="AE819">
            <v>2</v>
          </cell>
          <cell r="AF819"/>
        </row>
        <row r="820">
          <cell r="L820">
            <v>3.0782570995014E-2</v>
          </cell>
          <cell r="AE820">
            <v>1</v>
          </cell>
          <cell r="AF820"/>
        </row>
        <row r="821">
          <cell r="L821">
            <v>3.0798977971134501E-2</v>
          </cell>
          <cell r="AE821"/>
          <cell r="AF821"/>
        </row>
        <row r="822">
          <cell r="L822">
            <v>3.0790960451977399E-2</v>
          </cell>
          <cell r="AE822">
            <v>2</v>
          </cell>
          <cell r="AF822"/>
        </row>
        <row r="823">
          <cell r="L823">
            <v>3.07467769399172E-2</v>
          </cell>
          <cell r="AE823">
            <v>1</v>
          </cell>
          <cell r="AF823"/>
        </row>
        <row r="824">
          <cell r="L824">
            <v>1.5009380863039301E-2</v>
          </cell>
          <cell r="AE824">
            <v>2</v>
          </cell>
          <cell r="AF824"/>
        </row>
        <row r="825">
          <cell r="L825"/>
          <cell r="AE825"/>
          <cell r="AF825"/>
        </row>
        <row r="826">
          <cell r="L826">
            <v>3.0797451245414099E-2</v>
          </cell>
          <cell r="AE826">
            <v>2</v>
          </cell>
          <cell r="AF826"/>
        </row>
        <row r="827">
          <cell r="L827">
            <v>0</v>
          </cell>
          <cell r="AE827"/>
          <cell r="AF827"/>
        </row>
        <row r="828">
          <cell r="L828"/>
          <cell r="AE828"/>
          <cell r="AF828"/>
        </row>
        <row r="829">
          <cell r="L829">
            <v>3.6363636363636299E-3</v>
          </cell>
          <cell r="AE829">
            <v>1</v>
          </cell>
          <cell r="AF829"/>
        </row>
        <row r="830">
          <cell r="L830">
            <v>1.0327272727272701E-2</v>
          </cell>
          <cell r="AE830">
            <v>2</v>
          </cell>
          <cell r="AF830"/>
        </row>
        <row r="831">
          <cell r="L831"/>
          <cell r="AE831"/>
          <cell r="AF831"/>
        </row>
        <row r="832">
          <cell r="L832">
            <v>3.0763757115749499E-2</v>
          </cell>
          <cell r="AE832">
            <v>2</v>
          </cell>
          <cell r="AF832"/>
        </row>
        <row r="833">
          <cell r="L833">
            <v>0</v>
          </cell>
          <cell r="AE833"/>
          <cell r="AF833"/>
        </row>
        <row r="834">
          <cell r="L834">
            <v>0</v>
          </cell>
          <cell r="AE834"/>
          <cell r="AF834"/>
        </row>
        <row r="835">
          <cell r="L835">
            <v>0</v>
          </cell>
          <cell r="AE835"/>
          <cell r="AF835"/>
        </row>
        <row r="836">
          <cell r="L836">
            <v>0</v>
          </cell>
          <cell r="AE836"/>
          <cell r="AF836"/>
        </row>
        <row r="837">
          <cell r="L837">
            <v>1.69386745796241E-2</v>
          </cell>
          <cell r="AE837">
            <v>1</v>
          </cell>
          <cell r="AF837"/>
        </row>
        <row r="838">
          <cell r="L838">
            <v>1.8308005265047202E-2</v>
          </cell>
          <cell r="AE838">
            <v>2</v>
          </cell>
          <cell r="AF838"/>
        </row>
        <row r="839">
          <cell r="L839">
            <v>3.0702658149598099E-2</v>
          </cell>
          <cell r="AE839"/>
          <cell r="AF839"/>
        </row>
        <row r="840">
          <cell r="L840">
            <v>2.34940823176117E-2</v>
          </cell>
          <cell r="AE840">
            <v>2</v>
          </cell>
          <cell r="AF840"/>
        </row>
        <row r="841">
          <cell r="L841">
            <v>3.0763387770603799E-2</v>
          </cell>
          <cell r="AE841">
            <v>2</v>
          </cell>
          <cell r="AF841"/>
        </row>
        <row r="842">
          <cell r="L842">
            <v>3.0769230769230702E-2</v>
          </cell>
          <cell r="AE842">
            <v>2</v>
          </cell>
          <cell r="AF842"/>
        </row>
        <row r="843">
          <cell r="L843">
            <v>3.0815887301897799E-2</v>
          </cell>
          <cell r="AE843">
            <v>2</v>
          </cell>
          <cell r="AF843"/>
        </row>
        <row r="844">
          <cell r="L844">
            <v>3.0685061845860999E-2</v>
          </cell>
          <cell r="AE844">
            <v>1</v>
          </cell>
          <cell r="AF844"/>
        </row>
        <row r="845">
          <cell r="L845">
            <v>3.06936771025168E-2</v>
          </cell>
          <cell r="AE845"/>
          <cell r="AF845"/>
        </row>
        <row r="846">
          <cell r="L846">
            <v>0</v>
          </cell>
          <cell r="AE846"/>
          <cell r="AF846"/>
        </row>
        <row r="847">
          <cell r="L847">
            <v>7.9410915391279202E-3</v>
          </cell>
          <cell r="AE847">
            <v>5</v>
          </cell>
          <cell r="AF847"/>
        </row>
        <row r="848">
          <cell r="L848">
            <v>0</v>
          </cell>
          <cell r="AE848">
            <v>4</v>
          </cell>
          <cell r="AF848"/>
        </row>
        <row r="849">
          <cell r="L849">
            <v>0</v>
          </cell>
          <cell r="AE849">
            <v>2</v>
          </cell>
          <cell r="AF849"/>
        </row>
        <row r="850">
          <cell r="L850">
            <v>0</v>
          </cell>
          <cell r="AE850">
            <v>2</v>
          </cell>
          <cell r="AF850"/>
        </row>
        <row r="851">
          <cell r="L851">
            <v>3.0761440597506101E-2</v>
          </cell>
          <cell r="AE851">
            <v>2</v>
          </cell>
          <cell r="AF851"/>
        </row>
        <row r="852">
          <cell r="L852">
            <v>1.41332963835388E-2</v>
          </cell>
          <cell r="AE852">
            <v>2</v>
          </cell>
          <cell r="AF852"/>
        </row>
        <row r="853">
          <cell r="L853">
            <v>6.1522686490643403E-3</v>
          </cell>
          <cell r="AE853">
            <v>1</v>
          </cell>
          <cell r="AF853"/>
        </row>
        <row r="854">
          <cell r="L854">
            <v>3.07589434971581E-2</v>
          </cell>
          <cell r="AE854"/>
          <cell r="AF854"/>
        </row>
        <row r="855">
          <cell r="L855">
            <v>1.53813287759025E-2</v>
          </cell>
          <cell r="AE855">
            <v>2</v>
          </cell>
          <cell r="AF855"/>
        </row>
        <row r="856">
          <cell r="L856">
            <v>3.07778399552322E-2</v>
          </cell>
          <cell r="AE856">
            <v>1</v>
          </cell>
          <cell r="AF856"/>
        </row>
        <row r="857">
          <cell r="L857">
            <v>0.158745247148288</v>
          </cell>
          <cell r="AE857">
            <v>3</v>
          </cell>
          <cell r="AF857"/>
        </row>
        <row r="858">
          <cell r="L858">
            <v>3.0790520671164098E-2</v>
          </cell>
          <cell r="AE858">
            <v>2</v>
          </cell>
          <cell r="AF858"/>
        </row>
        <row r="859">
          <cell r="L859">
            <v>2.24223660756168E-2</v>
          </cell>
          <cell r="AE859">
            <v>2</v>
          </cell>
          <cell r="AF859"/>
        </row>
        <row r="860">
          <cell r="L860">
            <v>3.0672079386558401E-2</v>
          </cell>
          <cell r="AE860">
            <v>1</v>
          </cell>
          <cell r="AF860"/>
        </row>
        <row r="861">
          <cell r="L861">
            <v>2.0498183705241299E-2</v>
          </cell>
          <cell r="AE861">
            <v>1</v>
          </cell>
          <cell r="AF861"/>
        </row>
        <row r="862">
          <cell r="L862">
            <v>3.0790711346266899E-2</v>
          </cell>
          <cell r="AE862">
            <v>4</v>
          </cell>
          <cell r="AF862"/>
        </row>
        <row r="863">
          <cell r="L863">
            <v>3.0723781388478501E-2</v>
          </cell>
          <cell r="AE863"/>
          <cell r="AF863"/>
        </row>
        <row r="864">
          <cell r="L864">
            <v>3.07944980496817E-2</v>
          </cell>
          <cell r="AE864">
            <v>2</v>
          </cell>
          <cell r="AF864"/>
        </row>
        <row r="865">
          <cell r="L865">
            <v>0</v>
          </cell>
          <cell r="AE865"/>
          <cell r="AF865"/>
        </row>
        <row r="866">
          <cell r="L866">
            <v>3.0778712296983701E-2</v>
          </cell>
          <cell r="AE866">
            <v>3</v>
          </cell>
          <cell r="AF866"/>
        </row>
        <row r="867">
          <cell r="L867">
            <v>3.0738522954091799E-2</v>
          </cell>
          <cell r="AE867">
            <v>1</v>
          </cell>
          <cell r="AF867"/>
        </row>
        <row r="868">
          <cell r="L868">
            <v>3.0774590639879199E-2</v>
          </cell>
          <cell r="AE868">
            <v>2</v>
          </cell>
          <cell r="AF868"/>
        </row>
        <row r="869">
          <cell r="L869">
            <v>3.0783661635541901E-2</v>
          </cell>
          <cell r="AE869">
            <v>3</v>
          </cell>
          <cell r="AF869"/>
        </row>
        <row r="870">
          <cell r="L870">
            <v>3.0736618971912998E-2</v>
          </cell>
          <cell r="AE870"/>
          <cell r="AF870"/>
        </row>
        <row r="871">
          <cell r="L871">
            <v>3.0765873881736801E-2</v>
          </cell>
          <cell r="AE871">
            <v>2</v>
          </cell>
          <cell r="AF871"/>
        </row>
        <row r="872">
          <cell r="L872">
            <v>1.7686318131256901E-2</v>
          </cell>
          <cell r="AE872">
            <v>5</v>
          </cell>
          <cell r="AF872"/>
        </row>
        <row r="873">
          <cell r="L873">
            <v>3.09963099630996E-2</v>
          </cell>
          <cell r="AE873"/>
          <cell r="AF873"/>
        </row>
        <row r="874">
          <cell r="L874">
            <v>2.83479960899315E-2</v>
          </cell>
          <cell r="AE874">
            <v>1</v>
          </cell>
          <cell r="AF874"/>
        </row>
        <row r="875">
          <cell r="L875">
            <v>3.0709342560553601E-2</v>
          </cell>
          <cell r="AE875">
            <v>3</v>
          </cell>
          <cell r="AF875"/>
        </row>
        <row r="876">
          <cell r="L876">
            <v>2.9558745348219E-2</v>
          </cell>
          <cell r="AE876">
            <v>5</v>
          </cell>
          <cell r="AF876"/>
        </row>
        <row r="877">
          <cell r="L877">
            <v>3.0736618971912998E-2</v>
          </cell>
          <cell r="AE877"/>
          <cell r="AF877"/>
        </row>
        <row r="878">
          <cell r="L878">
            <v>1.21046466224131E-2</v>
          </cell>
          <cell r="AE878"/>
          <cell r="AF878"/>
        </row>
        <row r="879">
          <cell r="L879">
            <v>3.08059851628316E-2</v>
          </cell>
          <cell r="AE879">
            <v>2</v>
          </cell>
          <cell r="AF879"/>
        </row>
        <row r="880">
          <cell r="L880">
            <v>3.0837004405286299E-2</v>
          </cell>
          <cell r="AE880">
            <v>1</v>
          </cell>
          <cell r="AF880"/>
        </row>
        <row r="881">
          <cell r="L881">
            <v>0</v>
          </cell>
          <cell r="AE881">
            <v>2</v>
          </cell>
          <cell r="AF881"/>
        </row>
        <row r="882">
          <cell r="L882">
            <v>3.6002618372245202E-3</v>
          </cell>
          <cell r="AE882">
            <v>2</v>
          </cell>
          <cell r="AF882"/>
        </row>
        <row r="883">
          <cell r="L883">
            <v>0</v>
          </cell>
          <cell r="AE883"/>
          <cell r="AF883"/>
        </row>
        <row r="884">
          <cell r="L884">
            <v>0</v>
          </cell>
          <cell r="AE884"/>
          <cell r="AF884"/>
        </row>
        <row r="885">
          <cell r="L885">
            <v>0.330783168914837</v>
          </cell>
          <cell r="AE885">
            <v>3</v>
          </cell>
          <cell r="AF885"/>
        </row>
        <row r="886">
          <cell r="L886">
            <v>0.14154284551190699</v>
          </cell>
          <cell r="AE886">
            <v>3</v>
          </cell>
          <cell r="AF886"/>
        </row>
        <row r="887">
          <cell r="L887">
            <v>0.39225998901012599</v>
          </cell>
          <cell r="AE887">
            <v>2</v>
          </cell>
          <cell r="AF887"/>
        </row>
        <row r="888">
          <cell r="L888">
            <v>0.47945674503537999</v>
          </cell>
          <cell r="AE888">
            <v>3</v>
          </cell>
          <cell r="AF888"/>
        </row>
        <row r="889">
          <cell r="L889">
            <v>0</v>
          </cell>
          <cell r="AE889"/>
          <cell r="AF889"/>
        </row>
        <row r="890">
          <cell r="L890">
            <v>3.0801483631672299E-2</v>
          </cell>
          <cell r="AE890">
            <v>2</v>
          </cell>
          <cell r="AF890"/>
        </row>
        <row r="891">
          <cell r="L891">
            <v>0</v>
          </cell>
          <cell r="AE891"/>
          <cell r="AF891"/>
        </row>
        <row r="892">
          <cell r="L892">
            <v>2.0907183679374899E-2</v>
          </cell>
          <cell r="AE892">
            <v>3</v>
          </cell>
          <cell r="AF892"/>
        </row>
        <row r="893">
          <cell r="L893">
            <v>3.07550423032198E-2</v>
          </cell>
          <cell r="AE893">
            <v>5</v>
          </cell>
          <cell r="AF893"/>
        </row>
        <row r="894">
          <cell r="L894">
            <v>3.0785150692019099E-2</v>
          </cell>
          <cell r="AE894">
            <v>5</v>
          </cell>
          <cell r="AF894"/>
        </row>
        <row r="895">
          <cell r="L895">
            <v>0</v>
          </cell>
          <cell r="AE895"/>
          <cell r="AF895"/>
        </row>
        <row r="896">
          <cell r="L896">
            <v>0</v>
          </cell>
          <cell r="AE896"/>
          <cell r="AF896"/>
        </row>
        <row r="897">
          <cell r="L897">
            <v>0</v>
          </cell>
          <cell r="AE897"/>
          <cell r="AF897"/>
        </row>
        <row r="898">
          <cell r="L898">
            <v>0</v>
          </cell>
          <cell r="AE898"/>
          <cell r="AF898"/>
        </row>
        <row r="899">
          <cell r="L899">
            <v>3.0964467005076102E-2</v>
          </cell>
          <cell r="AE899"/>
          <cell r="AF899"/>
        </row>
        <row r="900">
          <cell r="L900">
            <v>0</v>
          </cell>
          <cell r="AE900"/>
          <cell r="AF900"/>
        </row>
        <row r="901">
          <cell r="L901">
            <v>0</v>
          </cell>
          <cell r="AE901"/>
          <cell r="AF901"/>
        </row>
        <row r="902">
          <cell r="L902">
            <v>0</v>
          </cell>
          <cell r="AE902"/>
          <cell r="AF902"/>
        </row>
        <row r="903">
          <cell r="L903">
            <v>0</v>
          </cell>
          <cell r="AE903"/>
          <cell r="AF903"/>
        </row>
        <row r="904">
          <cell r="L904">
            <v>0</v>
          </cell>
          <cell r="AE904"/>
          <cell r="AF904"/>
        </row>
        <row r="905">
          <cell r="L905">
            <v>0</v>
          </cell>
          <cell r="AE905"/>
          <cell r="AF905"/>
        </row>
        <row r="906">
          <cell r="L906">
            <v>0</v>
          </cell>
          <cell r="AE906"/>
          <cell r="AF906"/>
        </row>
        <row r="907">
          <cell r="L907">
            <v>2.2921818527677301E-2</v>
          </cell>
          <cell r="AE907">
            <v>3</v>
          </cell>
          <cell r="AF907"/>
        </row>
        <row r="908">
          <cell r="L908">
            <v>3.0767359844338999E-2</v>
          </cell>
          <cell r="AE908">
            <v>3</v>
          </cell>
          <cell r="AF908"/>
        </row>
        <row r="909">
          <cell r="L909">
            <v>3.08219178082191E-2</v>
          </cell>
          <cell r="AE909"/>
          <cell r="AF909"/>
        </row>
        <row r="910">
          <cell r="L910">
            <v>3.0508474576271101E-2</v>
          </cell>
          <cell r="AE910">
            <v>1</v>
          </cell>
          <cell r="AF910"/>
        </row>
        <row r="911">
          <cell r="L911">
            <v>0</v>
          </cell>
          <cell r="AE911"/>
          <cell r="AF911"/>
        </row>
        <row r="912">
          <cell r="L912">
            <v>0</v>
          </cell>
          <cell r="AE912"/>
          <cell r="AF912"/>
        </row>
        <row r="913">
          <cell r="L913">
            <v>0</v>
          </cell>
          <cell r="AE913"/>
          <cell r="AF913"/>
        </row>
        <row r="914">
          <cell r="L914">
            <v>0</v>
          </cell>
          <cell r="AE914"/>
          <cell r="AF914"/>
        </row>
        <row r="915">
          <cell r="L915">
            <v>0</v>
          </cell>
          <cell r="AE915"/>
          <cell r="AF915"/>
        </row>
        <row r="916">
          <cell r="L916">
            <v>0</v>
          </cell>
          <cell r="AE916"/>
          <cell r="AF916"/>
        </row>
        <row r="917">
          <cell r="L917">
            <v>0</v>
          </cell>
          <cell r="AE917"/>
          <cell r="AF917"/>
        </row>
        <row r="918">
          <cell r="L918">
            <v>0</v>
          </cell>
          <cell r="AE918"/>
          <cell r="AF918"/>
        </row>
        <row r="919">
          <cell r="L919">
            <v>0</v>
          </cell>
          <cell r="AE919"/>
          <cell r="AF919"/>
        </row>
        <row r="920">
          <cell r="L920">
            <v>0</v>
          </cell>
          <cell r="AE920"/>
          <cell r="AF920"/>
        </row>
        <row r="921">
          <cell r="L921">
            <v>0</v>
          </cell>
          <cell r="AE921"/>
          <cell r="AF921"/>
        </row>
        <row r="922">
          <cell r="L922">
            <v>0</v>
          </cell>
          <cell r="AE922"/>
          <cell r="AF922"/>
        </row>
        <row r="923">
          <cell r="L923">
            <v>0</v>
          </cell>
          <cell r="AE923"/>
          <cell r="AF923"/>
        </row>
        <row r="924">
          <cell r="L924">
            <v>0</v>
          </cell>
          <cell r="AE924"/>
          <cell r="AF924"/>
        </row>
        <row r="925">
          <cell r="L925">
            <v>0</v>
          </cell>
          <cell r="AE925"/>
          <cell r="AF925"/>
        </row>
        <row r="926">
          <cell r="L926">
            <v>0</v>
          </cell>
          <cell r="AE926"/>
          <cell r="AF926"/>
        </row>
        <row r="927">
          <cell r="L927">
            <v>0</v>
          </cell>
          <cell r="AE927"/>
          <cell r="AF927"/>
        </row>
        <row r="928">
          <cell r="L928">
            <v>0</v>
          </cell>
          <cell r="AE928"/>
          <cell r="AF928"/>
        </row>
        <row r="929">
          <cell r="L929">
            <v>0</v>
          </cell>
          <cell r="AE929"/>
          <cell r="AF929"/>
        </row>
        <row r="930">
          <cell r="L930">
            <v>0</v>
          </cell>
          <cell r="AE930"/>
          <cell r="AF930"/>
        </row>
        <row r="931">
          <cell r="L931">
            <v>0</v>
          </cell>
          <cell r="AE931"/>
          <cell r="AF931"/>
        </row>
        <row r="932">
          <cell r="L932">
            <v>0</v>
          </cell>
          <cell r="AE932"/>
          <cell r="AF932"/>
        </row>
        <row r="933">
          <cell r="L933">
            <v>0</v>
          </cell>
          <cell r="AE933"/>
          <cell r="AF933"/>
        </row>
        <row r="934">
          <cell r="L934">
            <v>0</v>
          </cell>
          <cell r="AE934"/>
          <cell r="AF934"/>
        </row>
        <row r="935">
          <cell r="L935">
            <v>0</v>
          </cell>
          <cell r="AE935"/>
          <cell r="AF935"/>
        </row>
        <row r="936">
          <cell r="L936">
            <v>0</v>
          </cell>
          <cell r="AE936"/>
          <cell r="AF936"/>
        </row>
        <row r="937">
          <cell r="L937"/>
          <cell r="AE937"/>
          <cell r="AF937"/>
        </row>
        <row r="938">
          <cell r="L938">
            <v>0</v>
          </cell>
          <cell r="AE938">
            <v>2</v>
          </cell>
          <cell r="AF938"/>
        </row>
        <row r="939">
          <cell r="L939">
            <v>3.0773088772658799E-2</v>
          </cell>
          <cell r="AE939"/>
          <cell r="AF939"/>
        </row>
        <row r="940">
          <cell r="L940">
            <v>0</v>
          </cell>
          <cell r="AE940">
            <v>2</v>
          </cell>
          <cell r="AF940"/>
        </row>
        <row r="941">
          <cell r="L941">
            <v>0</v>
          </cell>
          <cell r="AE941"/>
          <cell r="AF941"/>
        </row>
        <row r="942">
          <cell r="L942">
            <v>0</v>
          </cell>
          <cell r="AE942">
            <v>4</v>
          </cell>
          <cell r="AF942"/>
        </row>
        <row r="943">
          <cell r="L943">
            <v>0</v>
          </cell>
          <cell r="AE943">
            <v>3</v>
          </cell>
          <cell r="AF943"/>
        </row>
        <row r="944">
          <cell r="L944">
            <v>1.53799758745476E-2</v>
          </cell>
          <cell r="AE944">
            <v>2</v>
          </cell>
          <cell r="AF944"/>
        </row>
        <row r="945">
          <cell r="L945">
            <v>0</v>
          </cell>
          <cell r="AE945">
            <v>1</v>
          </cell>
          <cell r="AF945"/>
        </row>
        <row r="946">
          <cell r="L946"/>
          <cell r="AE946"/>
          <cell r="AF946"/>
        </row>
        <row r="947">
          <cell r="L947">
            <v>2.1052875641961899E-2</v>
          </cell>
          <cell r="AE947">
            <v>3</v>
          </cell>
          <cell r="AF947"/>
        </row>
        <row r="948">
          <cell r="L948"/>
          <cell r="AE948"/>
          <cell r="AF948"/>
        </row>
        <row r="949">
          <cell r="L949">
            <v>2.23604014036815E-2</v>
          </cell>
          <cell r="AE949">
            <v>3</v>
          </cell>
          <cell r="AF949"/>
        </row>
        <row r="950">
          <cell r="L950">
            <v>0</v>
          </cell>
          <cell r="AE950"/>
          <cell r="AF950"/>
        </row>
        <row r="951">
          <cell r="L951">
            <v>1.10460473782273E-2</v>
          </cell>
          <cell r="AE951">
            <v>2</v>
          </cell>
          <cell r="AF951"/>
        </row>
        <row r="952">
          <cell r="L952">
            <v>2.3201856148491799E-2</v>
          </cell>
          <cell r="AE952">
            <v>2</v>
          </cell>
          <cell r="AF952"/>
        </row>
        <row r="953">
          <cell r="L953">
            <v>3.0776746458231499E-2</v>
          </cell>
          <cell r="AE953">
            <v>5</v>
          </cell>
          <cell r="AF953"/>
        </row>
        <row r="954">
          <cell r="L954">
            <v>0</v>
          </cell>
          <cell r="AE954">
            <v>5</v>
          </cell>
          <cell r="AF954"/>
        </row>
        <row r="955">
          <cell r="L955">
            <v>3.0790486529162098E-2</v>
          </cell>
          <cell r="AE955">
            <v>1</v>
          </cell>
          <cell r="AF955"/>
        </row>
        <row r="956">
          <cell r="L956">
            <v>0</v>
          </cell>
          <cell r="AE956">
            <v>4</v>
          </cell>
          <cell r="AF956"/>
        </row>
        <row r="957">
          <cell r="L957">
            <v>0</v>
          </cell>
          <cell r="AE957">
            <v>4</v>
          </cell>
          <cell r="AF957"/>
        </row>
        <row r="958">
          <cell r="L958">
            <v>2.1026672723732799E-2</v>
          </cell>
          <cell r="AE958">
            <v>3</v>
          </cell>
          <cell r="AF958"/>
        </row>
        <row r="959">
          <cell r="L959">
            <v>1.26658624849215E-2</v>
          </cell>
          <cell r="AE959">
            <v>4</v>
          </cell>
          <cell r="AF959"/>
        </row>
        <row r="960">
          <cell r="L960">
            <v>0</v>
          </cell>
          <cell r="AE960">
            <v>1</v>
          </cell>
          <cell r="AF960"/>
        </row>
        <row r="961">
          <cell r="L961">
            <v>0</v>
          </cell>
          <cell r="AE961">
            <v>3</v>
          </cell>
          <cell r="AF961"/>
        </row>
        <row r="962">
          <cell r="L962">
            <v>0</v>
          </cell>
          <cell r="AE962"/>
          <cell r="AF962"/>
        </row>
        <row r="963">
          <cell r="L963">
            <v>0</v>
          </cell>
          <cell r="AE963"/>
          <cell r="AF963"/>
        </row>
        <row r="964">
          <cell r="L964">
            <v>0</v>
          </cell>
          <cell r="AE964"/>
          <cell r="AF964"/>
        </row>
        <row r="965">
          <cell r="L965">
            <v>0</v>
          </cell>
          <cell r="AE965"/>
          <cell r="AF965"/>
        </row>
        <row r="966">
          <cell r="L966">
            <v>0</v>
          </cell>
          <cell r="AE966">
            <v>1</v>
          </cell>
          <cell r="AF966"/>
        </row>
        <row r="967">
          <cell r="L967">
            <v>0</v>
          </cell>
          <cell r="AE967"/>
          <cell r="AF967"/>
        </row>
        <row r="968">
          <cell r="L968">
            <v>0</v>
          </cell>
          <cell r="AE968"/>
          <cell r="AF968"/>
        </row>
        <row r="969">
          <cell r="L969">
            <v>0</v>
          </cell>
          <cell r="AE969"/>
          <cell r="AF969"/>
        </row>
        <row r="970">
          <cell r="L970">
            <v>0</v>
          </cell>
          <cell r="AE970">
            <v>1</v>
          </cell>
          <cell r="AF970"/>
        </row>
        <row r="971">
          <cell r="L971">
            <v>0</v>
          </cell>
          <cell r="AE971"/>
          <cell r="AF971"/>
        </row>
        <row r="972">
          <cell r="L972">
            <v>0</v>
          </cell>
          <cell r="AE972"/>
          <cell r="AF972"/>
        </row>
        <row r="973">
          <cell r="L973">
            <v>0</v>
          </cell>
          <cell r="AE973"/>
          <cell r="AF973"/>
        </row>
        <row r="974">
          <cell r="L974">
            <v>0</v>
          </cell>
          <cell r="AE974"/>
          <cell r="AF974"/>
        </row>
        <row r="975">
          <cell r="L975">
            <v>0</v>
          </cell>
          <cell r="AE975"/>
          <cell r="AF975"/>
        </row>
        <row r="976">
          <cell r="L976">
            <v>0</v>
          </cell>
          <cell r="AE976"/>
          <cell r="AF976"/>
        </row>
        <row r="977">
          <cell r="L977">
            <v>0</v>
          </cell>
          <cell r="AE977"/>
          <cell r="AF977"/>
        </row>
        <row r="978">
          <cell r="L978">
            <v>0</v>
          </cell>
          <cell r="AE978">
            <v>1</v>
          </cell>
          <cell r="AF978"/>
        </row>
        <row r="979">
          <cell r="L979">
            <v>0</v>
          </cell>
          <cell r="AE979"/>
          <cell r="AF979"/>
        </row>
        <row r="980">
          <cell r="L980">
            <v>0</v>
          </cell>
          <cell r="AE980"/>
          <cell r="AF980"/>
        </row>
        <row r="981">
          <cell r="L981">
            <v>0</v>
          </cell>
          <cell r="AE981"/>
          <cell r="AF981"/>
        </row>
        <row r="982">
          <cell r="L982">
            <v>0</v>
          </cell>
          <cell r="AE982"/>
          <cell r="AF982"/>
        </row>
        <row r="983">
          <cell r="L983">
            <v>0</v>
          </cell>
          <cell r="AE983"/>
          <cell r="AF983"/>
        </row>
        <row r="984">
          <cell r="L984">
            <v>0</v>
          </cell>
          <cell r="AE984"/>
          <cell r="AF984"/>
        </row>
        <row r="985">
          <cell r="L985">
            <v>0</v>
          </cell>
          <cell r="AE985"/>
          <cell r="AF985"/>
        </row>
        <row r="986">
          <cell r="L986">
            <v>0</v>
          </cell>
          <cell r="AE986">
            <v>1</v>
          </cell>
          <cell r="AF986"/>
        </row>
        <row r="987">
          <cell r="L987">
            <v>0</v>
          </cell>
          <cell r="AE987"/>
          <cell r="AF987"/>
        </row>
        <row r="988">
          <cell r="L988">
            <v>0</v>
          </cell>
          <cell r="AE988"/>
          <cell r="AF988"/>
        </row>
        <row r="989">
          <cell r="L989">
            <v>0</v>
          </cell>
          <cell r="AE989"/>
          <cell r="AF989"/>
        </row>
        <row r="990">
          <cell r="L990">
            <v>0</v>
          </cell>
          <cell r="AE990"/>
          <cell r="AF990"/>
        </row>
        <row r="991">
          <cell r="L991">
            <v>0</v>
          </cell>
          <cell r="AE991"/>
          <cell r="AF991"/>
        </row>
        <row r="992">
          <cell r="L992">
            <v>0</v>
          </cell>
          <cell r="AE992"/>
          <cell r="AF992"/>
        </row>
        <row r="993">
          <cell r="L993">
            <v>0</v>
          </cell>
          <cell r="AE993"/>
          <cell r="AF993"/>
        </row>
        <row r="994">
          <cell r="L994">
            <v>0</v>
          </cell>
          <cell r="AE994"/>
          <cell r="AF994"/>
        </row>
        <row r="995">
          <cell r="L995">
            <v>0</v>
          </cell>
          <cell r="AE995">
            <v>1</v>
          </cell>
          <cell r="AF995"/>
        </row>
        <row r="996">
          <cell r="L996">
            <v>0</v>
          </cell>
          <cell r="AE996"/>
          <cell r="AF996"/>
        </row>
        <row r="997">
          <cell r="L997">
            <v>0</v>
          </cell>
          <cell r="AE997"/>
          <cell r="AF997"/>
        </row>
        <row r="998">
          <cell r="L998">
            <v>0</v>
          </cell>
          <cell r="AE998"/>
          <cell r="AF998"/>
        </row>
        <row r="999">
          <cell r="L999">
            <v>0</v>
          </cell>
          <cell r="AE999"/>
          <cell r="AF999"/>
        </row>
        <row r="1000">
          <cell r="L1000">
            <v>0</v>
          </cell>
          <cell r="AE1000"/>
          <cell r="AF1000"/>
        </row>
        <row r="1001">
          <cell r="L1001">
            <v>0</v>
          </cell>
          <cell r="AE1001"/>
          <cell r="AF1001"/>
        </row>
        <row r="1002">
          <cell r="L1002">
            <v>0</v>
          </cell>
          <cell r="AE1002"/>
          <cell r="AF1002"/>
        </row>
        <row r="1003">
          <cell r="L1003">
            <v>0</v>
          </cell>
          <cell r="AE1003"/>
          <cell r="AF1003"/>
        </row>
        <row r="1004">
          <cell r="L1004">
            <v>0.23171623598244701</v>
          </cell>
          <cell r="AE1004"/>
          <cell r="AF1004"/>
        </row>
        <row r="1005">
          <cell r="L1005">
            <v>3.1662269129287497E-2</v>
          </cell>
          <cell r="AE1005"/>
          <cell r="AF1005"/>
        </row>
        <row r="1006">
          <cell r="L1006"/>
          <cell r="AE1006"/>
          <cell r="AF1006"/>
        </row>
        <row r="1007">
          <cell r="L1007">
            <v>1</v>
          </cell>
          <cell r="AE1007"/>
          <cell r="AF1007"/>
        </row>
        <row r="1008">
          <cell r="L1008">
            <v>1</v>
          </cell>
          <cell r="AE1008"/>
          <cell r="AF1008"/>
        </row>
        <row r="1009">
          <cell r="L1009">
            <v>0</v>
          </cell>
          <cell r="AE1009"/>
          <cell r="AF1009"/>
        </row>
        <row r="1010">
          <cell r="L1010"/>
          <cell r="AE1010"/>
          <cell r="AF1010"/>
        </row>
        <row r="1011">
          <cell r="L1011">
            <v>1</v>
          </cell>
          <cell r="AE1011"/>
          <cell r="AF1011"/>
        </row>
        <row r="1012">
          <cell r="L1012">
            <v>1</v>
          </cell>
          <cell r="AE1012"/>
          <cell r="AF1012"/>
        </row>
        <row r="1013">
          <cell r="L1013">
            <v>1</v>
          </cell>
          <cell r="AE1013"/>
          <cell r="AF1013"/>
        </row>
        <row r="1014">
          <cell r="L1014">
            <v>0.68081659105638304</v>
          </cell>
          <cell r="AE1014"/>
          <cell r="AF1014"/>
        </row>
        <row r="1015">
          <cell r="L1015">
            <v>0.68081659105638304</v>
          </cell>
          <cell r="AE1015"/>
          <cell r="AF1015"/>
        </row>
        <row r="1016">
          <cell r="L1016">
            <v>0.91276479324630599</v>
          </cell>
          <cell r="AE1016"/>
          <cell r="AF1016"/>
        </row>
        <row r="1017">
          <cell r="L1017">
            <v>1</v>
          </cell>
          <cell r="AE1017"/>
          <cell r="AF1017"/>
        </row>
        <row r="1018">
          <cell r="L1018">
            <v>1</v>
          </cell>
          <cell r="AE1018"/>
          <cell r="AF1018"/>
        </row>
        <row r="1019">
          <cell r="L1019">
            <v>1</v>
          </cell>
          <cell r="AE1019"/>
          <cell r="AF1019"/>
        </row>
        <row r="1020">
          <cell r="L1020">
            <v>0.94986439932566102</v>
          </cell>
          <cell r="AE1020"/>
          <cell r="AF1020"/>
        </row>
        <row r="1021">
          <cell r="L1021">
            <v>0.68081659105638304</v>
          </cell>
          <cell r="AE1021"/>
          <cell r="AF1021"/>
        </row>
        <row r="1022">
          <cell r="L1022">
            <v>0.67350208266581202</v>
          </cell>
          <cell r="AE1022"/>
          <cell r="AF1022"/>
        </row>
        <row r="1023">
          <cell r="L1023">
            <v>0.68081659105638304</v>
          </cell>
          <cell r="AE1023"/>
          <cell r="AF1023"/>
        </row>
        <row r="1024">
          <cell r="L1024">
            <v>0.72666250390259102</v>
          </cell>
          <cell r="AE1024"/>
          <cell r="AF1024"/>
        </row>
        <row r="1025">
          <cell r="L1025">
            <v>0.68081659105638304</v>
          </cell>
          <cell r="AE1025"/>
          <cell r="AF1025"/>
        </row>
        <row r="1026">
          <cell r="L1026">
            <v>1</v>
          </cell>
          <cell r="AE1026"/>
          <cell r="AF1026"/>
        </row>
        <row r="1027">
          <cell r="L1027">
            <v>1</v>
          </cell>
          <cell r="AE1027"/>
          <cell r="AF1027"/>
        </row>
        <row r="1028">
          <cell r="L1028">
            <v>1</v>
          </cell>
          <cell r="AE1028"/>
          <cell r="AF1028"/>
        </row>
        <row r="1029">
          <cell r="L1029">
            <v>1</v>
          </cell>
          <cell r="AE1029"/>
          <cell r="AF1029"/>
        </row>
        <row r="1030">
          <cell r="L1030">
            <v>0.91276479324630599</v>
          </cell>
          <cell r="AE1030"/>
          <cell r="AF1030"/>
        </row>
        <row r="1031">
          <cell r="L1031">
            <v>0.94986439932566102</v>
          </cell>
          <cell r="AE1031"/>
          <cell r="AF1031"/>
        </row>
        <row r="1032">
          <cell r="L1032">
            <v>1</v>
          </cell>
          <cell r="AE1032"/>
          <cell r="AF1032"/>
        </row>
        <row r="1033">
          <cell r="L1033">
            <v>1</v>
          </cell>
          <cell r="AE1033"/>
          <cell r="AF1033"/>
        </row>
        <row r="1034">
          <cell r="L1034">
            <v>1</v>
          </cell>
          <cell r="AE1034"/>
          <cell r="AF1034"/>
        </row>
        <row r="1035">
          <cell r="L1035">
            <v>1</v>
          </cell>
          <cell r="AE1035"/>
          <cell r="AF1035"/>
        </row>
        <row r="1036">
          <cell r="L1036">
            <v>1</v>
          </cell>
          <cell r="AE1036"/>
          <cell r="AF1036"/>
        </row>
        <row r="1037">
          <cell r="L1037">
            <v>1</v>
          </cell>
          <cell r="AE1037"/>
          <cell r="AF1037"/>
        </row>
        <row r="1038">
          <cell r="L1038">
            <v>1</v>
          </cell>
          <cell r="AE1038"/>
          <cell r="AF1038"/>
        </row>
        <row r="1039">
          <cell r="L1039">
            <v>1</v>
          </cell>
          <cell r="AE1039"/>
          <cell r="AF1039"/>
        </row>
        <row r="1040">
          <cell r="L1040">
            <v>1</v>
          </cell>
          <cell r="AE1040"/>
          <cell r="AF1040"/>
        </row>
        <row r="1041">
          <cell r="L1041">
            <v>0.68081659105638304</v>
          </cell>
          <cell r="AE1041"/>
          <cell r="AF1041"/>
        </row>
        <row r="1042">
          <cell r="L1042">
            <v>0.67350208266581202</v>
          </cell>
          <cell r="AE1042"/>
          <cell r="AF1042"/>
        </row>
        <row r="1043">
          <cell r="L1043">
            <v>1</v>
          </cell>
          <cell r="AE1043"/>
          <cell r="AF1043"/>
        </row>
        <row r="1044">
          <cell r="L1044">
            <v>1</v>
          </cell>
          <cell r="AE1044"/>
          <cell r="AF1044"/>
        </row>
        <row r="1045">
          <cell r="L1045">
            <v>1</v>
          </cell>
          <cell r="AE1045"/>
          <cell r="AF1045"/>
        </row>
        <row r="1046">
          <cell r="L1046">
            <v>1</v>
          </cell>
          <cell r="AE1046"/>
          <cell r="AF1046"/>
        </row>
        <row r="1047">
          <cell r="L1047">
            <v>1</v>
          </cell>
          <cell r="AE1047"/>
          <cell r="AF1047"/>
        </row>
        <row r="1048">
          <cell r="L1048">
            <v>0.68081659105638304</v>
          </cell>
          <cell r="AE1048"/>
          <cell r="AF1048"/>
        </row>
        <row r="1049">
          <cell r="L1049">
            <v>0.67350208266581202</v>
          </cell>
          <cell r="AE1049"/>
          <cell r="AF1049"/>
        </row>
        <row r="1050">
          <cell r="L1050">
            <v>0.70863746958637397</v>
          </cell>
          <cell r="AE1050"/>
          <cell r="AF1050"/>
        </row>
        <row r="1051">
          <cell r="L1051">
            <v>1</v>
          </cell>
          <cell r="AE1051"/>
          <cell r="AF1051"/>
        </row>
        <row r="1052">
          <cell r="L1052">
            <v>1</v>
          </cell>
          <cell r="AE1052"/>
          <cell r="AF1052"/>
        </row>
        <row r="1053">
          <cell r="L1053">
            <v>1</v>
          </cell>
          <cell r="AE1053"/>
          <cell r="AF1053"/>
        </row>
        <row r="1054">
          <cell r="L1054">
            <v>1</v>
          </cell>
          <cell r="AE1054"/>
          <cell r="AF1054"/>
        </row>
        <row r="1055">
          <cell r="L1055">
            <v>1</v>
          </cell>
          <cell r="AE1055"/>
          <cell r="AF1055"/>
        </row>
        <row r="1056">
          <cell r="L1056">
            <v>1</v>
          </cell>
          <cell r="AE1056"/>
          <cell r="AF1056"/>
        </row>
        <row r="1057">
          <cell r="L1057">
            <v>0.76985559566786999</v>
          </cell>
          <cell r="AE1057"/>
          <cell r="AF1057"/>
        </row>
        <row r="1058">
          <cell r="L1058">
            <v>0.68081659105638304</v>
          </cell>
          <cell r="AE1058"/>
          <cell r="AF1058"/>
        </row>
        <row r="1059">
          <cell r="L1059">
            <v>0.68081659105638304</v>
          </cell>
          <cell r="AE1059"/>
          <cell r="AF1059"/>
        </row>
        <row r="1060">
          <cell r="L1060">
            <v>0.67350208266581202</v>
          </cell>
          <cell r="AE1060"/>
          <cell r="AF1060"/>
        </row>
        <row r="1061">
          <cell r="L1061">
            <v>0.67350208266581202</v>
          </cell>
          <cell r="AE1061"/>
          <cell r="AF1061"/>
        </row>
        <row r="1062">
          <cell r="L1062">
            <v>1</v>
          </cell>
          <cell r="AE1062"/>
          <cell r="AF1062"/>
        </row>
        <row r="1063">
          <cell r="L1063">
            <v>0.82518072289156597</v>
          </cell>
          <cell r="AE1063"/>
          <cell r="AF1063"/>
        </row>
        <row r="1064">
          <cell r="L1064">
            <v>0.95698708719768699</v>
          </cell>
          <cell r="AE1064"/>
          <cell r="AF1064"/>
        </row>
        <row r="1065">
          <cell r="L1065">
            <v>1</v>
          </cell>
          <cell r="AE1065"/>
          <cell r="AF1065"/>
        </row>
        <row r="1066">
          <cell r="L1066">
            <v>1</v>
          </cell>
          <cell r="AE1066"/>
          <cell r="AF1066"/>
        </row>
        <row r="1067">
          <cell r="L1067">
            <v>1</v>
          </cell>
          <cell r="AE1067"/>
          <cell r="AF1067"/>
        </row>
        <row r="1068">
          <cell r="L1068">
            <v>1</v>
          </cell>
          <cell r="AE1068"/>
          <cell r="AF1068"/>
        </row>
        <row r="1069">
          <cell r="L1069">
            <v>0.94350282485875703</v>
          </cell>
          <cell r="AE1069"/>
          <cell r="AF1069"/>
        </row>
        <row r="1070">
          <cell r="L1070">
            <v>0.95062565493435203</v>
          </cell>
          <cell r="AE1070"/>
          <cell r="AF1070"/>
        </row>
        <row r="1071">
          <cell r="L1071">
            <v>0.58457374830852504</v>
          </cell>
          <cell r="AE1071"/>
          <cell r="AF1071"/>
        </row>
        <row r="1072">
          <cell r="L1072">
            <v>1</v>
          </cell>
          <cell r="AE1072"/>
          <cell r="AF1072"/>
        </row>
        <row r="1073">
          <cell r="L1073">
            <v>0.68081659105638304</v>
          </cell>
          <cell r="AE1073"/>
          <cell r="AF1073"/>
        </row>
        <row r="1074">
          <cell r="L1074">
            <v>0.68081659105638304</v>
          </cell>
          <cell r="AE1074"/>
          <cell r="AF1074"/>
        </row>
        <row r="1075">
          <cell r="L1075">
            <v>0.68081659105638304</v>
          </cell>
          <cell r="AE1075"/>
          <cell r="AF1075"/>
        </row>
        <row r="1076">
          <cell r="L1076">
            <v>0.68081659105638304</v>
          </cell>
          <cell r="AE1076"/>
          <cell r="AF1076"/>
        </row>
        <row r="1077">
          <cell r="L1077">
            <v>0.68081659105638304</v>
          </cell>
          <cell r="AE1077"/>
          <cell r="AF1077"/>
        </row>
        <row r="1078">
          <cell r="L1078">
            <v>1</v>
          </cell>
          <cell r="AE1078"/>
          <cell r="AF1078"/>
        </row>
        <row r="1079">
          <cell r="L1079">
            <v>1</v>
          </cell>
          <cell r="AE1079"/>
          <cell r="AF1079"/>
        </row>
        <row r="1080">
          <cell r="L1080">
            <v>1</v>
          </cell>
          <cell r="AE1080"/>
          <cell r="AF1080"/>
        </row>
        <row r="1081">
          <cell r="L1081">
            <v>1</v>
          </cell>
          <cell r="AE1081"/>
          <cell r="AF1081"/>
        </row>
        <row r="1082">
          <cell r="L1082">
            <v>0.58467243510506695</v>
          </cell>
          <cell r="AE1082"/>
          <cell r="AF1082"/>
        </row>
        <row r="1083">
          <cell r="L1083">
            <v>0.68081659105638304</v>
          </cell>
          <cell r="AE1083"/>
          <cell r="AF1083"/>
        </row>
        <row r="1084">
          <cell r="L1084">
            <v>0.67350208266581202</v>
          </cell>
          <cell r="AE1084"/>
          <cell r="AF1084"/>
        </row>
        <row r="1085">
          <cell r="L1085">
            <v>0.55599472990777299</v>
          </cell>
          <cell r="AE1085"/>
          <cell r="AF1085"/>
        </row>
        <row r="1086">
          <cell r="L1086">
            <v>0.72191748151681301</v>
          </cell>
          <cell r="AE1086"/>
          <cell r="AF1086"/>
        </row>
        <row r="1087">
          <cell r="L1087">
            <v>1</v>
          </cell>
          <cell r="AE1087"/>
          <cell r="AF1087"/>
        </row>
        <row r="1088">
          <cell r="L1088">
            <v>1</v>
          </cell>
          <cell r="AE1088"/>
          <cell r="AF1088"/>
        </row>
        <row r="1089">
          <cell r="L1089">
            <v>1</v>
          </cell>
          <cell r="AE1089"/>
          <cell r="AF1089"/>
        </row>
        <row r="1090">
          <cell r="L1090">
            <v>0.68081659105638304</v>
          </cell>
          <cell r="AE1090"/>
          <cell r="AF1090"/>
        </row>
        <row r="1091">
          <cell r="L1091">
            <v>0.68081659105638304</v>
          </cell>
          <cell r="AE1091"/>
          <cell r="AF1091"/>
        </row>
        <row r="1092">
          <cell r="L1092">
            <v>0.69512195121951204</v>
          </cell>
          <cell r="AE1092"/>
          <cell r="AF1092"/>
        </row>
        <row r="1093">
          <cell r="L1093">
            <v>0.70863746958637397</v>
          </cell>
          <cell r="AE1093"/>
          <cell r="AF1093"/>
        </row>
        <row r="1094">
          <cell r="L1094">
            <v>0.76924018108405701</v>
          </cell>
          <cell r="AE1094"/>
          <cell r="AF1094"/>
        </row>
        <row r="1095">
          <cell r="L1095">
            <v>1</v>
          </cell>
          <cell r="AE1095"/>
          <cell r="AF1095"/>
        </row>
        <row r="1096">
          <cell r="L1096">
            <v>1</v>
          </cell>
          <cell r="AE1096"/>
          <cell r="AF1096"/>
        </row>
        <row r="1097">
          <cell r="L1097">
            <v>1</v>
          </cell>
          <cell r="AE1097"/>
          <cell r="AF1097"/>
        </row>
        <row r="1098">
          <cell r="L1098">
            <v>0.76923076923076905</v>
          </cell>
          <cell r="AE1098"/>
          <cell r="AF1098"/>
        </row>
        <row r="1099">
          <cell r="L1099">
            <v>1</v>
          </cell>
          <cell r="AE1099"/>
          <cell r="AF1099"/>
        </row>
        <row r="1100">
          <cell r="L1100">
            <v>1</v>
          </cell>
          <cell r="AE1100"/>
          <cell r="AF1100"/>
        </row>
        <row r="1101">
          <cell r="L1101">
            <v>1</v>
          </cell>
          <cell r="AE1101"/>
          <cell r="AF1101"/>
        </row>
        <row r="1102">
          <cell r="L1102">
            <v>0.70261219022103105</v>
          </cell>
          <cell r="AE1102"/>
          <cell r="AF1102"/>
        </row>
        <row r="1103">
          <cell r="L1103">
            <v>0.67350208266581202</v>
          </cell>
          <cell r="AE1103"/>
          <cell r="AF1103"/>
        </row>
        <row r="1104">
          <cell r="L1104">
            <v>0.67350208266581202</v>
          </cell>
          <cell r="AE1104"/>
          <cell r="AF1104"/>
        </row>
        <row r="1105">
          <cell r="L1105">
            <v>0.58467243510506695</v>
          </cell>
          <cell r="AE1105"/>
          <cell r="AF1105"/>
        </row>
        <row r="1106">
          <cell r="L1106">
            <v>0.707728653391832</v>
          </cell>
          <cell r="AE1106"/>
          <cell r="AF1106"/>
        </row>
        <row r="1107">
          <cell r="L1107">
            <v>0.707728653391832</v>
          </cell>
          <cell r="AE1107"/>
          <cell r="AF1107"/>
        </row>
        <row r="1108">
          <cell r="L1108">
            <v>0.68081659105638304</v>
          </cell>
          <cell r="AE1108"/>
          <cell r="AF1108"/>
        </row>
        <row r="1109">
          <cell r="L1109">
            <v>0.68081659105638304</v>
          </cell>
          <cell r="AE1109"/>
          <cell r="AF1109"/>
        </row>
        <row r="1110">
          <cell r="L1110">
            <v>1</v>
          </cell>
          <cell r="AE1110"/>
          <cell r="AF1110"/>
        </row>
        <row r="1111">
          <cell r="L1111">
            <v>1</v>
          </cell>
          <cell r="AE1111"/>
          <cell r="AF1111"/>
        </row>
        <row r="1112">
          <cell r="L1112">
            <v>1</v>
          </cell>
          <cell r="AE1112"/>
          <cell r="AF1112"/>
        </row>
        <row r="1113">
          <cell r="L1113">
            <v>1</v>
          </cell>
          <cell r="AE1113"/>
          <cell r="AF1113"/>
        </row>
        <row r="1114">
          <cell r="L1114">
            <v>1</v>
          </cell>
          <cell r="AE1114"/>
          <cell r="AF1114"/>
        </row>
        <row r="1115">
          <cell r="L1115">
            <v>1</v>
          </cell>
          <cell r="AE1115"/>
          <cell r="AF1115"/>
        </row>
        <row r="1116">
          <cell r="L1116"/>
          <cell r="AE1116"/>
          <cell r="AF1116"/>
        </row>
        <row r="1117">
          <cell r="L1117">
            <v>0</v>
          </cell>
          <cell r="AE1117"/>
          <cell r="AF1117"/>
        </row>
        <row r="1118">
          <cell r="L1118">
            <v>0</v>
          </cell>
          <cell r="AE1118"/>
          <cell r="AF1118"/>
        </row>
        <row r="1119">
          <cell r="L1119">
            <v>0</v>
          </cell>
          <cell r="AE1119">
            <v>2</v>
          </cell>
          <cell r="AF1119"/>
        </row>
        <row r="1120">
          <cell r="L1120">
            <v>1.4792899408283999E-3</v>
          </cell>
          <cell r="AE1120">
            <v>3</v>
          </cell>
          <cell r="AF1120"/>
        </row>
        <row r="1121">
          <cell r="L1121">
            <v>0</v>
          </cell>
          <cell r="AE1121">
            <v>3</v>
          </cell>
          <cell r="AF1121"/>
        </row>
        <row r="1122">
          <cell r="L1122">
            <v>6.5840343025844001E-3</v>
          </cell>
          <cell r="AE1122">
            <v>4</v>
          </cell>
          <cell r="AF1122"/>
        </row>
        <row r="1123">
          <cell r="L1123">
            <v>0</v>
          </cell>
          <cell r="AE1123">
            <v>1</v>
          </cell>
          <cell r="AF1123"/>
        </row>
        <row r="1124">
          <cell r="L1124">
            <v>0</v>
          </cell>
          <cell r="AE1124">
            <v>1</v>
          </cell>
          <cell r="AF1124"/>
        </row>
        <row r="1125">
          <cell r="L1125">
            <v>0</v>
          </cell>
          <cell r="AE1125">
            <v>2</v>
          </cell>
          <cell r="AF1125"/>
        </row>
        <row r="1126">
          <cell r="L1126">
            <v>0</v>
          </cell>
          <cell r="AE1126">
            <v>2</v>
          </cell>
          <cell r="AF1126"/>
        </row>
        <row r="1127">
          <cell r="L1127">
            <v>0</v>
          </cell>
          <cell r="AE1127">
            <v>3</v>
          </cell>
          <cell r="AF1127"/>
        </row>
        <row r="1128">
          <cell r="L1128">
            <v>0</v>
          </cell>
          <cell r="AE1128">
            <v>2</v>
          </cell>
          <cell r="AF1128"/>
        </row>
        <row r="1129">
          <cell r="L1129">
            <v>0</v>
          </cell>
          <cell r="AE1129">
            <v>3</v>
          </cell>
          <cell r="AF1129"/>
        </row>
        <row r="1130">
          <cell r="L1130">
            <v>0</v>
          </cell>
          <cell r="AE1130">
            <v>2</v>
          </cell>
          <cell r="AF1130"/>
        </row>
        <row r="1131">
          <cell r="L1131">
            <v>0</v>
          </cell>
          <cell r="AE1131">
            <v>3</v>
          </cell>
          <cell r="AF1131"/>
        </row>
        <row r="1132">
          <cell r="L1132">
            <v>0</v>
          </cell>
          <cell r="AE1132">
            <v>1</v>
          </cell>
          <cell r="AF1132"/>
        </row>
        <row r="1133">
          <cell r="L1133">
            <v>0</v>
          </cell>
          <cell r="AE1133">
            <v>3</v>
          </cell>
          <cell r="AF1133"/>
        </row>
        <row r="1134">
          <cell r="L1134">
            <v>0</v>
          </cell>
          <cell r="AE1134">
            <v>2</v>
          </cell>
          <cell r="AF1134"/>
        </row>
        <row r="1135">
          <cell r="L1135">
            <v>0</v>
          </cell>
          <cell r="AE1135">
            <v>3</v>
          </cell>
          <cell r="AF1135"/>
        </row>
        <row r="1136">
          <cell r="L1136">
            <v>0</v>
          </cell>
          <cell r="AE1136"/>
          <cell r="AF1136"/>
        </row>
        <row r="1137">
          <cell r="L1137">
            <v>0</v>
          </cell>
          <cell r="AE1137"/>
          <cell r="AF1137"/>
        </row>
        <row r="1138">
          <cell r="L1138">
            <v>0</v>
          </cell>
          <cell r="AE1138"/>
          <cell r="AF1138"/>
        </row>
        <row r="1139">
          <cell r="L1139">
            <v>0</v>
          </cell>
          <cell r="AE1139"/>
          <cell r="AF1139"/>
        </row>
        <row r="1140">
          <cell r="L1140">
            <v>0</v>
          </cell>
          <cell r="AE1140"/>
          <cell r="AF1140"/>
        </row>
        <row r="1141">
          <cell r="L1141">
            <v>0</v>
          </cell>
          <cell r="AE1141"/>
          <cell r="AF1141"/>
        </row>
        <row r="1142">
          <cell r="L1142">
            <v>0</v>
          </cell>
          <cell r="AE1142"/>
          <cell r="AF1142"/>
        </row>
        <row r="1143">
          <cell r="L1143">
            <v>0</v>
          </cell>
          <cell r="AE1143">
            <v>3</v>
          </cell>
          <cell r="AF1143"/>
        </row>
        <row r="1144">
          <cell r="L1144">
            <v>0.67693411026445505</v>
          </cell>
          <cell r="AE1144">
            <v>1</v>
          </cell>
          <cell r="AF1144"/>
        </row>
        <row r="1145">
          <cell r="L1145">
            <v>0.310711836510766</v>
          </cell>
          <cell r="AE1145">
            <v>3</v>
          </cell>
          <cell r="AF1145"/>
        </row>
        <row r="1146">
          <cell r="L1146">
            <v>0.11758906270540199</v>
          </cell>
          <cell r="AE1146">
            <v>2</v>
          </cell>
          <cell r="AF1146"/>
        </row>
        <row r="1147">
          <cell r="L1147">
            <v>9.2184174888759907E-2</v>
          </cell>
          <cell r="AE1147">
            <v>2</v>
          </cell>
          <cell r="AF1147"/>
        </row>
        <row r="1148">
          <cell r="L1148">
            <v>6.06121830487928E-3</v>
          </cell>
          <cell r="AE1148">
            <v>4</v>
          </cell>
          <cell r="AF1148"/>
        </row>
        <row r="1149">
          <cell r="L1149">
            <v>0.83537724356371301</v>
          </cell>
          <cell r="AE1149">
            <v>1</v>
          </cell>
          <cell r="AF1149"/>
        </row>
        <row r="1150">
          <cell r="L1150">
            <v>0.46886429710212801</v>
          </cell>
          <cell r="AE1150">
            <v>4</v>
          </cell>
          <cell r="AF1150"/>
        </row>
        <row r="1151">
          <cell r="L1151">
            <v>0.491717417783191</v>
          </cell>
          <cell r="AE1151"/>
          <cell r="AF1151"/>
        </row>
        <row r="1152">
          <cell r="L1152">
            <v>0.66155045904079901</v>
          </cell>
          <cell r="AE1152">
            <v>1</v>
          </cell>
          <cell r="AF1152"/>
        </row>
        <row r="1153">
          <cell r="L1153">
            <v>0.53925911961541995</v>
          </cell>
          <cell r="AE1153">
            <v>2</v>
          </cell>
          <cell r="AF1153"/>
        </row>
        <row r="1154">
          <cell r="L1154">
            <v>0.59997641370363797</v>
          </cell>
          <cell r="AE1154">
            <v>1</v>
          </cell>
          <cell r="AF1154"/>
        </row>
        <row r="1155">
          <cell r="L1155">
            <v>0.461486410285327</v>
          </cell>
          <cell r="AE1155">
            <v>1</v>
          </cell>
          <cell r="AF1155"/>
        </row>
        <row r="1156">
          <cell r="L1156">
            <v>0.56347702510658404</v>
          </cell>
          <cell r="AE1156">
            <v>1</v>
          </cell>
          <cell r="AF1156"/>
        </row>
        <row r="1157">
          <cell r="L1157">
            <v>0</v>
          </cell>
          <cell r="AE1157">
            <v>2</v>
          </cell>
          <cell r="AF1157"/>
        </row>
        <row r="1158">
          <cell r="L1158">
            <v>0.58460409621642295</v>
          </cell>
          <cell r="AE1158"/>
          <cell r="AF1158"/>
        </row>
        <row r="1159">
          <cell r="L1159">
            <v>0.69229612550749298</v>
          </cell>
          <cell r="AE1159"/>
          <cell r="AF1159"/>
        </row>
        <row r="1160">
          <cell r="L1160">
            <v>0</v>
          </cell>
          <cell r="AE1160">
            <v>2</v>
          </cell>
          <cell r="AF1160"/>
        </row>
        <row r="1161">
          <cell r="L1161">
            <v>0.43077671083019298</v>
          </cell>
          <cell r="AE1161">
            <v>3</v>
          </cell>
          <cell r="AF1161"/>
        </row>
        <row r="1162">
          <cell r="L1162">
            <v>0.65384615384615297</v>
          </cell>
          <cell r="AE1162">
            <v>2</v>
          </cell>
          <cell r="AF1162"/>
        </row>
        <row r="1163">
          <cell r="L1163">
            <v>0.65385925593904004</v>
          </cell>
          <cell r="AE1163">
            <v>2</v>
          </cell>
          <cell r="AF1163"/>
        </row>
        <row r="1164">
          <cell r="L1164">
            <v>0.126012404232032</v>
          </cell>
          <cell r="AE1164">
            <v>4</v>
          </cell>
          <cell r="AF1164"/>
        </row>
        <row r="1165">
          <cell r="L1165">
            <v>7.6902852635730198E-2</v>
          </cell>
          <cell r="AE1165">
            <v>1</v>
          </cell>
          <cell r="AF1165"/>
        </row>
        <row r="1166">
          <cell r="L1166">
            <v>3.9437360326015497E-2</v>
          </cell>
          <cell r="AE1166">
            <v>2</v>
          </cell>
          <cell r="AF1166"/>
        </row>
        <row r="1167">
          <cell r="L1167">
            <v>1.7957201558247499E-2</v>
          </cell>
          <cell r="AE1167">
            <v>5</v>
          </cell>
          <cell r="AF1167"/>
        </row>
        <row r="1168">
          <cell r="L1168">
            <v>0.92314410480349296</v>
          </cell>
          <cell r="AE1168">
            <v>1</v>
          </cell>
          <cell r="AF1168"/>
        </row>
        <row r="1169">
          <cell r="L1169">
            <v>0.41538773853024702</v>
          </cell>
          <cell r="AE1169"/>
          <cell r="AF1169"/>
        </row>
        <row r="1170">
          <cell r="L1170">
            <v>0.66772134927870397</v>
          </cell>
          <cell r="AE1170">
            <v>1</v>
          </cell>
          <cell r="AF1170"/>
        </row>
        <row r="1171">
          <cell r="L1171">
            <v>2.8089887640449399E-2</v>
          </cell>
          <cell r="AE1171">
            <v>8</v>
          </cell>
          <cell r="AF1171"/>
        </row>
        <row r="1172">
          <cell r="L1172">
            <v>0.61226093790935199</v>
          </cell>
          <cell r="AE1172">
            <v>2</v>
          </cell>
          <cell r="AF1172"/>
        </row>
        <row r="1173">
          <cell r="L1173">
            <v>0.51281912102625304</v>
          </cell>
          <cell r="AE1173">
            <v>1</v>
          </cell>
          <cell r="AF1173"/>
        </row>
        <row r="1174">
          <cell r="L1174">
            <v>0.46745963164404603</v>
          </cell>
          <cell r="AE1174"/>
          <cell r="AF1174"/>
        </row>
        <row r="1175">
          <cell r="L1175">
            <v>0.19233845880366099</v>
          </cell>
          <cell r="AE1175">
            <v>3</v>
          </cell>
          <cell r="AF1175"/>
        </row>
        <row r="1176">
          <cell r="L1176">
            <v>0</v>
          </cell>
          <cell r="AE1176"/>
          <cell r="AF1176"/>
        </row>
        <row r="1177">
          <cell r="L1177">
            <v>3.5886700559661602E-2</v>
          </cell>
          <cell r="AE1177">
            <v>3</v>
          </cell>
          <cell r="AF1177"/>
        </row>
        <row r="1178">
          <cell r="L1178">
            <v>0.19271831371475401</v>
          </cell>
          <cell r="AE1178">
            <v>4</v>
          </cell>
          <cell r="AF1178"/>
        </row>
        <row r="1179">
          <cell r="L1179">
            <v>0</v>
          </cell>
          <cell r="AE1179">
            <v>13</v>
          </cell>
          <cell r="AF1179"/>
        </row>
        <row r="1180">
          <cell r="L1180">
            <v>4.4836716681376801E-2</v>
          </cell>
          <cell r="AE1180">
            <v>5</v>
          </cell>
          <cell r="AF1180"/>
        </row>
        <row r="1181">
          <cell r="L1181">
            <v>0.45416880400899601</v>
          </cell>
          <cell r="AE1181">
            <v>4</v>
          </cell>
          <cell r="AF1181"/>
        </row>
        <row r="1182">
          <cell r="L1182">
            <v>0.54555729438358502</v>
          </cell>
          <cell r="AE1182">
            <v>1</v>
          </cell>
          <cell r="AF1182"/>
        </row>
        <row r="1183">
          <cell r="L1183">
            <v>0.69230032254973894</v>
          </cell>
          <cell r="AE1183"/>
          <cell r="AF1183"/>
        </row>
        <row r="1184">
          <cell r="L1184">
            <v>0.280011496822406</v>
          </cell>
          <cell r="AE1184">
            <v>3</v>
          </cell>
          <cell r="AF1184"/>
        </row>
        <row r="1185">
          <cell r="L1185">
            <v>0.65384028095892499</v>
          </cell>
          <cell r="AE1185">
            <v>1</v>
          </cell>
          <cell r="AF1185"/>
        </row>
        <row r="1186">
          <cell r="L1186">
            <v>0.38309114927344701</v>
          </cell>
          <cell r="AE1186">
            <v>2</v>
          </cell>
          <cell r="AF1186"/>
        </row>
        <row r="1187">
          <cell r="L1187">
            <v>0.220601969774155</v>
          </cell>
          <cell r="AE1187">
            <v>6</v>
          </cell>
          <cell r="AF1187"/>
        </row>
        <row r="1188">
          <cell r="L1188">
            <v>0.27409610772920101</v>
          </cell>
          <cell r="AE1188">
            <v>7</v>
          </cell>
          <cell r="AF1188"/>
        </row>
        <row r="1189">
          <cell r="L1189">
            <v>0.156652249582134</v>
          </cell>
          <cell r="AE1189">
            <v>4</v>
          </cell>
          <cell r="AF1189"/>
        </row>
        <row r="1190">
          <cell r="L1190">
            <v>0.46153320952589</v>
          </cell>
          <cell r="AE1190">
            <v>1</v>
          </cell>
          <cell r="AF1190"/>
        </row>
        <row r="1191">
          <cell r="L1191">
            <v>0.57692031328590898</v>
          </cell>
          <cell r="AE1191">
            <v>1</v>
          </cell>
          <cell r="AF1191"/>
        </row>
        <row r="1192">
          <cell r="L1192">
            <v>0.61539085776556601</v>
          </cell>
          <cell r="AE1192"/>
          <cell r="AF1192"/>
        </row>
        <row r="1193">
          <cell r="L1193">
            <v>0.114641918383529</v>
          </cell>
          <cell r="AE1193">
            <v>5</v>
          </cell>
          <cell r="AF1193"/>
        </row>
        <row r="1194">
          <cell r="L1194">
            <v>0.34150991357396998</v>
          </cell>
          <cell r="AE1194">
            <v>7</v>
          </cell>
          <cell r="AF1194"/>
        </row>
        <row r="1195">
          <cell r="L1195">
            <v>0</v>
          </cell>
          <cell r="AE1195"/>
          <cell r="AF1195"/>
        </row>
        <row r="1196">
          <cell r="L1196">
            <v>0.403848739746903</v>
          </cell>
          <cell r="AE1196">
            <v>2</v>
          </cell>
          <cell r="AF1196"/>
        </row>
        <row r="1197">
          <cell r="L1197">
            <v>0.39889304412864601</v>
          </cell>
          <cell r="AE1197">
            <v>3</v>
          </cell>
          <cell r="AF1197"/>
        </row>
        <row r="1198">
          <cell r="L1198">
            <v>3.07388933998376E-2</v>
          </cell>
          <cell r="AE1198">
            <v>2</v>
          </cell>
          <cell r="AF1198"/>
        </row>
        <row r="1199">
          <cell r="L1199">
            <v>1.5380178794578399E-2</v>
          </cell>
          <cell r="AE1199">
            <v>3</v>
          </cell>
          <cell r="AF1199"/>
        </row>
        <row r="1200">
          <cell r="L1200">
            <v>9.2353335247392001E-3</v>
          </cell>
          <cell r="AE1200">
            <v>7</v>
          </cell>
          <cell r="AF1200"/>
        </row>
        <row r="1201">
          <cell r="L1201">
            <v>0.24633848657445001</v>
          </cell>
          <cell r="AE1201">
            <v>2</v>
          </cell>
          <cell r="AF1201"/>
        </row>
        <row r="1202">
          <cell r="L1202">
            <v>0.56259436969432597</v>
          </cell>
          <cell r="AE1202"/>
          <cell r="AF1202"/>
        </row>
        <row r="1203">
          <cell r="L1203">
            <v>6.5403377110694105E-2</v>
          </cell>
          <cell r="AE1203">
            <v>12</v>
          </cell>
          <cell r="AF1203"/>
        </row>
        <row r="1204">
          <cell r="L1204">
            <v>0.64616166751397996</v>
          </cell>
          <cell r="AE1204">
            <v>2</v>
          </cell>
          <cell r="AF1204"/>
        </row>
        <row r="1205">
          <cell r="L1205">
            <v>0.65383142984750797</v>
          </cell>
          <cell r="AE1205"/>
          <cell r="AF1205"/>
        </row>
        <row r="1206">
          <cell r="L1206">
            <v>0.66148454349388897</v>
          </cell>
          <cell r="AE1206"/>
          <cell r="AF1206"/>
        </row>
        <row r="1207">
          <cell r="L1207">
            <v>0.21838553019005</v>
          </cell>
          <cell r="AE1207">
            <v>5</v>
          </cell>
          <cell r="AF1207"/>
        </row>
        <row r="1208">
          <cell r="L1208">
            <v>0.69232928345162104</v>
          </cell>
          <cell r="AE1208">
            <v>2</v>
          </cell>
          <cell r="AF1208"/>
        </row>
        <row r="1209">
          <cell r="L1209">
            <v>0.695726668010481</v>
          </cell>
          <cell r="AE1209">
            <v>2</v>
          </cell>
          <cell r="AF1209"/>
        </row>
        <row r="1210">
          <cell r="L1210">
            <v>0.36261159025571099</v>
          </cell>
          <cell r="AE1210">
            <v>3</v>
          </cell>
          <cell r="AF1210"/>
        </row>
        <row r="1211">
          <cell r="L1211">
            <v>0.30769476169208099</v>
          </cell>
          <cell r="AE1211">
            <v>3</v>
          </cell>
          <cell r="AF1211"/>
        </row>
        <row r="1212">
          <cell r="L1212">
            <v>0.30768379096545601</v>
          </cell>
          <cell r="AE1212">
            <v>3</v>
          </cell>
          <cell r="AF1212"/>
        </row>
        <row r="1213">
          <cell r="L1213">
            <v>0.24265842349304401</v>
          </cell>
          <cell r="AE1213">
            <v>3</v>
          </cell>
          <cell r="AF1213"/>
        </row>
        <row r="1214">
          <cell r="L1214">
            <v>0.35384770346494698</v>
          </cell>
          <cell r="AE1214">
            <v>4</v>
          </cell>
          <cell r="AF1214"/>
        </row>
        <row r="1215">
          <cell r="L1215">
            <v>0.30768499143998401</v>
          </cell>
          <cell r="AE1215">
            <v>2</v>
          </cell>
          <cell r="AF1215"/>
        </row>
        <row r="1216">
          <cell r="L1216">
            <v>4.0268456375838896E-3</v>
          </cell>
          <cell r="AE1216">
            <v>5</v>
          </cell>
          <cell r="AF1216"/>
        </row>
        <row r="1217">
          <cell r="L1217">
            <v>3.07604671033893E-2</v>
          </cell>
          <cell r="AE1217">
            <v>2</v>
          </cell>
          <cell r="AF1217"/>
        </row>
        <row r="1218">
          <cell r="L1218">
            <v>0.222480530047657</v>
          </cell>
          <cell r="AE1218"/>
          <cell r="AF1218"/>
        </row>
        <row r="1219">
          <cell r="L1219">
            <v>0.38615164650613798</v>
          </cell>
          <cell r="AE1219">
            <v>3</v>
          </cell>
          <cell r="AF1219"/>
        </row>
        <row r="1220">
          <cell r="L1220">
            <v>0.38616630206806302</v>
          </cell>
          <cell r="AE1220">
            <v>3</v>
          </cell>
          <cell r="AF1220"/>
        </row>
        <row r="1221">
          <cell r="L1221">
            <v>0.38614970865082898</v>
          </cell>
          <cell r="AE1221">
            <v>3</v>
          </cell>
          <cell r="AF1221"/>
        </row>
        <row r="1222">
          <cell r="L1222">
            <v>0.30771081438710401</v>
          </cell>
          <cell r="AE1222">
            <v>3</v>
          </cell>
          <cell r="AF1222"/>
        </row>
        <row r="1223">
          <cell r="L1223">
            <v>0.22919894285974601</v>
          </cell>
          <cell r="AE1223">
            <v>2</v>
          </cell>
          <cell r="AF1223"/>
        </row>
        <row r="1224">
          <cell r="L1224">
            <v>0</v>
          </cell>
          <cell r="AE1224">
            <v>2</v>
          </cell>
          <cell r="AF1224"/>
        </row>
        <row r="1225">
          <cell r="L1225">
            <v>0.27037982893509999</v>
          </cell>
          <cell r="AE1225">
            <v>3</v>
          </cell>
          <cell r="AF1225"/>
        </row>
        <row r="1226">
          <cell r="L1226">
            <v>0.30771705904434998</v>
          </cell>
          <cell r="AE1226">
            <v>3</v>
          </cell>
          <cell r="AF1226"/>
        </row>
        <row r="1227">
          <cell r="L1227">
            <v>0.37498906864888498</v>
          </cell>
          <cell r="AE1227">
            <v>2</v>
          </cell>
          <cell r="AF1227"/>
        </row>
        <row r="1228">
          <cell r="L1228">
            <v>0.21147656801946699</v>
          </cell>
          <cell r="AE1228">
            <v>4</v>
          </cell>
          <cell r="AF1228"/>
        </row>
        <row r="1229">
          <cell r="L1229">
            <v>0.27954565942486198</v>
          </cell>
          <cell r="AE1229">
            <v>4</v>
          </cell>
          <cell r="AF1229"/>
        </row>
        <row r="1230">
          <cell r="L1230">
            <v>0.46153147837138497</v>
          </cell>
          <cell r="AE1230">
            <v>2</v>
          </cell>
          <cell r="AF1230"/>
        </row>
        <row r="1231">
          <cell r="L1231">
            <v>3.6641221374045803E-2</v>
          </cell>
          <cell r="AE1231">
            <v>7</v>
          </cell>
          <cell r="AF1231"/>
        </row>
        <row r="1232">
          <cell r="L1232">
            <v>7.69230769230769E-2</v>
          </cell>
          <cell r="AE1232"/>
          <cell r="AF1232"/>
        </row>
        <row r="1233">
          <cell r="L1233">
            <v>3.0792529025744499E-2</v>
          </cell>
          <cell r="AE1233">
            <v>4</v>
          </cell>
          <cell r="AF1233"/>
        </row>
        <row r="1234">
          <cell r="L1234">
            <v>3.0805205368035701E-2</v>
          </cell>
          <cell r="AE1234">
            <v>1</v>
          </cell>
          <cell r="AF1234"/>
        </row>
        <row r="1235">
          <cell r="L1235">
            <v>0.108040201005025</v>
          </cell>
          <cell r="AE1235">
            <v>3</v>
          </cell>
          <cell r="AF1235"/>
        </row>
        <row r="1236">
          <cell r="L1236">
            <v>0.111614111770215</v>
          </cell>
          <cell r="AE1236">
            <v>4</v>
          </cell>
          <cell r="AF1236"/>
        </row>
        <row r="1237">
          <cell r="L1237">
            <v>0.33077020843924698</v>
          </cell>
          <cell r="AE1237">
            <v>4</v>
          </cell>
          <cell r="AF1237"/>
        </row>
        <row r="1238">
          <cell r="L1238">
            <v>0.36769161810847101</v>
          </cell>
          <cell r="AE1238">
            <v>2</v>
          </cell>
          <cell r="AF1238"/>
        </row>
        <row r="1239">
          <cell r="L1239">
            <v>0.30771081438710401</v>
          </cell>
          <cell r="AE1239">
            <v>2</v>
          </cell>
          <cell r="AF1239"/>
        </row>
        <row r="1240">
          <cell r="L1240">
            <v>0.22462196133477899</v>
          </cell>
          <cell r="AE1240">
            <v>3</v>
          </cell>
          <cell r="AF1240"/>
        </row>
        <row r="1241">
          <cell r="L1241">
            <v>0.30767680838202599</v>
          </cell>
          <cell r="AE1241">
            <v>2</v>
          </cell>
          <cell r="AF1241"/>
        </row>
        <row r="1242">
          <cell r="L1242">
            <v>0.196585392461681</v>
          </cell>
          <cell r="AE1242">
            <v>2</v>
          </cell>
          <cell r="AF1242"/>
        </row>
        <row r="1243">
          <cell r="L1243">
            <v>0.427151685035357</v>
          </cell>
          <cell r="AE1243">
            <v>1</v>
          </cell>
          <cell r="AF1243"/>
        </row>
        <row r="1244">
          <cell r="L1244">
            <v>0.45980762624527599</v>
          </cell>
          <cell r="AE1244">
            <v>3</v>
          </cell>
          <cell r="AF1244"/>
        </row>
        <row r="1245">
          <cell r="L1245">
            <v>0.26358327026602502</v>
          </cell>
          <cell r="AE1245">
            <v>2</v>
          </cell>
          <cell r="AF1245"/>
        </row>
        <row r="1246">
          <cell r="L1246">
            <v>0.461553126588713</v>
          </cell>
          <cell r="AE1246">
            <v>5</v>
          </cell>
          <cell r="AF1246"/>
        </row>
        <row r="1247">
          <cell r="L1247">
            <v>0.461535442342413</v>
          </cell>
          <cell r="AE1247">
            <v>1</v>
          </cell>
          <cell r="AF1247"/>
        </row>
        <row r="1248">
          <cell r="L1248">
            <v>0.40769161810847099</v>
          </cell>
          <cell r="AE1248">
            <v>3</v>
          </cell>
          <cell r="AF1248"/>
        </row>
        <row r="1249">
          <cell r="L1249">
            <v>0.59665761847139998</v>
          </cell>
          <cell r="AE1249">
            <v>3</v>
          </cell>
          <cell r="AF1249"/>
        </row>
        <row r="1250">
          <cell r="L1250">
            <v>0.415389300578621</v>
          </cell>
          <cell r="AE1250">
            <v>1</v>
          </cell>
          <cell r="AF1250"/>
        </row>
        <row r="1251">
          <cell r="L1251">
            <v>0.49849274745540301</v>
          </cell>
          <cell r="AE1251">
            <v>1</v>
          </cell>
          <cell r="AF1251"/>
        </row>
        <row r="1252">
          <cell r="L1252">
            <v>0.34766986646645498</v>
          </cell>
          <cell r="AE1252">
            <v>1</v>
          </cell>
          <cell r="AF1252"/>
        </row>
        <row r="1253">
          <cell r="L1253">
            <v>0.34615950559152397</v>
          </cell>
          <cell r="AE1253">
            <v>2</v>
          </cell>
          <cell r="AF1253"/>
        </row>
        <row r="1254">
          <cell r="L1254">
            <v>0.41684117012500699</v>
          </cell>
          <cell r="AE1254">
            <v>4</v>
          </cell>
          <cell r="AF1254"/>
        </row>
        <row r="1255">
          <cell r="L1255">
            <v>0.41693732707807002</v>
          </cell>
          <cell r="AE1255">
            <v>2</v>
          </cell>
          <cell r="AF1255"/>
        </row>
        <row r="1256">
          <cell r="L1256">
            <v>0.150951410125722</v>
          </cell>
          <cell r="AE1256">
            <v>4</v>
          </cell>
          <cell r="AF1256"/>
        </row>
        <row r="1257">
          <cell r="L1257">
            <v>0</v>
          </cell>
          <cell r="AE1257">
            <v>2</v>
          </cell>
          <cell r="AF1257"/>
        </row>
        <row r="1258">
          <cell r="L1258">
            <v>0</v>
          </cell>
          <cell r="AE1258"/>
          <cell r="AF1258"/>
        </row>
        <row r="1259">
          <cell r="L1259">
            <v>4.4633943427620601E-2</v>
          </cell>
          <cell r="AE1259">
            <v>5</v>
          </cell>
          <cell r="AF1259"/>
        </row>
        <row r="1260">
          <cell r="L1260">
            <v>0.18058529621698699</v>
          </cell>
          <cell r="AE1260">
            <v>3</v>
          </cell>
          <cell r="AF1260"/>
        </row>
        <row r="1261">
          <cell r="L1261">
            <v>3.0745448299553401E-2</v>
          </cell>
          <cell r="AE1261">
            <v>5</v>
          </cell>
          <cell r="AF1261"/>
        </row>
        <row r="1262">
          <cell r="L1262">
            <v>0.190764029403478</v>
          </cell>
          <cell r="AE1262">
            <v>6</v>
          </cell>
          <cell r="AF1262"/>
        </row>
        <row r="1263">
          <cell r="L1263">
            <v>0.19831913939937201</v>
          </cell>
          <cell r="AE1263">
            <v>5</v>
          </cell>
          <cell r="AF1263"/>
        </row>
        <row r="1264">
          <cell r="L1264">
            <v>0.125794392523364</v>
          </cell>
          <cell r="AE1264">
            <v>4</v>
          </cell>
          <cell r="AF1264"/>
        </row>
        <row r="1265">
          <cell r="L1265">
            <v>3.9851714550509697E-2</v>
          </cell>
          <cell r="AE1265">
            <v>6</v>
          </cell>
          <cell r="AF1265"/>
        </row>
        <row r="1266">
          <cell r="L1266">
            <v>0.25108615460283601</v>
          </cell>
          <cell r="AE1266">
            <v>6</v>
          </cell>
          <cell r="AF1266"/>
        </row>
        <row r="1267">
          <cell r="L1267">
            <v>0</v>
          </cell>
          <cell r="AE1267">
            <v>7</v>
          </cell>
          <cell r="AF1267"/>
        </row>
        <row r="1268">
          <cell r="L1268">
            <v>8.1415108913950197E-3</v>
          </cell>
          <cell r="AE1268">
            <v>8</v>
          </cell>
          <cell r="AF1268"/>
        </row>
        <row r="1269">
          <cell r="L1269">
            <v>0.25467603188382898</v>
          </cell>
          <cell r="AE1269">
            <v>6</v>
          </cell>
          <cell r="AF1269"/>
        </row>
        <row r="1270">
          <cell r="L1270">
            <v>0.34791423001949301</v>
          </cell>
          <cell r="AE1270">
            <v>6</v>
          </cell>
          <cell r="AF1270"/>
        </row>
        <row r="1271">
          <cell r="L1271">
            <v>0.282046048855156</v>
          </cell>
          <cell r="AE1271">
            <v>3</v>
          </cell>
          <cell r="AF1271"/>
        </row>
        <row r="1272">
          <cell r="L1272">
            <v>0.30771529313332902</v>
          </cell>
          <cell r="AE1272">
            <v>2</v>
          </cell>
          <cell r="AF1272"/>
        </row>
        <row r="1273">
          <cell r="L1273">
            <v>0</v>
          </cell>
          <cell r="AE1273">
            <v>10</v>
          </cell>
          <cell r="AF1273"/>
        </row>
        <row r="1274">
          <cell r="L1274">
            <v>0.26153166321084997</v>
          </cell>
          <cell r="AE1274">
            <v>3</v>
          </cell>
          <cell r="AF1274"/>
        </row>
        <row r="1275">
          <cell r="L1275">
            <v>0.17956429848805</v>
          </cell>
          <cell r="AE1275">
            <v>9</v>
          </cell>
          <cell r="AF1275"/>
        </row>
        <row r="1276">
          <cell r="L1276">
            <v>0</v>
          </cell>
          <cell r="AE1276">
            <v>4</v>
          </cell>
          <cell r="AF1276"/>
        </row>
        <row r="1277">
          <cell r="L1277">
            <v>0.289019016697588</v>
          </cell>
          <cell r="AE1277">
            <v>2</v>
          </cell>
          <cell r="AF1277"/>
        </row>
        <row r="1278">
          <cell r="L1278">
            <v>0.31538539246388497</v>
          </cell>
          <cell r="AE1278">
            <v>1</v>
          </cell>
          <cell r="AF1278"/>
        </row>
        <row r="1279">
          <cell r="L1279">
            <v>0.32395132055929499</v>
          </cell>
          <cell r="AE1279">
            <v>3</v>
          </cell>
          <cell r="AF1279"/>
        </row>
        <row r="1280">
          <cell r="L1280">
            <v>0.46155234657039701</v>
          </cell>
          <cell r="AE1280">
            <v>1</v>
          </cell>
          <cell r="AF1280"/>
        </row>
        <row r="1281">
          <cell r="L1281">
            <v>0.65383716855507501</v>
          </cell>
          <cell r="AE1281">
            <v>1</v>
          </cell>
          <cell r="AF1281"/>
        </row>
        <row r="1282">
          <cell r="L1282">
            <v>0.46153846153846101</v>
          </cell>
          <cell r="AE1282">
            <v>1</v>
          </cell>
          <cell r="AF1282"/>
        </row>
        <row r="1283">
          <cell r="L1283">
            <v>0</v>
          </cell>
          <cell r="AE1283">
            <v>9</v>
          </cell>
          <cell r="AF1283"/>
        </row>
        <row r="1284">
          <cell r="L1284">
            <v>0</v>
          </cell>
          <cell r="AE1284">
            <v>4</v>
          </cell>
          <cell r="AF1284"/>
        </row>
        <row r="1285">
          <cell r="L1285">
            <v>0</v>
          </cell>
          <cell r="AE1285"/>
          <cell r="AF1285"/>
        </row>
        <row r="1286">
          <cell r="L1286">
            <v>0</v>
          </cell>
          <cell r="AE1286">
            <v>4</v>
          </cell>
          <cell r="AF1286"/>
        </row>
        <row r="1287">
          <cell r="L1287">
            <v>0.119609275785884</v>
          </cell>
          <cell r="AE1287">
            <v>7</v>
          </cell>
          <cell r="AF1287"/>
        </row>
        <row r="1288">
          <cell r="L1288">
            <v>0</v>
          </cell>
          <cell r="AE1288">
            <v>1</v>
          </cell>
          <cell r="AF1288"/>
        </row>
        <row r="1289">
          <cell r="L1289">
            <v>3.0792444394769102E-2</v>
          </cell>
          <cell r="AE1289">
            <v>2</v>
          </cell>
          <cell r="AF1289"/>
        </row>
        <row r="1290">
          <cell r="L1290">
            <v>3.0819140308191401E-2</v>
          </cell>
          <cell r="AE1290"/>
          <cell r="AF1290"/>
        </row>
        <row r="1291">
          <cell r="L1291">
            <v>0</v>
          </cell>
          <cell r="AE1291"/>
          <cell r="AF1291"/>
        </row>
        <row r="1292">
          <cell r="L1292">
            <v>0</v>
          </cell>
          <cell r="AE1292"/>
          <cell r="AF1292"/>
        </row>
        <row r="1293">
          <cell r="L1293">
            <v>0</v>
          </cell>
          <cell r="AE1293"/>
          <cell r="AF1293"/>
        </row>
        <row r="1294">
          <cell r="L1294">
            <v>0</v>
          </cell>
          <cell r="AE1294">
            <v>1</v>
          </cell>
          <cell r="AF1294"/>
        </row>
        <row r="1295">
          <cell r="L1295">
            <v>0</v>
          </cell>
          <cell r="AE1295">
            <v>2</v>
          </cell>
          <cell r="AF1295"/>
        </row>
        <row r="1296">
          <cell r="L1296">
            <v>0</v>
          </cell>
          <cell r="AE1296">
            <v>1</v>
          </cell>
          <cell r="AF1296"/>
        </row>
        <row r="1297">
          <cell r="L1297">
            <v>0</v>
          </cell>
          <cell r="AE1297">
            <v>3</v>
          </cell>
          <cell r="AF1297"/>
        </row>
        <row r="1298">
          <cell r="L1298">
            <v>0.15605234460196199</v>
          </cell>
          <cell r="AE1298">
            <v>4</v>
          </cell>
          <cell r="AF1298"/>
        </row>
        <row r="1299">
          <cell r="L1299">
            <v>3.08398950131233E-2</v>
          </cell>
          <cell r="AE1299"/>
          <cell r="AF1299"/>
        </row>
        <row r="1300">
          <cell r="L1300">
            <v>3.08397582829756E-2</v>
          </cell>
          <cell r="AE1300">
            <v>3</v>
          </cell>
          <cell r="AF1300"/>
        </row>
        <row r="1301">
          <cell r="L1301">
            <v>0</v>
          </cell>
          <cell r="AE1301"/>
          <cell r="AF1301"/>
        </row>
        <row r="1302">
          <cell r="L1302">
            <v>0</v>
          </cell>
          <cell r="AE1302">
            <v>3</v>
          </cell>
          <cell r="AF1302"/>
        </row>
        <row r="1303">
          <cell r="L1303">
            <v>0</v>
          </cell>
          <cell r="AE1303">
            <v>2</v>
          </cell>
          <cell r="AF1303"/>
        </row>
        <row r="1304">
          <cell r="L1304">
            <v>0</v>
          </cell>
          <cell r="AE1304">
            <v>2</v>
          </cell>
          <cell r="AF1304"/>
        </row>
        <row r="1305">
          <cell r="L1305">
            <v>0.607736295320499</v>
          </cell>
          <cell r="AE1305"/>
          <cell r="AF1305"/>
        </row>
        <row r="1306">
          <cell r="L1306">
            <v>0.69232588947766804</v>
          </cell>
          <cell r="AE1306"/>
          <cell r="AF1306"/>
        </row>
        <row r="1307">
          <cell r="L1307">
            <v>3.0813124108416499E-2</v>
          </cell>
          <cell r="AE1307">
            <v>2</v>
          </cell>
          <cell r="AF1307"/>
        </row>
        <row r="1308">
          <cell r="L1308">
            <v>0.82318738437142103</v>
          </cell>
          <cell r="AE1308"/>
          <cell r="AF1308"/>
        </row>
        <row r="1309">
          <cell r="L1309">
            <v>0.69234004767023405</v>
          </cell>
          <cell r="AE1309"/>
          <cell r="AF1309"/>
        </row>
        <row r="1310">
          <cell r="L1310">
            <v>0.34613434143193</v>
          </cell>
          <cell r="AE1310"/>
          <cell r="AF1310"/>
        </row>
        <row r="1311">
          <cell r="L1311">
            <v>0</v>
          </cell>
          <cell r="AE1311">
            <v>3</v>
          </cell>
          <cell r="AF1311"/>
        </row>
        <row r="1312">
          <cell r="L1312">
            <v>0.27819741390346903</v>
          </cell>
          <cell r="AE1312">
            <v>1</v>
          </cell>
          <cell r="AF1312"/>
        </row>
        <row r="1313">
          <cell r="L1313">
            <v>3.0917210580556499E-2</v>
          </cell>
          <cell r="AE1313">
            <v>3</v>
          </cell>
          <cell r="AF1313"/>
        </row>
        <row r="1314">
          <cell r="L1314">
            <v>0.69230058657798699</v>
          </cell>
          <cell r="AE1314"/>
          <cell r="AF1314"/>
        </row>
        <row r="1315">
          <cell r="L1315">
            <v>0.46155006031363</v>
          </cell>
          <cell r="AE1315">
            <v>1</v>
          </cell>
          <cell r="AF1315"/>
        </row>
        <row r="1316">
          <cell r="L1316">
            <v>0.39735401459853997</v>
          </cell>
          <cell r="AE1316"/>
          <cell r="AF1316"/>
        </row>
        <row r="1317">
          <cell r="L1317">
            <v>0.39845512338505701</v>
          </cell>
          <cell r="AE1317"/>
          <cell r="AF1317"/>
        </row>
        <row r="1318">
          <cell r="L1318">
            <v>0.27041144630758102</v>
          </cell>
          <cell r="AE1318">
            <v>3</v>
          </cell>
          <cell r="AF1318"/>
        </row>
        <row r="1319">
          <cell r="L1319">
            <v>0</v>
          </cell>
          <cell r="AE1319"/>
          <cell r="AF1319"/>
        </row>
        <row r="1320">
          <cell r="L1320">
            <v>0.46152588555858298</v>
          </cell>
          <cell r="AE1320"/>
          <cell r="AF1320"/>
        </row>
        <row r="1321">
          <cell r="L1321">
            <v>0.39257517218209298</v>
          </cell>
          <cell r="AE1321">
            <v>5</v>
          </cell>
          <cell r="AF1321"/>
        </row>
        <row r="1322">
          <cell r="L1322">
            <v>0</v>
          </cell>
          <cell r="AE1322">
            <v>2</v>
          </cell>
          <cell r="AF1322"/>
        </row>
        <row r="1323">
          <cell r="L1323">
            <v>0</v>
          </cell>
          <cell r="AE1323">
            <v>4</v>
          </cell>
          <cell r="AF1323"/>
        </row>
        <row r="1324">
          <cell r="L1324">
            <v>0.428925588313818</v>
          </cell>
          <cell r="AE1324"/>
          <cell r="AF1324"/>
        </row>
        <row r="1325">
          <cell r="L1325">
            <v>0.33517797362847501</v>
          </cell>
          <cell r="AE1325">
            <v>2</v>
          </cell>
          <cell r="AF1325"/>
        </row>
        <row r="1326">
          <cell r="L1326">
            <v>0.20347246997264801</v>
          </cell>
          <cell r="AE1326">
            <v>1</v>
          </cell>
          <cell r="AF1326"/>
        </row>
        <row r="1327">
          <cell r="L1327">
            <v>3.0816640986132501E-2</v>
          </cell>
          <cell r="AE1327">
            <v>2</v>
          </cell>
          <cell r="AF1327"/>
        </row>
        <row r="1328">
          <cell r="L1328">
            <v>0.461643037483006</v>
          </cell>
          <cell r="AE1328"/>
          <cell r="AF1328"/>
        </row>
        <row r="1329">
          <cell r="L1329">
            <v>7.6865671641791006E-2</v>
          </cell>
          <cell r="AE1329">
            <v>1</v>
          </cell>
          <cell r="AF1329"/>
        </row>
        <row r="1330">
          <cell r="L1330">
            <v>3.0866999546073502E-2</v>
          </cell>
          <cell r="AE1330">
            <v>1</v>
          </cell>
          <cell r="AF1330"/>
        </row>
        <row r="1331">
          <cell r="L1331">
            <v>0.369875740332133</v>
          </cell>
          <cell r="AE1331">
            <v>1</v>
          </cell>
          <cell r="AF1331"/>
        </row>
        <row r="1332">
          <cell r="L1332">
            <v>0.58340107614291703</v>
          </cell>
          <cell r="AE1332"/>
          <cell r="AF1332"/>
        </row>
        <row r="1333">
          <cell r="L1333">
            <v>0</v>
          </cell>
          <cell r="AE1333">
            <v>5</v>
          </cell>
          <cell r="AF1333"/>
        </row>
        <row r="1334">
          <cell r="L1334">
            <v>0</v>
          </cell>
          <cell r="AE1334">
            <v>2</v>
          </cell>
          <cell r="AF1334"/>
        </row>
        <row r="1335">
          <cell r="L1335">
            <v>0.62350468182686702</v>
          </cell>
          <cell r="AE1335"/>
          <cell r="AF1335"/>
        </row>
        <row r="1336">
          <cell r="L1336">
            <v>0.25880579010856403</v>
          </cell>
          <cell r="AE1336">
            <v>2</v>
          </cell>
          <cell r="AF1336"/>
        </row>
        <row r="1337">
          <cell r="L1337">
            <v>0</v>
          </cell>
          <cell r="AE1337"/>
          <cell r="AF1337"/>
        </row>
        <row r="1338">
          <cell r="L1338">
            <v>0.46185972663260999</v>
          </cell>
          <cell r="AE1338">
            <v>3</v>
          </cell>
          <cell r="AF1338"/>
        </row>
        <row r="1339">
          <cell r="L1339">
            <v>0.56887923708809296</v>
          </cell>
          <cell r="AE1339"/>
          <cell r="AF1339"/>
        </row>
        <row r="1340">
          <cell r="L1340">
            <v>0</v>
          </cell>
          <cell r="AE1340">
            <v>1</v>
          </cell>
          <cell r="AF1340"/>
        </row>
        <row r="1341">
          <cell r="L1341">
            <v>0</v>
          </cell>
          <cell r="AE1341">
            <v>4</v>
          </cell>
          <cell r="AF1341"/>
        </row>
        <row r="1342">
          <cell r="L1342">
            <v>0</v>
          </cell>
          <cell r="AE1342">
            <v>4</v>
          </cell>
          <cell r="AF1342"/>
        </row>
        <row r="1343">
          <cell r="L1343">
            <v>0.52044038576427398</v>
          </cell>
          <cell r="AE1343">
            <v>1</v>
          </cell>
          <cell r="AF1343"/>
        </row>
        <row r="1344">
          <cell r="L1344">
            <v>0.47890499194847003</v>
          </cell>
          <cell r="AE1344">
            <v>1</v>
          </cell>
          <cell r="AF1344"/>
        </row>
        <row r="1345">
          <cell r="L1345">
            <v>3.0816640986132501E-2</v>
          </cell>
          <cell r="AE1345">
            <v>1</v>
          </cell>
          <cell r="AF1345"/>
        </row>
        <row r="1346">
          <cell r="L1346">
            <v>0.38463667054070499</v>
          </cell>
          <cell r="AE1346">
            <v>2</v>
          </cell>
          <cell r="AF1346"/>
        </row>
        <row r="1347">
          <cell r="L1347">
            <v>4.2367090337569998E-3</v>
          </cell>
          <cell r="AE1347">
            <v>3</v>
          </cell>
          <cell r="AF1347"/>
        </row>
        <row r="1348">
          <cell r="L1348">
            <v>0.45944375018163802</v>
          </cell>
          <cell r="AE1348">
            <v>2</v>
          </cell>
          <cell r="AF1348"/>
        </row>
        <row r="1349">
          <cell r="L1349">
            <v>5.1820438560198502E-2</v>
          </cell>
          <cell r="AE1349">
            <v>4</v>
          </cell>
          <cell r="AF1349"/>
        </row>
        <row r="1350">
          <cell r="L1350">
            <v>3.0793841231753601E-2</v>
          </cell>
          <cell r="AE1350">
            <v>3</v>
          </cell>
          <cell r="AF1350"/>
        </row>
        <row r="1351">
          <cell r="L1351">
            <v>0.69231980681400496</v>
          </cell>
          <cell r="AE1351"/>
          <cell r="AF1351"/>
        </row>
        <row r="1352">
          <cell r="L1352">
            <v>0.69231980681400496</v>
          </cell>
          <cell r="AE1352"/>
          <cell r="AF1352"/>
        </row>
        <row r="1353">
          <cell r="L1353">
            <v>3.0807530729733901E-2</v>
          </cell>
          <cell r="AE1353">
            <v>4</v>
          </cell>
          <cell r="AF1353"/>
        </row>
        <row r="1354">
          <cell r="L1354">
            <v>7.6948318293683302E-2</v>
          </cell>
          <cell r="AE1354">
            <v>2</v>
          </cell>
          <cell r="AF1354"/>
        </row>
        <row r="1355">
          <cell r="L1355">
            <v>0.429592959295929</v>
          </cell>
          <cell r="AE1355">
            <v>3</v>
          </cell>
          <cell r="AF1355"/>
        </row>
        <row r="1356">
          <cell r="L1356">
            <v>0.67254378842361595</v>
          </cell>
          <cell r="AE1356"/>
          <cell r="AF1356"/>
        </row>
        <row r="1357">
          <cell r="L1357">
            <v>0.301229114653351</v>
          </cell>
          <cell r="AE1357">
            <v>5</v>
          </cell>
          <cell r="AF1357"/>
        </row>
        <row r="1358">
          <cell r="L1358">
            <v>3.0756379100850498E-2</v>
          </cell>
          <cell r="AE1358">
            <v>3</v>
          </cell>
          <cell r="AF1358"/>
        </row>
        <row r="1359">
          <cell r="L1359">
            <v>3.0760703893584498E-2</v>
          </cell>
          <cell r="AE1359">
            <v>2</v>
          </cell>
          <cell r="AF1359"/>
        </row>
        <row r="1360">
          <cell r="L1360">
            <v>3.0602636534839901E-2</v>
          </cell>
          <cell r="AE1360">
            <v>2</v>
          </cell>
          <cell r="AF1360"/>
        </row>
        <row r="1361">
          <cell r="L1361">
            <v>0.34802986789201601</v>
          </cell>
          <cell r="AE1361">
            <v>3</v>
          </cell>
          <cell r="AF1361"/>
        </row>
        <row r="1362">
          <cell r="L1362">
            <v>0.59218408017509505</v>
          </cell>
          <cell r="AE1362">
            <v>3</v>
          </cell>
          <cell r="AF1362"/>
        </row>
        <row r="1363">
          <cell r="L1363">
            <v>0.461511148984519</v>
          </cell>
          <cell r="AE1363">
            <v>3</v>
          </cell>
          <cell r="AF1363"/>
        </row>
        <row r="1364">
          <cell r="L1364">
            <v>0.450396115512394</v>
          </cell>
          <cell r="AE1364">
            <v>3</v>
          </cell>
          <cell r="AF1364"/>
        </row>
        <row r="1365">
          <cell r="L1365">
            <v>0.127820755625461</v>
          </cell>
          <cell r="AE1365">
            <v>2</v>
          </cell>
          <cell r="AF1365"/>
        </row>
        <row r="1366">
          <cell r="L1366">
            <v>3.0788177339901399E-2</v>
          </cell>
          <cell r="AE1366">
            <v>3</v>
          </cell>
          <cell r="AF1366"/>
        </row>
        <row r="1367">
          <cell r="L1367">
            <v>3.0742284230234899E-2</v>
          </cell>
          <cell r="AE1367">
            <v>2</v>
          </cell>
          <cell r="AF1367"/>
        </row>
        <row r="1368">
          <cell r="L1368">
            <v>3.07203389830508E-2</v>
          </cell>
          <cell r="AE1368"/>
          <cell r="AF1368"/>
        </row>
        <row r="1369">
          <cell r="L1369">
            <v>0</v>
          </cell>
          <cell r="AE1369">
            <v>2</v>
          </cell>
          <cell r="AF1369"/>
        </row>
        <row r="1370">
          <cell r="L1370">
            <v>3.0778064886591999E-2</v>
          </cell>
          <cell r="AE1370">
            <v>1</v>
          </cell>
          <cell r="AF1370"/>
        </row>
        <row r="1371">
          <cell r="L1371">
            <v>0.19322575222726501</v>
          </cell>
          <cell r="AE1371">
            <v>3</v>
          </cell>
          <cell r="AF1371"/>
        </row>
        <row r="1372">
          <cell r="L1372">
            <v>1.0148849797022999E-2</v>
          </cell>
          <cell r="AE1372">
            <v>1</v>
          </cell>
          <cell r="AF1372"/>
        </row>
        <row r="1373">
          <cell r="L1373">
            <v>3.0786350148367898E-2</v>
          </cell>
          <cell r="AE1373">
            <v>2</v>
          </cell>
          <cell r="AF1373"/>
        </row>
        <row r="1374">
          <cell r="L1374">
            <v>0</v>
          </cell>
          <cell r="AE1374"/>
          <cell r="AF1374"/>
        </row>
        <row r="1375">
          <cell r="L1375">
            <v>0</v>
          </cell>
          <cell r="AE1375"/>
          <cell r="AF1375"/>
        </row>
        <row r="1376">
          <cell r="L1376">
            <v>0</v>
          </cell>
          <cell r="AE1376"/>
          <cell r="AF1376"/>
        </row>
        <row r="1377">
          <cell r="L1377">
            <v>0</v>
          </cell>
          <cell r="AE1377"/>
          <cell r="AF1377"/>
        </row>
        <row r="1378">
          <cell r="L1378">
            <v>0</v>
          </cell>
          <cell r="AE1378">
            <v>2</v>
          </cell>
          <cell r="AF1378"/>
        </row>
        <row r="1379">
          <cell r="L1379">
            <v>3.0760520852991101E-2</v>
          </cell>
          <cell r="AE1379"/>
          <cell r="AF1379"/>
        </row>
        <row r="1380">
          <cell r="L1380">
            <v>3.06586826347305E-2</v>
          </cell>
          <cell r="AE1380"/>
          <cell r="AF1380"/>
        </row>
        <row r="1381">
          <cell r="L1381">
            <v>1.13237016790316E-2</v>
          </cell>
          <cell r="AE1381">
            <v>2</v>
          </cell>
          <cell r="AF1381"/>
        </row>
        <row r="1382">
          <cell r="L1382">
            <v>2.6879162702188299E-2</v>
          </cell>
          <cell r="AE1382">
            <v>2</v>
          </cell>
          <cell r="AF1382"/>
        </row>
        <row r="1383">
          <cell r="L1383">
            <v>0</v>
          </cell>
          <cell r="AE1383">
            <v>2</v>
          </cell>
          <cell r="AF1383"/>
        </row>
        <row r="1384">
          <cell r="L1384">
            <v>3.0847325263568901E-2</v>
          </cell>
          <cell r="AE1384">
            <v>3</v>
          </cell>
          <cell r="AF1384"/>
        </row>
        <row r="1385">
          <cell r="L1385">
            <v>3.0743371468849898E-2</v>
          </cell>
          <cell r="AE1385">
            <v>3</v>
          </cell>
          <cell r="AF1385"/>
        </row>
        <row r="1386">
          <cell r="L1386">
            <v>2.1337946943483201E-2</v>
          </cell>
          <cell r="AE1386">
            <v>1</v>
          </cell>
          <cell r="AF1386"/>
        </row>
        <row r="1387">
          <cell r="L1387">
            <v>3.0830783713815001E-2</v>
          </cell>
          <cell r="AE1387">
            <v>4</v>
          </cell>
          <cell r="AF1387"/>
        </row>
        <row r="1388">
          <cell r="L1388">
            <v>3.03030303030303E-2</v>
          </cell>
          <cell r="AE1388"/>
          <cell r="AF1388"/>
        </row>
        <row r="1389">
          <cell r="L1389">
            <v>2.2199627181833499E-2</v>
          </cell>
          <cell r="AE1389">
            <v>3</v>
          </cell>
          <cell r="AF1389"/>
        </row>
        <row r="1390">
          <cell r="L1390">
            <v>0</v>
          </cell>
          <cell r="AE1390"/>
          <cell r="AF1390"/>
        </row>
        <row r="1391">
          <cell r="L1391">
            <v>0</v>
          </cell>
          <cell r="AE1391"/>
          <cell r="AF1391"/>
        </row>
        <row r="1392">
          <cell r="L1392">
            <v>0</v>
          </cell>
          <cell r="AE1392"/>
          <cell r="AF1392"/>
        </row>
        <row r="1393">
          <cell r="L1393">
            <v>3.06983883346124E-2</v>
          </cell>
          <cell r="AE1393"/>
          <cell r="AF1393"/>
        </row>
        <row r="1394">
          <cell r="L1394">
            <v>3.0813124108416499E-2</v>
          </cell>
          <cell r="AE1394"/>
          <cell r="AF1394"/>
        </row>
        <row r="1395">
          <cell r="L1395">
            <v>1.08254397834912E-2</v>
          </cell>
          <cell r="AE1395">
            <v>1</v>
          </cell>
          <cell r="AF1395"/>
        </row>
        <row r="1396">
          <cell r="L1396">
            <v>7.2835176692743397E-3</v>
          </cell>
          <cell r="AE1396">
            <v>3</v>
          </cell>
          <cell r="AF1396"/>
        </row>
        <row r="1397">
          <cell r="L1397">
            <v>3.0616466694249E-2</v>
          </cell>
          <cell r="AE1397"/>
          <cell r="AF1397"/>
        </row>
        <row r="1398">
          <cell r="L1398">
            <v>0.111498810467882</v>
          </cell>
          <cell r="AE1398">
            <v>3</v>
          </cell>
          <cell r="AF1398"/>
        </row>
        <row r="1399">
          <cell r="L1399">
            <v>3.07203389830508E-2</v>
          </cell>
          <cell r="AE1399">
            <v>2</v>
          </cell>
          <cell r="AF1399"/>
        </row>
        <row r="1400">
          <cell r="L1400">
            <v>3.0713831815293299E-2</v>
          </cell>
          <cell r="AE1400">
            <v>2</v>
          </cell>
          <cell r="AF1400"/>
        </row>
        <row r="1401">
          <cell r="L1401">
            <v>3.0816640986132501E-2</v>
          </cell>
          <cell r="AE1401">
            <v>1</v>
          </cell>
          <cell r="AF1401"/>
        </row>
        <row r="1402">
          <cell r="L1402">
            <v>3.0722699777141E-2</v>
          </cell>
          <cell r="AE1402">
            <v>4</v>
          </cell>
          <cell r="AF1402"/>
        </row>
        <row r="1403">
          <cell r="L1403">
            <v>3.10734463276836E-2</v>
          </cell>
          <cell r="AE1403">
            <v>1</v>
          </cell>
          <cell r="AF1403"/>
        </row>
        <row r="1404">
          <cell r="L1404">
            <v>3.0787274593168101E-2</v>
          </cell>
          <cell r="AE1404">
            <v>4</v>
          </cell>
          <cell r="AF1404"/>
        </row>
        <row r="1405">
          <cell r="L1405">
            <v>2.9661016949152502E-2</v>
          </cell>
          <cell r="AE1405"/>
          <cell r="AF1405"/>
        </row>
        <row r="1406">
          <cell r="L1406">
            <v>3.0721966205837101E-2</v>
          </cell>
          <cell r="AE1406">
            <v>2</v>
          </cell>
          <cell r="AF1406"/>
        </row>
        <row r="1407">
          <cell r="L1407">
            <v>3.08716707021791E-2</v>
          </cell>
          <cell r="AE1407"/>
          <cell r="AF1407"/>
        </row>
        <row r="1408">
          <cell r="L1408">
            <v>0.46152506963788298</v>
          </cell>
          <cell r="AE1408">
            <v>1</v>
          </cell>
          <cell r="AF1408"/>
        </row>
        <row r="1409">
          <cell r="L1409">
            <v>3.0695443645083899E-2</v>
          </cell>
          <cell r="AE1409">
            <v>2</v>
          </cell>
          <cell r="AF1409"/>
        </row>
        <row r="1410">
          <cell r="L1410">
            <v>3.0939226519337001E-2</v>
          </cell>
          <cell r="AE1410">
            <v>1</v>
          </cell>
          <cell r="AF1410"/>
        </row>
        <row r="1411">
          <cell r="L1411">
            <v>1.90615835777126E-2</v>
          </cell>
          <cell r="AE1411">
            <v>2</v>
          </cell>
          <cell r="AF1411"/>
        </row>
        <row r="1412">
          <cell r="L1412">
            <v>2.9661016949152502E-2</v>
          </cell>
          <cell r="AE1412"/>
          <cell r="AF1412"/>
        </row>
        <row r="1413">
          <cell r="L1413">
            <v>0</v>
          </cell>
          <cell r="AE1413">
            <v>2</v>
          </cell>
          <cell r="AF1413"/>
        </row>
        <row r="1414">
          <cell r="L1414">
            <v>6.3544363379618701E-3</v>
          </cell>
          <cell r="AE1414">
            <v>3</v>
          </cell>
          <cell r="AF1414"/>
        </row>
        <row r="1415">
          <cell r="L1415">
            <v>3.07732226258432E-2</v>
          </cell>
          <cell r="AE1415">
            <v>2</v>
          </cell>
          <cell r="AF1415"/>
        </row>
        <row r="1416">
          <cell r="L1416">
            <v>0</v>
          </cell>
          <cell r="AE1416">
            <v>1</v>
          </cell>
          <cell r="AF1416"/>
        </row>
        <row r="1417">
          <cell r="L1417">
            <v>0</v>
          </cell>
          <cell r="AE1417"/>
          <cell r="AF1417"/>
        </row>
        <row r="1418">
          <cell r="L1418">
            <v>3.0769230769230702E-2</v>
          </cell>
          <cell r="AE1418">
            <v>3</v>
          </cell>
          <cell r="AF1418"/>
        </row>
        <row r="1419">
          <cell r="L1419">
            <v>3.0762867778142199E-2</v>
          </cell>
          <cell r="AE1419">
            <v>3</v>
          </cell>
          <cell r="AF1419"/>
        </row>
        <row r="1420">
          <cell r="L1420">
            <v>3.0657940062004799E-2</v>
          </cell>
          <cell r="AE1420">
            <v>1</v>
          </cell>
          <cell r="AF1420"/>
        </row>
        <row r="1421">
          <cell r="L1421">
            <v>0</v>
          </cell>
          <cell r="AE1421"/>
          <cell r="AF1421"/>
        </row>
        <row r="1422">
          <cell r="L1422">
            <v>0</v>
          </cell>
          <cell r="AE1422"/>
          <cell r="AF1422"/>
        </row>
        <row r="1423">
          <cell r="L1423">
            <v>3.081876724931E-2</v>
          </cell>
          <cell r="AE1423">
            <v>1</v>
          </cell>
          <cell r="AF1423"/>
        </row>
        <row r="1424">
          <cell r="L1424">
            <v>3.07400692269655E-2</v>
          </cell>
          <cell r="AE1424">
            <v>3</v>
          </cell>
          <cell r="AF1424"/>
        </row>
        <row r="1425">
          <cell r="L1425">
            <v>3.0866047347917199E-2</v>
          </cell>
          <cell r="AE1425"/>
          <cell r="AF1425"/>
        </row>
        <row r="1426">
          <cell r="L1426">
            <v>3.0769230769230702E-2</v>
          </cell>
          <cell r="AE1426"/>
          <cell r="AF1426"/>
        </row>
        <row r="1427">
          <cell r="L1427">
            <v>3.0837941301573701E-2</v>
          </cell>
          <cell r="AE1427">
            <v>1</v>
          </cell>
          <cell r="AF1427"/>
        </row>
        <row r="1428">
          <cell r="L1428">
            <v>3.1335149863760202E-2</v>
          </cell>
          <cell r="AE1428"/>
          <cell r="AF1428"/>
        </row>
        <row r="1429">
          <cell r="L1429">
            <v>0</v>
          </cell>
          <cell r="AE1429"/>
          <cell r="AF1429"/>
        </row>
        <row r="1430">
          <cell r="L1430">
            <v>0</v>
          </cell>
          <cell r="AE1430"/>
          <cell r="AF1430"/>
        </row>
        <row r="1431">
          <cell r="L1431">
            <v>3.081876724931E-2</v>
          </cell>
          <cell r="AE1431">
            <v>1</v>
          </cell>
          <cell r="AF1431"/>
        </row>
        <row r="1432">
          <cell r="L1432">
            <v>3.0856578622562299E-2</v>
          </cell>
          <cell r="AE1432">
            <v>3</v>
          </cell>
          <cell r="AF1432"/>
        </row>
        <row r="1433">
          <cell r="L1433">
            <v>3.081876724931E-2</v>
          </cell>
          <cell r="AE1433">
            <v>1</v>
          </cell>
          <cell r="AF1433"/>
        </row>
        <row r="1434">
          <cell r="L1434">
            <v>3.0683030949839901E-2</v>
          </cell>
          <cell r="AE1434">
            <v>1</v>
          </cell>
          <cell r="AF1434"/>
        </row>
        <row r="1435">
          <cell r="L1435">
            <v>3.0764141581210699E-2</v>
          </cell>
          <cell r="AE1435"/>
          <cell r="AF1435"/>
        </row>
        <row r="1436">
          <cell r="L1436">
            <v>3.0787309048178599E-2</v>
          </cell>
          <cell r="AE1436"/>
          <cell r="AF1436"/>
        </row>
        <row r="1437">
          <cell r="L1437">
            <v>3.0764141581210699E-2</v>
          </cell>
          <cell r="AE1437"/>
          <cell r="AF1437"/>
        </row>
        <row r="1438">
          <cell r="L1438">
            <v>3.0764141581210699E-2</v>
          </cell>
          <cell r="AE1438"/>
          <cell r="AF1438"/>
        </row>
        <row r="1439">
          <cell r="L1439">
            <v>3.0787309048178599E-2</v>
          </cell>
          <cell r="AE1439"/>
          <cell r="AF1439"/>
        </row>
        <row r="1440">
          <cell r="L1440">
            <v>0</v>
          </cell>
          <cell r="AE1440"/>
          <cell r="AF1440"/>
        </row>
        <row r="1441">
          <cell r="L1441">
            <v>1.5130418639190501E-2</v>
          </cell>
          <cell r="AE1441">
            <v>2</v>
          </cell>
          <cell r="AF1441"/>
        </row>
        <row r="1442">
          <cell r="L1442">
            <v>3.07257476294675E-2</v>
          </cell>
          <cell r="AE1442">
            <v>2</v>
          </cell>
          <cell r="AF1442"/>
        </row>
        <row r="1443">
          <cell r="L1443">
            <v>0</v>
          </cell>
          <cell r="AE1443">
            <v>3</v>
          </cell>
          <cell r="AF1443"/>
        </row>
        <row r="1444">
          <cell r="L1444">
            <v>3.081876724931E-2</v>
          </cell>
          <cell r="AE1444">
            <v>1</v>
          </cell>
          <cell r="AF1444"/>
        </row>
        <row r="1445">
          <cell r="L1445">
            <v>3.0884417407580699E-2</v>
          </cell>
          <cell r="AE1445">
            <v>3</v>
          </cell>
          <cell r="AF1445"/>
        </row>
        <row r="1446">
          <cell r="L1446">
            <v>0</v>
          </cell>
          <cell r="AE1446"/>
          <cell r="AF1446"/>
        </row>
        <row r="1447">
          <cell r="L1447">
            <v>0</v>
          </cell>
          <cell r="AE1447"/>
          <cell r="AF1447"/>
        </row>
        <row r="1448">
          <cell r="L1448">
            <v>3.0888030888030799E-2</v>
          </cell>
          <cell r="AE1448">
            <v>1</v>
          </cell>
          <cell r="AF1448"/>
        </row>
        <row r="1449">
          <cell r="L1449">
            <v>2.494355445651E-2</v>
          </cell>
          <cell r="AE1449">
            <v>3</v>
          </cell>
          <cell r="AF1449"/>
        </row>
        <row r="1450">
          <cell r="L1450">
            <v>8.9955022488755598E-3</v>
          </cell>
          <cell r="AE1450"/>
          <cell r="AF1450"/>
        </row>
        <row r="1451">
          <cell r="L1451">
            <v>0</v>
          </cell>
          <cell r="AE1451">
            <v>2</v>
          </cell>
          <cell r="AF1451"/>
        </row>
        <row r="1452">
          <cell r="L1452">
            <v>3.07814516929798E-2</v>
          </cell>
          <cell r="AE1452">
            <v>2</v>
          </cell>
          <cell r="AF1452"/>
        </row>
        <row r="1453">
          <cell r="L1453">
            <v>0.363022792653241</v>
          </cell>
          <cell r="AE1453">
            <v>1</v>
          </cell>
          <cell r="AF1453"/>
        </row>
        <row r="1454">
          <cell r="L1454">
            <v>0.76924218257353705</v>
          </cell>
          <cell r="AE1454">
            <v>1</v>
          </cell>
          <cell r="AF1454"/>
        </row>
        <row r="1455">
          <cell r="L1455">
            <v>0.42798666125588802</v>
          </cell>
          <cell r="AE1455">
            <v>1</v>
          </cell>
          <cell r="AF1455"/>
        </row>
        <row r="1456">
          <cell r="L1456">
            <v>0.75102487018311004</v>
          </cell>
          <cell r="AE1456">
            <v>1</v>
          </cell>
          <cell r="AF1456"/>
        </row>
        <row r="1457">
          <cell r="L1457">
            <v>0.84936092120397499</v>
          </cell>
          <cell r="AE1457"/>
          <cell r="AF1457"/>
        </row>
        <row r="1458">
          <cell r="L1458">
            <v>0.64439086582764205</v>
          </cell>
          <cell r="AE1458"/>
          <cell r="AF1458"/>
        </row>
        <row r="1459">
          <cell r="L1459">
            <v>0.81723721097708302</v>
          </cell>
          <cell r="AE1459"/>
          <cell r="AF1459"/>
        </row>
        <row r="1460">
          <cell r="L1460">
            <v>0.71480813545736899</v>
          </cell>
          <cell r="AE1460"/>
          <cell r="AF1460"/>
        </row>
        <row r="1461">
          <cell r="L1461">
            <v>0.84993631984052198</v>
          </cell>
          <cell r="AE1461"/>
          <cell r="AF1461"/>
        </row>
        <row r="1462">
          <cell r="L1462">
            <v>0.61463869018474504</v>
          </cell>
          <cell r="AE1462"/>
          <cell r="AF1462"/>
        </row>
        <row r="1463">
          <cell r="L1463">
            <v>0.89757676303407696</v>
          </cell>
          <cell r="AE1463"/>
          <cell r="AF1463"/>
        </row>
        <row r="1464">
          <cell r="L1464">
            <v>0.99404827917636995</v>
          </cell>
          <cell r="AE1464">
            <v>1</v>
          </cell>
          <cell r="AF1464"/>
        </row>
        <row r="1465">
          <cell r="L1465">
            <v>0.37383947939262402</v>
          </cell>
          <cell r="AE1465">
            <v>3</v>
          </cell>
          <cell r="AF1465"/>
        </row>
        <row r="1466">
          <cell r="L1466">
            <v>0.54465919487648595</v>
          </cell>
          <cell r="AE1466">
            <v>2</v>
          </cell>
          <cell r="AF1466"/>
        </row>
        <row r="1467">
          <cell r="L1467">
            <v>0.54552758435993498</v>
          </cell>
          <cell r="AE1467">
            <v>4</v>
          </cell>
          <cell r="AF1467"/>
        </row>
        <row r="1468">
          <cell r="L1468">
            <v>0.99693507940930604</v>
          </cell>
          <cell r="AE1468"/>
          <cell r="AF1468"/>
        </row>
        <row r="1469">
          <cell r="L1469">
            <v>0.71254329167293995</v>
          </cell>
          <cell r="AE1469"/>
          <cell r="AF1469"/>
        </row>
        <row r="1470">
          <cell r="L1470">
            <v>0.574197425752491</v>
          </cell>
          <cell r="AE1470">
            <v>1</v>
          </cell>
          <cell r="AF1470"/>
        </row>
        <row r="1471">
          <cell r="L1471">
            <v>0.80338858533449597</v>
          </cell>
          <cell r="AE1471"/>
          <cell r="AF1471"/>
        </row>
        <row r="1472">
          <cell r="L1472">
            <v>0.69983686786296895</v>
          </cell>
          <cell r="AE1472">
            <v>2</v>
          </cell>
          <cell r="AF1472"/>
        </row>
        <row r="1473">
          <cell r="L1473">
            <v>0.31297972522628997</v>
          </cell>
          <cell r="AE1473">
            <v>1</v>
          </cell>
          <cell r="AF1473"/>
        </row>
        <row r="1474">
          <cell r="L1474">
            <v>0.50636180102352202</v>
          </cell>
          <cell r="AE1474">
            <v>2</v>
          </cell>
          <cell r="AF1474"/>
        </row>
        <row r="1475">
          <cell r="L1475">
            <v>0.649080118694362</v>
          </cell>
          <cell r="AE1475">
            <v>2</v>
          </cell>
          <cell r="AF1475"/>
        </row>
        <row r="1476">
          <cell r="L1476">
            <v>0.76923076923076905</v>
          </cell>
          <cell r="AE1476"/>
          <cell r="AF1476"/>
        </row>
        <row r="1477">
          <cell r="L1477">
            <v>1</v>
          </cell>
          <cell r="AE1477"/>
          <cell r="AF1477"/>
        </row>
        <row r="1478">
          <cell r="L1478">
            <v>0.26124856263214502</v>
          </cell>
          <cell r="AE1478">
            <v>3</v>
          </cell>
          <cell r="AF1478"/>
        </row>
        <row r="1479">
          <cell r="L1479">
            <v>0.34501425878486103</v>
          </cell>
          <cell r="AE1479">
            <v>1</v>
          </cell>
          <cell r="AF1479"/>
        </row>
        <row r="1480">
          <cell r="L1480">
            <v>0.40922858800025702</v>
          </cell>
          <cell r="AE1480">
            <v>1</v>
          </cell>
          <cell r="AF1480"/>
        </row>
        <row r="1481">
          <cell r="L1481">
            <v>0.40940774385033901</v>
          </cell>
          <cell r="AE1481">
            <v>1</v>
          </cell>
          <cell r="AF1481"/>
        </row>
        <row r="1482">
          <cell r="L1482">
            <v>1</v>
          </cell>
          <cell r="AE1482"/>
          <cell r="AF1482"/>
        </row>
        <row r="1483">
          <cell r="L1483">
            <v>0.492304392127419</v>
          </cell>
          <cell r="AE1483">
            <v>2</v>
          </cell>
          <cell r="AF1483"/>
        </row>
        <row r="1484">
          <cell r="L1484">
            <v>0.84615384615384603</v>
          </cell>
          <cell r="AE1484"/>
          <cell r="AF1484"/>
        </row>
        <row r="1485">
          <cell r="L1485">
            <v>0.56238291494941905</v>
          </cell>
          <cell r="AE1485">
            <v>2</v>
          </cell>
          <cell r="AF1485"/>
        </row>
        <row r="1486">
          <cell r="L1486">
            <v>0.72306611168171198</v>
          </cell>
          <cell r="AE1486">
            <v>1</v>
          </cell>
          <cell r="AF1486"/>
        </row>
        <row r="1487">
          <cell r="L1487">
            <v>0.953845759803293</v>
          </cell>
          <cell r="AE1487"/>
          <cell r="AF1487"/>
        </row>
        <row r="1488">
          <cell r="L1488">
            <v>0.64867310012062696</v>
          </cell>
          <cell r="AE1488">
            <v>1</v>
          </cell>
          <cell r="AF1488"/>
        </row>
        <row r="1489">
          <cell r="L1489">
            <v>0.84615384615384603</v>
          </cell>
          <cell r="AE1489"/>
          <cell r="AF1489"/>
        </row>
        <row r="1490">
          <cell r="L1490">
            <v>0.63550340651021897</v>
          </cell>
          <cell r="AE1490">
            <v>2</v>
          </cell>
          <cell r="AF1490"/>
        </row>
        <row r="1491">
          <cell r="L1491">
            <v>9.40792893257099E-2</v>
          </cell>
          <cell r="AE1491">
            <v>4</v>
          </cell>
          <cell r="AF1491"/>
        </row>
        <row r="1492">
          <cell r="L1492">
            <v>0.40122318658092299</v>
          </cell>
          <cell r="AE1492">
            <v>2</v>
          </cell>
          <cell r="AF1492"/>
        </row>
        <row r="1493">
          <cell r="L1493">
            <v>0.69231289755041203</v>
          </cell>
          <cell r="AE1493"/>
          <cell r="AF1493"/>
        </row>
        <row r="1494">
          <cell r="L1494">
            <v>0.63136592091802601</v>
          </cell>
          <cell r="AE1494"/>
          <cell r="AF1494"/>
        </row>
        <row r="1495">
          <cell r="L1495">
            <v>0.492303913541837</v>
          </cell>
          <cell r="AE1495">
            <v>1</v>
          </cell>
          <cell r="AF1495"/>
        </row>
        <row r="1496">
          <cell r="L1496">
            <v>0.46151426998977901</v>
          </cell>
          <cell r="AE1496">
            <v>2</v>
          </cell>
          <cell r="AF1496"/>
        </row>
        <row r="1497">
          <cell r="L1497">
            <v>0.50711494862765905</v>
          </cell>
          <cell r="AE1497">
            <v>2</v>
          </cell>
          <cell r="AF1497"/>
        </row>
        <row r="1498">
          <cell r="L1498">
            <v>0.33769739506006202</v>
          </cell>
          <cell r="AE1498">
            <v>4</v>
          </cell>
          <cell r="AF1498"/>
        </row>
        <row r="1499">
          <cell r="L1499">
            <v>0.43408395885460099</v>
          </cell>
          <cell r="AE1499">
            <v>2</v>
          </cell>
          <cell r="AF1499"/>
        </row>
        <row r="1500">
          <cell r="L1500">
            <v>0.58726619032448901</v>
          </cell>
          <cell r="AE1500">
            <v>3</v>
          </cell>
          <cell r="AF1500"/>
        </row>
        <row r="1501">
          <cell r="L1501">
            <v>0.55383134849031601</v>
          </cell>
          <cell r="AE1501">
            <v>3</v>
          </cell>
          <cell r="AF1501"/>
        </row>
        <row r="1502">
          <cell r="L1502">
            <v>0.65872776605366201</v>
          </cell>
          <cell r="AE1502">
            <v>2</v>
          </cell>
          <cell r="AF1502"/>
        </row>
        <row r="1503">
          <cell r="L1503">
            <v>0.49183303085299401</v>
          </cell>
          <cell r="AE1503">
            <v>3</v>
          </cell>
          <cell r="AF1503"/>
        </row>
        <row r="1504">
          <cell r="L1504">
            <v>0.51001919169112597</v>
          </cell>
          <cell r="AE1504">
            <v>2</v>
          </cell>
          <cell r="AF1504"/>
        </row>
        <row r="1505">
          <cell r="L1505">
            <v>3.0759162303664898E-2</v>
          </cell>
          <cell r="AE1505">
            <v>1</v>
          </cell>
          <cell r="AF1505"/>
        </row>
        <row r="1506">
          <cell r="L1506">
            <v>0.62418557186592305</v>
          </cell>
          <cell r="AE1506">
            <v>2</v>
          </cell>
          <cell r="AF1506"/>
        </row>
        <row r="1507">
          <cell r="L1507">
            <v>0.548382637544926</v>
          </cell>
          <cell r="AE1507">
            <v>2</v>
          </cell>
          <cell r="AF1507"/>
        </row>
        <row r="1508">
          <cell r="L1508">
            <v>0.50770805136500097</v>
          </cell>
          <cell r="AE1508">
            <v>2</v>
          </cell>
          <cell r="AF1508"/>
        </row>
        <row r="1509">
          <cell r="L1509">
            <v>0.50516116142780998</v>
          </cell>
          <cell r="AE1509">
            <v>3</v>
          </cell>
          <cell r="AF1509"/>
        </row>
        <row r="1510">
          <cell r="L1510">
            <v>0.50769186365341801</v>
          </cell>
          <cell r="AE1510">
            <v>2</v>
          </cell>
          <cell r="AF1510"/>
        </row>
        <row r="1511">
          <cell r="L1511">
            <v>7.7147016011644795E-2</v>
          </cell>
          <cell r="AE1511">
            <v>2</v>
          </cell>
          <cell r="AF1511"/>
        </row>
        <row r="1512">
          <cell r="L1512">
            <v>0.52660687063494804</v>
          </cell>
          <cell r="AE1512">
            <v>3</v>
          </cell>
          <cell r="AF1512"/>
        </row>
        <row r="1513">
          <cell r="L1513">
            <v>0.50211091920936402</v>
          </cell>
          <cell r="AE1513">
            <v>2</v>
          </cell>
          <cell r="AF1513"/>
        </row>
        <row r="1514">
          <cell r="L1514">
            <v>0.50200172698013901</v>
          </cell>
          <cell r="AE1514">
            <v>3</v>
          </cell>
          <cell r="AF1514"/>
        </row>
        <row r="1515">
          <cell r="L1515">
            <v>0.51854599406528101</v>
          </cell>
          <cell r="AE1515">
            <v>2</v>
          </cell>
          <cell r="AF1515"/>
        </row>
        <row r="1516">
          <cell r="L1516">
            <v>0.53646812957157697</v>
          </cell>
          <cell r="AE1516">
            <v>3</v>
          </cell>
          <cell r="AF1516"/>
        </row>
        <row r="1517">
          <cell r="L1517">
            <v>0.415393150754022</v>
          </cell>
          <cell r="AE1517">
            <v>3</v>
          </cell>
          <cell r="AF1517"/>
        </row>
        <row r="1518">
          <cell r="L1518">
            <v>0.55383809274299101</v>
          </cell>
          <cell r="AE1518">
            <v>3</v>
          </cell>
          <cell r="AF1518"/>
        </row>
        <row r="1519">
          <cell r="L1519">
            <v>0.30769230769230699</v>
          </cell>
          <cell r="AE1519">
            <v>2</v>
          </cell>
          <cell r="AF1519"/>
        </row>
        <row r="1520">
          <cell r="L1520">
            <v>0.55863721965416802</v>
          </cell>
          <cell r="AE1520">
            <v>1</v>
          </cell>
          <cell r="AF1520"/>
        </row>
        <row r="1521">
          <cell r="L1521">
            <v>0.30772501771792998</v>
          </cell>
          <cell r="AE1521">
            <v>2</v>
          </cell>
          <cell r="AF1521"/>
        </row>
        <row r="1522">
          <cell r="L1522">
            <v>0.46152196063709899</v>
          </cell>
          <cell r="AE1522">
            <v>2</v>
          </cell>
          <cell r="AF1522"/>
        </row>
        <row r="1523">
          <cell r="L1523">
            <v>0.33229571984435702</v>
          </cell>
          <cell r="AE1523">
            <v>4</v>
          </cell>
          <cell r="AF1523"/>
        </row>
        <row r="1524">
          <cell r="L1524">
            <v>3.08405563394476E-2</v>
          </cell>
          <cell r="AE1524"/>
          <cell r="AF1524"/>
        </row>
        <row r="1525">
          <cell r="L1525">
            <v>0.36924086894246799</v>
          </cell>
          <cell r="AE1525">
            <v>3</v>
          </cell>
          <cell r="AF1525"/>
        </row>
        <row r="1526">
          <cell r="L1526">
            <v>0.47367774433318899</v>
          </cell>
          <cell r="AE1526">
            <v>2</v>
          </cell>
          <cell r="AF1526"/>
        </row>
        <row r="1527">
          <cell r="L1527">
            <v>0.461585365853658</v>
          </cell>
          <cell r="AE1527">
            <v>2</v>
          </cell>
          <cell r="AF1527"/>
        </row>
        <row r="1528">
          <cell r="L1528">
            <v>0.41537682467689702</v>
          </cell>
          <cell r="AE1528">
            <v>3</v>
          </cell>
          <cell r="AF1528"/>
        </row>
        <row r="1529">
          <cell r="L1529">
            <v>0.25538382277176702</v>
          </cell>
          <cell r="AE1529">
            <v>3</v>
          </cell>
          <cell r="AF1529"/>
        </row>
        <row r="1530">
          <cell r="L1530">
            <v>0.51458154718723204</v>
          </cell>
          <cell r="AE1530">
            <v>3</v>
          </cell>
          <cell r="AF1530"/>
        </row>
        <row r="1531">
          <cell r="L1531">
            <v>0.40384302230906999</v>
          </cell>
          <cell r="AE1531">
            <v>2</v>
          </cell>
          <cell r="AF1531"/>
        </row>
        <row r="1532">
          <cell r="L1532">
            <v>0.40373536167488699</v>
          </cell>
          <cell r="AE1532">
            <v>4</v>
          </cell>
          <cell r="AF1532"/>
        </row>
        <row r="1533">
          <cell r="L1533">
            <v>0</v>
          </cell>
          <cell r="AE1533">
            <v>1</v>
          </cell>
          <cell r="AF1533"/>
        </row>
        <row r="1534">
          <cell r="L1534">
            <v>0</v>
          </cell>
          <cell r="AE1534">
            <v>5</v>
          </cell>
          <cell r="AF1534"/>
        </row>
        <row r="1535">
          <cell r="L1535">
            <v>0</v>
          </cell>
          <cell r="AE1535">
            <v>2</v>
          </cell>
          <cell r="AF1535"/>
        </row>
        <row r="1536">
          <cell r="L1536">
            <v>0</v>
          </cell>
          <cell r="AE1536"/>
          <cell r="AF1536"/>
        </row>
        <row r="1537">
          <cell r="L1537">
            <v>0</v>
          </cell>
          <cell r="AE1537">
            <v>2</v>
          </cell>
          <cell r="AF1537"/>
        </row>
        <row r="1538">
          <cell r="L1538">
            <v>0</v>
          </cell>
          <cell r="AE1538">
            <v>7</v>
          </cell>
          <cell r="AF1538"/>
        </row>
        <row r="1539">
          <cell r="L1539">
            <v>0</v>
          </cell>
          <cell r="AE1539">
            <v>2</v>
          </cell>
          <cell r="AF1539"/>
        </row>
        <row r="1540">
          <cell r="L1540">
            <v>0</v>
          </cell>
          <cell r="AE1540">
            <v>6</v>
          </cell>
          <cell r="AF1540"/>
        </row>
        <row r="1541">
          <cell r="L1541">
            <v>0.14614459900394899</v>
          </cell>
          <cell r="AE1541">
            <v>4</v>
          </cell>
          <cell r="AF1541"/>
        </row>
        <row r="1542">
          <cell r="L1542">
            <v>0.4</v>
          </cell>
          <cell r="AE1542">
            <v>2</v>
          </cell>
          <cell r="AF1542"/>
        </row>
        <row r="1543">
          <cell r="L1543">
            <v>0.34025663706647902</v>
          </cell>
          <cell r="AE1543">
            <v>3</v>
          </cell>
          <cell r="AF1543"/>
        </row>
        <row r="1544">
          <cell r="L1544">
            <v>0</v>
          </cell>
          <cell r="AE1544"/>
          <cell r="AF1544"/>
        </row>
        <row r="1545">
          <cell r="L1545">
            <v>0</v>
          </cell>
          <cell r="AE1545">
            <v>4</v>
          </cell>
          <cell r="AF1545"/>
        </row>
        <row r="1546">
          <cell r="L1546">
            <v>0</v>
          </cell>
          <cell r="AE1546">
            <v>3</v>
          </cell>
          <cell r="AF1546"/>
        </row>
        <row r="1547">
          <cell r="L1547">
            <v>9.4232505744248993E-3</v>
          </cell>
          <cell r="AE1547">
            <v>8</v>
          </cell>
          <cell r="AF1547"/>
        </row>
        <row r="1548">
          <cell r="L1548">
            <v>0</v>
          </cell>
          <cell r="AE1548">
            <v>5</v>
          </cell>
          <cell r="AF1548"/>
        </row>
        <row r="1549">
          <cell r="L1549">
            <v>7.6907109496626797E-2</v>
          </cell>
          <cell r="AE1549"/>
          <cell r="AF1549"/>
        </row>
        <row r="1550">
          <cell r="L1550">
            <v>0</v>
          </cell>
          <cell r="AE1550"/>
          <cell r="AF1550"/>
        </row>
        <row r="1551">
          <cell r="L1551">
            <v>1.4469351570415401E-2</v>
          </cell>
          <cell r="AE1551">
            <v>6</v>
          </cell>
          <cell r="AF1551"/>
        </row>
        <row r="1552">
          <cell r="L1552">
            <v>0</v>
          </cell>
          <cell r="AE1552">
            <v>8</v>
          </cell>
          <cell r="AF1552"/>
        </row>
        <row r="1553">
          <cell r="L1553">
            <v>3.07743849909064E-2</v>
          </cell>
          <cell r="AE1553">
            <v>5</v>
          </cell>
          <cell r="AF1553"/>
        </row>
        <row r="1554">
          <cell r="L1554">
            <v>3.08175203310029E-2</v>
          </cell>
          <cell r="AE1554">
            <v>2</v>
          </cell>
          <cell r="AF1554"/>
        </row>
        <row r="1555">
          <cell r="L1555">
            <v>3.0736618971912998E-2</v>
          </cell>
          <cell r="AE1555"/>
          <cell r="AF1555"/>
        </row>
        <row r="1556">
          <cell r="L1556">
            <v>0.27236116998728199</v>
          </cell>
          <cell r="AE1556">
            <v>3</v>
          </cell>
          <cell r="AF1556"/>
        </row>
        <row r="1557">
          <cell r="L1557">
            <v>3.06627101879327E-2</v>
          </cell>
          <cell r="AE1557"/>
          <cell r="AF1557"/>
        </row>
        <row r="1558">
          <cell r="L1558">
            <v>2.9953917050691201E-2</v>
          </cell>
          <cell r="AE1558"/>
          <cell r="AF1558"/>
        </row>
        <row r="1559">
          <cell r="L1559">
            <v>3.0827474310437999E-2</v>
          </cell>
          <cell r="AE1559">
            <v>2</v>
          </cell>
          <cell r="AF1559"/>
        </row>
        <row r="1560">
          <cell r="L1560">
            <v>3.0779633850083799E-2</v>
          </cell>
          <cell r="AE1560">
            <v>3</v>
          </cell>
          <cell r="AF1560"/>
        </row>
        <row r="1561">
          <cell r="L1561">
            <v>3.0774987138113202E-2</v>
          </cell>
          <cell r="AE1561">
            <v>4</v>
          </cell>
          <cell r="AF1561"/>
        </row>
        <row r="1562">
          <cell r="L1562">
            <v>3.0750798722044701E-2</v>
          </cell>
          <cell r="AE1562">
            <v>1</v>
          </cell>
          <cell r="AF1562"/>
        </row>
        <row r="1563">
          <cell r="L1563">
            <v>3.0782968324090599E-2</v>
          </cell>
          <cell r="AE1563">
            <v>4</v>
          </cell>
          <cell r="AF1563"/>
        </row>
        <row r="1564">
          <cell r="L1564">
            <v>3.0814763231197698E-2</v>
          </cell>
          <cell r="AE1564">
            <v>2</v>
          </cell>
          <cell r="AF1564"/>
        </row>
        <row r="1565">
          <cell r="L1565">
            <v>3.0823006037495999E-2</v>
          </cell>
          <cell r="AE1565">
            <v>4</v>
          </cell>
          <cell r="AF1565"/>
        </row>
        <row r="1566">
          <cell r="L1566">
            <v>3.0805687203791399E-2</v>
          </cell>
          <cell r="AE1566">
            <v>2</v>
          </cell>
          <cell r="AF1566"/>
        </row>
        <row r="1567">
          <cell r="L1567">
            <v>3.0827474310437999E-2</v>
          </cell>
          <cell r="AE1567">
            <v>2</v>
          </cell>
          <cell r="AF1567"/>
        </row>
        <row r="1568">
          <cell r="L1568">
            <v>3.06939501779359E-2</v>
          </cell>
          <cell r="AE1568">
            <v>3</v>
          </cell>
          <cell r="AF1568"/>
        </row>
        <row r="1569">
          <cell r="L1569">
            <v>3.0746532900560598E-2</v>
          </cell>
          <cell r="AE1569">
            <v>2</v>
          </cell>
          <cell r="AF1569"/>
        </row>
        <row r="1570">
          <cell r="L1570">
            <v>3.0791878795313699E-2</v>
          </cell>
          <cell r="AE1570">
            <v>1</v>
          </cell>
          <cell r="AF1570"/>
        </row>
        <row r="1571">
          <cell r="L1571">
            <v>3.0746532900560598E-2</v>
          </cell>
          <cell r="AE1571">
            <v>1</v>
          </cell>
          <cell r="AF1571"/>
        </row>
        <row r="1572">
          <cell r="L1572">
            <v>3.0791878795313699E-2</v>
          </cell>
          <cell r="AE1572">
            <v>2</v>
          </cell>
          <cell r="AF1572"/>
        </row>
        <row r="1573">
          <cell r="L1573">
            <v>3.0826468243422799E-2</v>
          </cell>
          <cell r="AE1573">
            <v>1</v>
          </cell>
          <cell r="AF1573"/>
        </row>
        <row r="1574">
          <cell r="L1574">
            <v>3.0823006037495999E-2</v>
          </cell>
          <cell r="AE1574">
            <v>2</v>
          </cell>
          <cell r="AF1574"/>
        </row>
        <row r="1575">
          <cell r="L1575">
            <v>3.0784508440913599E-2</v>
          </cell>
          <cell r="AE1575">
            <v>2</v>
          </cell>
          <cell r="AF1575"/>
        </row>
        <row r="1576">
          <cell r="L1576">
            <v>1.8430251032729501E-2</v>
          </cell>
          <cell r="AE1576">
            <v>3</v>
          </cell>
          <cell r="AF1576"/>
        </row>
        <row r="1577">
          <cell r="L1577">
            <v>0</v>
          </cell>
          <cell r="AE1577"/>
          <cell r="AF1577"/>
        </row>
        <row r="1578">
          <cell r="L1578">
            <v>0</v>
          </cell>
          <cell r="AE1578"/>
          <cell r="AF1578"/>
        </row>
        <row r="1579">
          <cell r="L1579">
            <v>0</v>
          </cell>
          <cell r="AE1579"/>
          <cell r="AF1579"/>
        </row>
        <row r="1580">
          <cell r="L1580">
            <v>0</v>
          </cell>
          <cell r="AE1580"/>
          <cell r="AF1580"/>
        </row>
        <row r="1581">
          <cell r="L1581">
            <v>0</v>
          </cell>
          <cell r="AE1581"/>
          <cell r="AF1581"/>
        </row>
        <row r="1582">
          <cell r="L1582">
            <v>0</v>
          </cell>
          <cell r="AE1582"/>
          <cell r="AF1582"/>
        </row>
        <row r="1583">
          <cell r="L1583">
            <v>0</v>
          </cell>
          <cell r="AE1583">
            <v>1</v>
          </cell>
          <cell r="AF1583"/>
        </row>
        <row r="1584">
          <cell r="L1584">
            <v>0</v>
          </cell>
          <cell r="AE1584">
            <v>1</v>
          </cell>
          <cell r="AF1584"/>
        </row>
        <row r="1585">
          <cell r="L1585">
            <v>0</v>
          </cell>
          <cell r="AE1585"/>
          <cell r="AF1585"/>
        </row>
        <row r="1586">
          <cell r="L1586">
            <v>0</v>
          </cell>
          <cell r="AE1586"/>
          <cell r="AF1586"/>
        </row>
        <row r="1587">
          <cell r="L1587">
            <v>0</v>
          </cell>
          <cell r="AE1587">
            <v>2</v>
          </cell>
          <cell r="AF1587"/>
        </row>
        <row r="1588">
          <cell r="L1588">
            <v>0</v>
          </cell>
          <cell r="AE1588">
            <v>1</v>
          </cell>
          <cell r="AF1588"/>
        </row>
        <row r="1589">
          <cell r="L1589">
            <v>2.1976783500507101E-2</v>
          </cell>
          <cell r="AE1589">
            <v>5</v>
          </cell>
          <cell r="AF1589"/>
        </row>
        <row r="1590">
          <cell r="L1590">
            <v>0</v>
          </cell>
          <cell r="AE1590">
            <v>4</v>
          </cell>
          <cell r="AF1590"/>
        </row>
        <row r="1591">
          <cell r="L1591">
            <v>0</v>
          </cell>
          <cell r="AE1591"/>
          <cell r="AF1591"/>
        </row>
        <row r="1592">
          <cell r="L1592">
            <v>3.3149171270718203E-2</v>
          </cell>
          <cell r="AE1592"/>
          <cell r="AF1592"/>
        </row>
        <row r="1593">
          <cell r="L1593">
            <v>0</v>
          </cell>
          <cell r="AE1593"/>
          <cell r="AF1593"/>
        </row>
        <row r="1594">
          <cell r="L1594">
            <v>0</v>
          </cell>
          <cell r="AE1594"/>
          <cell r="AF1594"/>
        </row>
        <row r="1595">
          <cell r="L1595">
            <v>0</v>
          </cell>
          <cell r="AE1595">
            <v>2</v>
          </cell>
          <cell r="AF1595"/>
        </row>
        <row r="1596">
          <cell r="L1596">
            <v>0</v>
          </cell>
          <cell r="AE1596">
            <v>3</v>
          </cell>
          <cell r="AF1596"/>
        </row>
        <row r="1597">
          <cell r="L1597">
            <v>0</v>
          </cell>
          <cell r="AE1597"/>
          <cell r="AF1597"/>
        </row>
        <row r="1598">
          <cell r="L1598">
            <v>0</v>
          </cell>
          <cell r="AE1598">
            <v>1</v>
          </cell>
          <cell r="AF1598"/>
        </row>
        <row r="1599">
          <cell r="L1599">
            <v>0</v>
          </cell>
          <cell r="AE1599">
            <v>2</v>
          </cell>
          <cell r="AF1599"/>
        </row>
        <row r="1600">
          <cell r="L1600">
            <v>0</v>
          </cell>
          <cell r="AE1600">
            <v>1</v>
          </cell>
          <cell r="AF1600"/>
        </row>
        <row r="1601">
          <cell r="L1601">
            <v>3.0759555187101498E-2</v>
          </cell>
          <cell r="AE1601">
            <v>2</v>
          </cell>
          <cell r="AF1601"/>
        </row>
        <row r="1602">
          <cell r="L1602">
            <v>3.07032023770221E-2</v>
          </cell>
          <cell r="AE1602">
            <v>2</v>
          </cell>
          <cell r="AF1602"/>
        </row>
        <row r="1603">
          <cell r="L1603">
            <v>3.0693069306930599E-2</v>
          </cell>
          <cell r="AE1603"/>
          <cell r="AF1603"/>
        </row>
        <row r="1604">
          <cell r="L1604">
            <v>2.1722265321954998E-2</v>
          </cell>
          <cell r="AE1604"/>
          <cell r="AF1604"/>
        </row>
        <row r="1605">
          <cell r="L1605">
            <v>3.0823786142934999E-2</v>
          </cell>
          <cell r="AE1605"/>
          <cell r="AF1605"/>
        </row>
        <row r="1606">
          <cell r="L1606">
            <v>3.1335149863760202E-2</v>
          </cell>
          <cell r="AE1606"/>
          <cell r="AF1606"/>
        </row>
        <row r="1607">
          <cell r="L1607">
            <v>0</v>
          </cell>
          <cell r="AE1607">
            <v>1</v>
          </cell>
          <cell r="AF1607"/>
        </row>
        <row r="1608">
          <cell r="L1608">
            <v>1.0506208213944599E-2</v>
          </cell>
          <cell r="AE1608">
            <v>1</v>
          </cell>
          <cell r="AF1608"/>
        </row>
        <row r="1609">
          <cell r="L1609">
            <v>0</v>
          </cell>
          <cell r="AE1609"/>
          <cell r="AF1609"/>
        </row>
        <row r="1610">
          <cell r="L1610">
            <v>0</v>
          </cell>
          <cell r="AE1610"/>
          <cell r="AF1610"/>
        </row>
        <row r="1611">
          <cell r="L1611">
            <v>0</v>
          </cell>
          <cell r="AE1611"/>
          <cell r="AF1611"/>
        </row>
        <row r="1612">
          <cell r="L1612">
            <v>0</v>
          </cell>
          <cell r="AE1612"/>
          <cell r="AF1612"/>
        </row>
        <row r="1613">
          <cell r="L1613">
            <v>0</v>
          </cell>
          <cell r="AE1613"/>
          <cell r="AF1613"/>
        </row>
        <row r="1614">
          <cell r="L1614">
            <v>0</v>
          </cell>
          <cell r="AE1614"/>
          <cell r="AF1614"/>
        </row>
        <row r="1615">
          <cell r="L1615">
            <v>0</v>
          </cell>
          <cell r="AE1615"/>
          <cell r="AF1615"/>
        </row>
        <row r="1616">
          <cell r="L1616">
            <v>1.1450381679389301E-2</v>
          </cell>
          <cell r="AE1616"/>
          <cell r="AF1616"/>
        </row>
        <row r="1617">
          <cell r="L1617">
            <v>0</v>
          </cell>
          <cell r="AE1617"/>
          <cell r="AF1617"/>
        </row>
        <row r="1618">
          <cell r="L1618">
            <v>0</v>
          </cell>
          <cell r="AE1618"/>
          <cell r="AF1618"/>
        </row>
        <row r="1619">
          <cell r="L1619">
            <v>0</v>
          </cell>
          <cell r="AE1619"/>
          <cell r="AF1619"/>
        </row>
        <row r="1620">
          <cell r="L1620">
            <v>3.0748915299000101E-2</v>
          </cell>
          <cell r="AE1620">
            <v>1</v>
          </cell>
          <cell r="AF1620"/>
        </row>
        <row r="1621">
          <cell r="L1621">
            <v>3.0866999546073502E-2</v>
          </cell>
          <cell r="AE1621">
            <v>1</v>
          </cell>
          <cell r="AF1621"/>
        </row>
        <row r="1622">
          <cell r="L1622">
            <v>3.0815482901164901E-2</v>
          </cell>
          <cell r="AE1622"/>
          <cell r="AF1622"/>
        </row>
        <row r="1623">
          <cell r="L1623">
            <v>3.0734842134674398E-2</v>
          </cell>
          <cell r="AE1623">
            <v>1</v>
          </cell>
          <cell r="AF1623"/>
        </row>
        <row r="1624">
          <cell r="L1624">
            <v>3.0815482901164901E-2</v>
          </cell>
          <cell r="AE1624"/>
          <cell r="AF1624"/>
        </row>
        <row r="1625">
          <cell r="L1625">
            <v>3.08178585539312E-2</v>
          </cell>
          <cell r="AE1625"/>
          <cell r="AF1625"/>
        </row>
        <row r="1626">
          <cell r="L1626">
            <v>3.2069970845481001E-2</v>
          </cell>
          <cell r="AE1626"/>
          <cell r="AF1626"/>
        </row>
        <row r="1627">
          <cell r="L1627">
            <v>3.08813324080499E-2</v>
          </cell>
          <cell r="AE1627"/>
          <cell r="AF1627"/>
        </row>
        <row r="1628">
          <cell r="L1628">
            <v>3.0854430379746799E-2</v>
          </cell>
          <cell r="AE1628"/>
          <cell r="AF1628"/>
        </row>
        <row r="1629">
          <cell r="L1629">
            <v>3.0617540217955298E-2</v>
          </cell>
          <cell r="AE1629"/>
          <cell r="AF1629"/>
        </row>
        <row r="1630">
          <cell r="L1630">
            <v>3.0793106264804301E-2</v>
          </cell>
          <cell r="AE1630">
            <v>5</v>
          </cell>
          <cell r="AF1630"/>
        </row>
        <row r="1631">
          <cell r="L1631">
            <v>3.0517711171662101E-2</v>
          </cell>
          <cell r="AE1631"/>
          <cell r="AF1631"/>
        </row>
        <row r="1632">
          <cell r="L1632">
            <v>0</v>
          </cell>
          <cell r="AE1632"/>
          <cell r="AF1632"/>
        </row>
        <row r="1633">
          <cell r="L1633">
            <v>2.8985507246376802E-2</v>
          </cell>
          <cell r="AE1633"/>
          <cell r="AF1633"/>
        </row>
        <row r="1634">
          <cell r="L1634">
            <v>2.8985507246376802E-2</v>
          </cell>
          <cell r="AE1634"/>
          <cell r="AF1634"/>
        </row>
        <row r="1635">
          <cell r="L1635">
            <v>0</v>
          </cell>
          <cell r="AE1635"/>
          <cell r="AF1635"/>
        </row>
        <row r="1636">
          <cell r="L1636">
            <v>3.0670711156049801E-2</v>
          </cell>
          <cell r="AE1636"/>
          <cell r="AF1636"/>
        </row>
        <row r="1637">
          <cell r="L1637">
            <v>2.9126213592233E-2</v>
          </cell>
          <cell r="AE1637"/>
          <cell r="AF1637"/>
        </row>
        <row r="1638">
          <cell r="L1638">
            <v>3.0866047347917199E-2</v>
          </cell>
          <cell r="AE1638"/>
          <cell r="AF1638"/>
        </row>
        <row r="1639">
          <cell r="L1639">
            <v>3.0845302566517501E-2</v>
          </cell>
          <cell r="AE1639"/>
          <cell r="AF1639"/>
        </row>
        <row r="1640">
          <cell r="L1640">
            <v>3.0950305143853499E-2</v>
          </cell>
          <cell r="AE1640"/>
          <cell r="AF1640"/>
        </row>
        <row r="1641">
          <cell r="L1641">
            <v>3.0517711171662101E-2</v>
          </cell>
          <cell r="AE1641"/>
          <cell r="AF1641"/>
        </row>
        <row r="1642">
          <cell r="L1642">
            <v>0</v>
          </cell>
          <cell r="AE1642"/>
          <cell r="AF1642"/>
        </row>
        <row r="1643">
          <cell r="L1643">
            <v>2.8985507246376802E-2</v>
          </cell>
          <cell r="AE1643"/>
          <cell r="AF1643"/>
        </row>
        <row r="1644">
          <cell r="L1644">
            <v>2.8985507246376802E-2</v>
          </cell>
          <cell r="AE1644"/>
          <cell r="AF1644"/>
        </row>
        <row r="1645">
          <cell r="L1645">
            <v>0</v>
          </cell>
          <cell r="AE1645"/>
          <cell r="AF1645"/>
        </row>
        <row r="1646">
          <cell r="L1646">
            <v>0</v>
          </cell>
          <cell r="AE1646">
            <v>1</v>
          </cell>
          <cell r="AF1646"/>
        </row>
        <row r="1647">
          <cell r="L1647">
            <v>0</v>
          </cell>
          <cell r="AE1647">
            <v>3</v>
          </cell>
          <cell r="AF1647"/>
        </row>
        <row r="1648">
          <cell r="L1648">
            <v>0</v>
          </cell>
          <cell r="AE1648">
            <v>4</v>
          </cell>
          <cell r="AF1648"/>
        </row>
        <row r="1649">
          <cell r="L1649">
            <v>0</v>
          </cell>
          <cell r="AE1649">
            <v>4</v>
          </cell>
          <cell r="AF1649"/>
        </row>
        <row r="1650">
          <cell r="L1650">
            <v>0</v>
          </cell>
          <cell r="AE1650">
            <v>5</v>
          </cell>
          <cell r="AF1650"/>
        </row>
        <row r="1651">
          <cell r="L1651">
            <v>1.07144464952955E-2</v>
          </cell>
          <cell r="AE1651">
            <v>4</v>
          </cell>
          <cell r="AF1651"/>
        </row>
        <row r="1652">
          <cell r="L1652">
            <v>7.7984206559847903E-3</v>
          </cell>
          <cell r="AE1652">
            <v>5</v>
          </cell>
          <cell r="AF1652"/>
        </row>
        <row r="1653">
          <cell r="L1653">
            <v>1.13977955911823E-2</v>
          </cell>
          <cell r="AE1653">
            <v>5</v>
          </cell>
          <cell r="AF1653"/>
        </row>
        <row r="1654">
          <cell r="L1654">
            <v>0</v>
          </cell>
          <cell r="AE1654">
            <v>3</v>
          </cell>
          <cell r="AF1654"/>
        </row>
        <row r="1655">
          <cell r="L1655">
            <v>0</v>
          </cell>
          <cell r="AE1655">
            <v>3</v>
          </cell>
          <cell r="AF1655"/>
        </row>
        <row r="1656">
          <cell r="L1656">
            <v>3.07550423032198E-2</v>
          </cell>
          <cell r="AE1656">
            <v>6</v>
          </cell>
          <cell r="AF1656"/>
        </row>
        <row r="1657">
          <cell r="L1657">
            <v>2.4681268388362199E-2</v>
          </cell>
          <cell r="AE1657">
            <v>3</v>
          </cell>
          <cell r="AF1657"/>
        </row>
        <row r="1658">
          <cell r="L1658">
            <v>2.4864152807508599E-2</v>
          </cell>
          <cell r="AE1658">
            <v>3</v>
          </cell>
          <cell r="AF1658"/>
        </row>
        <row r="1659">
          <cell r="L1659">
            <v>3.07550423032198E-2</v>
          </cell>
          <cell r="AE1659">
            <v>6</v>
          </cell>
          <cell r="AF1659"/>
        </row>
        <row r="1660">
          <cell r="L1660">
            <v>1.20198825124265E-2</v>
          </cell>
          <cell r="AE1660">
            <v>3</v>
          </cell>
          <cell r="AF1660"/>
        </row>
        <row r="1661">
          <cell r="L1661">
            <v>1.27651586258682E-2</v>
          </cell>
          <cell r="AE1661">
            <v>5</v>
          </cell>
          <cell r="AF1661"/>
        </row>
        <row r="1662">
          <cell r="L1662">
            <v>3.0749242096145501E-2</v>
          </cell>
          <cell r="AE1662"/>
          <cell r="AF1662"/>
        </row>
        <row r="1663">
          <cell r="L1663">
            <v>3.0789010691568499E-2</v>
          </cell>
          <cell r="AE1663"/>
          <cell r="AF1663"/>
        </row>
        <row r="1664">
          <cell r="L1664">
            <v>3.0789010691568499E-2</v>
          </cell>
          <cell r="AE1664"/>
          <cell r="AF1664"/>
        </row>
        <row r="1665">
          <cell r="L1665">
            <v>0</v>
          </cell>
          <cell r="AE1665">
            <v>5</v>
          </cell>
          <cell r="AF1665"/>
        </row>
        <row r="1666">
          <cell r="L1666">
            <v>0</v>
          </cell>
          <cell r="AE1666">
            <v>5</v>
          </cell>
          <cell r="AF1666"/>
        </row>
        <row r="1667">
          <cell r="L1667">
            <v>0</v>
          </cell>
          <cell r="AE1667">
            <v>4</v>
          </cell>
          <cell r="AF1667"/>
        </row>
        <row r="1668">
          <cell r="L1668">
            <v>2.8396089036821299E-2</v>
          </cell>
          <cell r="AE1668">
            <v>7</v>
          </cell>
          <cell r="AF1668"/>
        </row>
        <row r="1669">
          <cell r="L1669">
            <v>3.0768199490548299E-2</v>
          </cell>
          <cell r="AE1669">
            <v>5</v>
          </cell>
          <cell r="AF1669"/>
        </row>
        <row r="1670">
          <cell r="L1670">
            <v>3.0768262757188601E-2</v>
          </cell>
          <cell r="AE1670">
            <v>5</v>
          </cell>
          <cell r="AF1670"/>
        </row>
        <row r="1671">
          <cell r="L1671">
            <v>8.0340264650283506E-3</v>
          </cell>
          <cell r="AE1671">
            <v>4</v>
          </cell>
          <cell r="AF1671"/>
        </row>
        <row r="1672">
          <cell r="L1672">
            <v>0</v>
          </cell>
          <cell r="AE1672">
            <v>4</v>
          </cell>
          <cell r="AF1672"/>
        </row>
        <row r="1673">
          <cell r="L1673">
            <v>3.07552112996924E-2</v>
          </cell>
          <cell r="AE1673">
            <v>2</v>
          </cell>
          <cell r="AF1673"/>
        </row>
        <row r="1674">
          <cell r="L1674">
            <v>7.69156564519759E-2</v>
          </cell>
          <cell r="AE1674">
            <v>5</v>
          </cell>
          <cell r="AF1674"/>
        </row>
        <row r="1675">
          <cell r="L1675">
            <v>8.5127082573270008E-3</v>
          </cell>
          <cell r="AE1675">
            <v>2</v>
          </cell>
          <cell r="AF1675"/>
        </row>
        <row r="1676">
          <cell r="L1676">
            <v>1.9227687870533501E-3</v>
          </cell>
          <cell r="AE1676">
            <v>10</v>
          </cell>
          <cell r="AF1676"/>
        </row>
        <row r="1677">
          <cell r="L1677">
            <v>0</v>
          </cell>
          <cell r="AE1677">
            <v>2</v>
          </cell>
          <cell r="AF1677"/>
        </row>
        <row r="1678">
          <cell r="L1678">
            <v>0</v>
          </cell>
          <cell r="AE1678">
            <v>4</v>
          </cell>
          <cell r="AF1678"/>
        </row>
        <row r="1679">
          <cell r="L1679">
            <v>0</v>
          </cell>
          <cell r="AE1679">
            <v>2</v>
          </cell>
          <cell r="AF1679"/>
        </row>
        <row r="1680">
          <cell r="L1680">
            <v>0</v>
          </cell>
          <cell r="AE1680"/>
          <cell r="AF1680"/>
        </row>
        <row r="1681">
          <cell r="L1681">
            <v>7.3034061575269101E-3</v>
          </cell>
          <cell r="AE1681">
            <v>4</v>
          </cell>
          <cell r="AF1681"/>
        </row>
        <row r="1682">
          <cell r="L1682">
            <v>0.241463414634146</v>
          </cell>
          <cell r="AE1682"/>
          <cell r="AF1682"/>
        </row>
        <row r="1683">
          <cell r="L1683">
            <v>0</v>
          </cell>
          <cell r="AE1683">
            <v>8</v>
          </cell>
          <cell r="AF1683"/>
        </row>
        <row r="1684">
          <cell r="L1684">
            <v>0.107309004445363</v>
          </cell>
          <cell r="AE1684">
            <v>3</v>
          </cell>
          <cell r="AF1684"/>
        </row>
        <row r="1685">
          <cell r="L1685">
            <v>3.07384503455802E-2</v>
          </cell>
          <cell r="AE1685">
            <v>4</v>
          </cell>
          <cell r="AF1685"/>
        </row>
        <row r="1686">
          <cell r="L1686">
            <v>5.30942640786839E-3</v>
          </cell>
          <cell r="AE1686">
            <v>5</v>
          </cell>
          <cell r="AF1686"/>
        </row>
        <row r="1687">
          <cell r="L1687">
            <v>0</v>
          </cell>
          <cell r="AE1687">
            <v>2</v>
          </cell>
          <cell r="AF1687"/>
        </row>
        <row r="1688">
          <cell r="L1688">
            <v>0.36002685765443099</v>
          </cell>
          <cell r="AE1688">
            <v>1</v>
          </cell>
          <cell r="AF1688"/>
        </row>
        <row r="1689">
          <cell r="L1689">
            <v>0.174658505938146</v>
          </cell>
          <cell r="AE1689">
            <v>4</v>
          </cell>
          <cell r="AF1689"/>
        </row>
        <row r="1690">
          <cell r="L1690">
            <v>0.34652165760359999</v>
          </cell>
          <cell r="AE1690">
            <v>1</v>
          </cell>
          <cell r="AF1690"/>
        </row>
        <row r="1691">
          <cell r="L1691">
            <v>3.0773906766460201E-2</v>
          </cell>
          <cell r="AE1691">
            <v>5</v>
          </cell>
          <cell r="AF1691"/>
        </row>
        <row r="1692">
          <cell r="L1692">
            <v>6.1530230069555901E-2</v>
          </cell>
          <cell r="AE1692">
            <v>3</v>
          </cell>
          <cell r="AF1692"/>
        </row>
        <row r="1693">
          <cell r="L1693">
            <v>0.13845040602470901</v>
          </cell>
          <cell r="AE1693">
            <v>2</v>
          </cell>
          <cell r="AF1693"/>
        </row>
        <row r="1694">
          <cell r="L1694">
            <v>6.1545697952094899E-2</v>
          </cell>
          <cell r="AE1694">
            <v>2</v>
          </cell>
          <cell r="AF1694"/>
        </row>
        <row r="1695">
          <cell r="L1695">
            <v>3.07612200348466E-2</v>
          </cell>
          <cell r="AE1695">
            <v>3</v>
          </cell>
          <cell r="AF1695"/>
        </row>
        <row r="1696">
          <cell r="L1696">
            <v>4.8667439165701E-3</v>
          </cell>
          <cell r="AE1696">
            <v>4</v>
          </cell>
          <cell r="AF1696"/>
        </row>
        <row r="1697">
          <cell r="L1697">
            <v>3.0776027094684098E-2</v>
          </cell>
          <cell r="AE1697">
            <v>3</v>
          </cell>
          <cell r="AF1697"/>
        </row>
        <row r="1698">
          <cell r="L1698">
            <v>3.0766949623753499E-2</v>
          </cell>
          <cell r="AE1698">
            <v>5</v>
          </cell>
          <cell r="AF1698"/>
        </row>
        <row r="1699">
          <cell r="L1699">
            <v>3.0764481942586599E-2</v>
          </cell>
          <cell r="AE1699">
            <v>4</v>
          </cell>
          <cell r="AF1699"/>
        </row>
        <row r="1700">
          <cell r="L1700">
            <v>0</v>
          </cell>
          <cell r="AE1700">
            <v>4</v>
          </cell>
          <cell r="AF1700"/>
        </row>
        <row r="1701">
          <cell r="L1701">
            <v>3.0847875903401999E-2</v>
          </cell>
          <cell r="AE1701">
            <v>4</v>
          </cell>
          <cell r="AF1701"/>
        </row>
        <row r="1702">
          <cell r="L1702">
            <v>3.0736019736842101E-2</v>
          </cell>
          <cell r="AE1702">
            <v>2</v>
          </cell>
          <cell r="AF1702"/>
        </row>
        <row r="1703">
          <cell r="L1703">
            <v>0</v>
          </cell>
          <cell r="AE1703">
            <v>1</v>
          </cell>
          <cell r="AF1703"/>
        </row>
        <row r="1704">
          <cell r="L1704">
            <v>3.05676855895196E-2</v>
          </cell>
          <cell r="AE1704">
            <v>3</v>
          </cell>
          <cell r="AF1704"/>
        </row>
        <row r="1705">
          <cell r="L1705">
            <v>3.0676691729323299E-2</v>
          </cell>
          <cell r="AE1705">
            <v>1</v>
          </cell>
          <cell r="AF1705"/>
        </row>
        <row r="1706">
          <cell r="L1706">
            <v>3.0563514804202399E-2</v>
          </cell>
          <cell r="AE1706"/>
          <cell r="AF1706"/>
        </row>
        <row r="1707">
          <cell r="L1707">
            <v>3.07993840123197E-2</v>
          </cell>
          <cell r="AE1707">
            <v>4</v>
          </cell>
          <cell r="AF1707"/>
        </row>
        <row r="1708">
          <cell r="L1708">
            <v>2.26495726495726E-2</v>
          </cell>
          <cell r="AE1708">
            <v>3</v>
          </cell>
          <cell r="AF1708"/>
        </row>
        <row r="1709">
          <cell r="L1709">
            <v>3.0856678846934601E-2</v>
          </cell>
          <cell r="AE1709"/>
          <cell r="AF1709"/>
        </row>
        <row r="1710">
          <cell r="L1710">
            <v>3.0795847750865E-2</v>
          </cell>
          <cell r="AE1710">
            <v>2</v>
          </cell>
          <cell r="AF1710"/>
        </row>
        <row r="1711">
          <cell r="L1711">
            <v>1.6101694915254199E-2</v>
          </cell>
          <cell r="AE1711">
            <v>1</v>
          </cell>
          <cell r="AF1711"/>
        </row>
        <row r="1712">
          <cell r="L1712">
            <v>3.1002162941600499E-2</v>
          </cell>
          <cell r="AE1712"/>
          <cell r="AF1712"/>
        </row>
        <row r="1713">
          <cell r="L1713">
            <v>1.6101694915254199E-2</v>
          </cell>
          <cell r="AE1713">
            <v>1</v>
          </cell>
          <cell r="AF1713"/>
        </row>
        <row r="1714">
          <cell r="L1714">
            <v>3.0642750373692001E-2</v>
          </cell>
          <cell r="AE1714">
            <v>1</v>
          </cell>
          <cell r="AF1714"/>
        </row>
        <row r="1715">
          <cell r="L1715">
            <v>2.93417922283901E-2</v>
          </cell>
          <cell r="AE1715">
            <v>1</v>
          </cell>
          <cell r="AF1715"/>
        </row>
        <row r="1716">
          <cell r="L1716">
            <v>5.1546391752577301E-3</v>
          </cell>
          <cell r="AE1716">
            <v>1</v>
          </cell>
          <cell r="AF1716"/>
        </row>
        <row r="1717">
          <cell r="L1717">
            <v>3.08690012970168E-2</v>
          </cell>
          <cell r="AE1717">
            <v>2</v>
          </cell>
          <cell r="AF1717"/>
        </row>
        <row r="1718">
          <cell r="L1718">
            <v>3.0769230769230702E-2</v>
          </cell>
          <cell r="AE1718">
            <v>1</v>
          </cell>
          <cell r="AF1718"/>
        </row>
        <row r="1719">
          <cell r="L1719">
            <v>3.09773123909249E-2</v>
          </cell>
          <cell r="AE1719"/>
          <cell r="AF1719"/>
        </row>
        <row r="1720">
          <cell r="L1720">
            <v>3.06936771025168E-2</v>
          </cell>
          <cell r="AE1720">
            <v>1</v>
          </cell>
          <cell r="AF1720"/>
        </row>
        <row r="1721">
          <cell r="L1721">
            <v>3.06627101879327E-2</v>
          </cell>
          <cell r="AE1721"/>
          <cell r="AF1721"/>
        </row>
        <row r="1722">
          <cell r="L1722">
            <v>2.2169671888856001E-2</v>
          </cell>
          <cell r="AE1722">
            <v>2</v>
          </cell>
          <cell r="AF1722"/>
        </row>
        <row r="1723">
          <cell r="L1723">
            <v>3.0667468430547198E-2</v>
          </cell>
          <cell r="AE1723"/>
          <cell r="AF1723"/>
        </row>
        <row r="1724">
          <cell r="L1724">
            <v>3.0729833546734898E-2</v>
          </cell>
          <cell r="AE1724">
            <v>4</v>
          </cell>
          <cell r="AF1724"/>
        </row>
        <row r="1725">
          <cell r="L1725">
            <v>3.08529945553539E-2</v>
          </cell>
          <cell r="AE1725"/>
          <cell r="AF1725"/>
        </row>
        <row r="1726">
          <cell r="L1726">
            <v>2.0534550195567099E-2</v>
          </cell>
          <cell r="AE1726">
            <v>3</v>
          </cell>
          <cell r="AF1726"/>
        </row>
        <row r="1727">
          <cell r="L1727">
            <v>0</v>
          </cell>
          <cell r="AE1727"/>
          <cell r="AF1727"/>
        </row>
        <row r="1728">
          <cell r="L1728">
            <v>1.0593220338983E-2</v>
          </cell>
          <cell r="AE1728"/>
          <cell r="AF1728"/>
        </row>
        <row r="1729">
          <cell r="L1729">
            <v>0</v>
          </cell>
          <cell r="AE1729"/>
          <cell r="AF1729"/>
        </row>
        <row r="1730">
          <cell r="L1730">
            <v>3.0638612033960799E-2</v>
          </cell>
          <cell r="AE1730"/>
          <cell r="AF1730"/>
        </row>
        <row r="1731">
          <cell r="L1731">
            <v>0</v>
          </cell>
          <cell r="AE1731"/>
          <cell r="AF1731"/>
        </row>
        <row r="1732">
          <cell r="L1732">
            <v>0</v>
          </cell>
          <cell r="AE1732"/>
          <cell r="AF1732"/>
        </row>
        <row r="1733">
          <cell r="L1733">
            <v>0</v>
          </cell>
          <cell r="AE1733"/>
          <cell r="AF1733"/>
        </row>
        <row r="1734">
          <cell r="L1734">
            <v>3.0591974572904201E-2</v>
          </cell>
          <cell r="AE1734">
            <v>1</v>
          </cell>
          <cell r="AF1734"/>
        </row>
        <row r="1735">
          <cell r="L1735">
            <v>3.06181398035817E-2</v>
          </cell>
          <cell r="AE1735">
            <v>2</v>
          </cell>
          <cell r="AF1735"/>
        </row>
        <row r="1736">
          <cell r="L1736">
            <v>3.0508474576271101E-2</v>
          </cell>
          <cell r="AE1736"/>
          <cell r="AF1736"/>
        </row>
        <row r="1737">
          <cell r="L1737">
            <v>3.0653950953678399E-2</v>
          </cell>
          <cell r="AE1737"/>
          <cell r="AF1737"/>
        </row>
        <row r="1738">
          <cell r="L1738">
            <v>3.06661966866408E-2</v>
          </cell>
          <cell r="AE1738"/>
          <cell r="AF1738"/>
        </row>
        <row r="1739">
          <cell r="L1739">
            <v>3.0864197530864099E-2</v>
          </cell>
          <cell r="AE1739"/>
          <cell r="AF1739"/>
        </row>
        <row r="1740">
          <cell r="L1740">
            <v>0</v>
          </cell>
          <cell r="AE1740">
            <v>1</v>
          </cell>
          <cell r="AF1740"/>
        </row>
        <row r="1741">
          <cell r="L1741">
            <v>3.0579825258141301E-2</v>
          </cell>
          <cell r="AE1741">
            <v>1</v>
          </cell>
          <cell r="AF1741"/>
        </row>
        <row r="1742">
          <cell r="L1742">
            <v>3.07864539602574E-2</v>
          </cell>
          <cell r="AE1742">
            <v>2</v>
          </cell>
          <cell r="AF1742"/>
        </row>
        <row r="1743">
          <cell r="L1743">
            <v>3.0935808197989099E-2</v>
          </cell>
          <cell r="AE1743">
            <v>2</v>
          </cell>
          <cell r="AF1743"/>
        </row>
        <row r="1744">
          <cell r="L1744">
            <v>3.0852503382949901E-2</v>
          </cell>
          <cell r="AE1744"/>
          <cell r="AF1744"/>
        </row>
        <row r="1745">
          <cell r="L1745">
            <v>3.06345733041575E-2</v>
          </cell>
          <cell r="AE1745"/>
          <cell r="AF1745"/>
        </row>
        <row r="1746">
          <cell r="L1746">
            <v>0</v>
          </cell>
          <cell r="AE1746"/>
          <cell r="AF1746"/>
        </row>
        <row r="1747">
          <cell r="L1747">
            <v>0</v>
          </cell>
          <cell r="AE1747"/>
          <cell r="AF1747"/>
        </row>
        <row r="1748">
          <cell r="L1748">
            <v>0</v>
          </cell>
          <cell r="AE1748"/>
          <cell r="AF1748"/>
        </row>
        <row r="1749">
          <cell r="L1749">
            <v>2.0066197765825401E-2</v>
          </cell>
          <cell r="AE1749">
            <v>3</v>
          </cell>
          <cell r="AF1749"/>
        </row>
        <row r="1750">
          <cell r="L1750">
            <v>3.08194858684845E-2</v>
          </cell>
          <cell r="AE1750">
            <v>3</v>
          </cell>
          <cell r="AF1750"/>
        </row>
        <row r="1751">
          <cell r="L1751">
            <v>9.3922651933701605E-3</v>
          </cell>
          <cell r="AE1751">
            <v>1</v>
          </cell>
          <cell r="AF1751"/>
        </row>
        <row r="1752">
          <cell r="L1752">
            <v>3.0579825258141301E-2</v>
          </cell>
          <cell r="AE1752">
            <v>1</v>
          </cell>
          <cell r="AF1752"/>
        </row>
        <row r="1753">
          <cell r="L1753">
            <v>1.9281332164767701E-2</v>
          </cell>
          <cell r="AE1753">
            <v>1</v>
          </cell>
          <cell r="AF1753"/>
        </row>
        <row r="1754">
          <cell r="L1754">
            <v>0</v>
          </cell>
          <cell r="AE1754"/>
          <cell r="AF1754"/>
        </row>
        <row r="1755">
          <cell r="L1755">
            <v>3.07467057101024E-2</v>
          </cell>
          <cell r="AE1755">
            <v>2</v>
          </cell>
          <cell r="AF1755"/>
        </row>
        <row r="1756">
          <cell r="L1756">
            <v>3.0933967876264099E-2</v>
          </cell>
          <cell r="AE1756"/>
          <cell r="AF1756"/>
        </row>
        <row r="1757">
          <cell r="L1757">
            <v>3.0591434398368401E-2</v>
          </cell>
          <cell r="AE1757">
            <v>1</v>
          </cell>
          <cell r="AF1757"/>
        </row>
        <row r="1758">
          <cell r="L1758">
            <v>3.0206677265500699E-2</v>
          </cell>
          <cell r="AE1758">
            <v>1</v>
          </cell>
          <cell r="AF1758"/>
        </row>
        <row r="1759">
          <cell r="L1759">
            <v>3.0739673390970199E-2</v>
          </cell>
          <cell r="AE1759">
            <v>1</v>
          </cell>
          <cell r="AF1759"/>
        </row>
        <row r="1760">
          <cell r="L1760">
            <v>1.0612492419648199E-2</v>
          </cell>
          <cell r="AE1760">
            <v>1</v>
          </cell>
          <cell r="AF1760"/>
        </row>
        <row r="1761">
          <cell r="L1761">
            <v>3.0739673390970199E-2</v>
          </cell>
          <cell r="AE1761">
            <v>1</v>
          </cell>
          <cell r="AF1761"/>
        </row>
        <row r="1762">
          <cell r="L1762">
            <v>3.0591434398368401E-2</v>
          </cell>
          <cell r="AE1762">
            <v>1</v>
          </cell>
          <cell r="AF1762"/>
        </row>
        <row r="1763">
          <cell r="L1763">
            <v>3.1091370558375599E-2</v>
          </cell>
          <cell r="AE1763">
            <v>1</v>
          </cell>
          <cell r="AF1763"/>
        </row>
        <row r="1764">
          <cell r="L1764">
            <v>3.0591434398368401E-2</v>
          </cell>
          <cell r="AE1764">
            <v>1</v>
          </cell>
          <cell r="AF1764"/>
        </row>
        <row r="1765">
          <cell r="L1765">
            <v>3.0742459396751701E-2</v>
          </cell>
          <cell r="AE1765">
            <v>1</v>
          </cell>
          <cell r="AF1765"/>
        </row>
        <row r="1766">
          <cell r="L1766">
            <v>3.0742459396751701E-2</v>
          </cell>
          <cell r="AE1766">
            <v>1</v>
          </cell>
          <cell r="AF1766"/>
        </row>
        <row r="1767">
          <cell r="L1767">
            <v>0</v>
          </cell>
          <cell r="AE1767"/>
          <cell r="AF1767"/>
        </row>
        <row r="1768">
          <cell r="L1768">
            <v>0</v>
          </cell>
          <cell r="AE1768"/>
          <cell r="AF1768"/>
        </row>
        <row r="1769">
          <cell r="L1769">
            <v>0</v>
          </cell>
          <cell r="AE1769"/>
          <cell r="AF1769"/>
        </row>
        <row r="1770">
          <cell r="L1770">
            <v>0</v>
          </cell>
          <cell r="AE1770">
            <v>2</v>
          </cell>
          <cell r="AF1770"/>
        </row>
        <row r="1771">
          <cell r="L1771">
            <v>3.0790520671164098E-2</v>
          </cell>
          <cell r="AE1771">
            <v>2</v>
          </cell>
          <cell r="AF1771"/>
        </row>
        <row r="1772">
          <cell r="L1772">
            <v>3.0738522954091799E-2</v>
          </cell>
          <cell r="AE1772">
            <v>1</v>
          </cell>
          <cell r="AF1772"/>
        </row>
        <row r="1773">
          <cell r="L1773">
            <v>9.3457943925233603E-3</v>
          </cell>
          <cell r="AE1773">
            <v>1</v>
          </cell>
          <cell r="AF1773"/>
        </row>
        <row r="1774">
          <cell r="L1774">
            <v>3.1213872832369899E-2</v>
          </cell>
          <cell r="AE1774"/>
          <cell r="AF1774"/>
        </row>
        <row r="1775">
          <cell r="L1775">
            <v>3.0602636534839901E-2</v>
          </cell>
          <cell r="AE1775">
            <v>1</v>
          </cell>
          <cell r="AF1775"/>
        </row>
        <row r="1776">
          <cell r="L1776">
            <v>3.0674846625766802E-2</v>
          </cell>
          <cell r="AE1776">
            <v>2</v>
          </cell>
          <cell r="AF1776"/>
        </row>
        <row r="1777">
          <cell r="L1777">
            <v>2.8651443343386401E-2</v>
          </cell>
          <cell r="AE1777">
            <v>2</v>
          </cell>
          <cell r="AF1777"/>
        </row>
        <row r="1778">
          <cell r="L1778">
            <v>3.0446549391069E-2</v>
          </cell>
          <cell r="AE1778"/>
          <cell r="AF1778"/>
        </row>
        <row r="1779">
          <cell r="L1779">
            <v>0</v>
          </cell>
          <cell r="AE1779"/>
          <cell r="AF1779"/>
        </row>
        <row r="1780">
          <cell r="L1780">
            <v>0</v>
          </cell>
          <cell r="AE1780"/>
          <cell r="AF1780"/>
        </row>
        <row r="1781">
          <cell r="L1781">
            <v>0</v>
          </cell>
          <cell r="AE1781"/>
          <cell r="AF1781"/>
        </row>
        <row r="1782">
          <cell r="L1782">
            <v>0</v>
          </cell>
          <cell r="AE1782">
            <v>1</v>
          </cell>
          <cell r="AF1782"/>
        </row>
        <row r="1783">
          <cell r="L1783">
            <v>6.1707427536231802E-3</v>
          </cell>
          <cell r="AE1783">
            <v>3</v>
          </cell>
          <cell r="AF1783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03 SCRIPT"/>
      <sheetName val="ISO Sign-Off 1026"/>
      <sheetName val="Schedule 221"/>
      <sheetName val="IPP PLAN LOG"/>
      <sheetName val="WELD DUMP"/>
      <sheetName val="BY SYSTEMS"/>
      <sheetName val="Test Package Tracker"/>
      <sheetName val="BY SCHEDULE ID"/>
      <sheetName val="ISO WEEKLY COUNTS"/>
      <sheetName val="MISSING PKG TRACKER"/>
      <sheetName val="Test Pkg Summary Dump"/>
    </sheetNames>
    <sheetDataSet>
      <sheetData sheetId="0"/>
      <sheetData sheetId="1">
        <row r="1">
          <cell r="L1" t="str">
            <v>DWG %</v>
          </cell>
          <cell r="N1" t="str">
            <v>POST TEST DATE</v>
          </cell>
        </row>
        <row r="2">
          <cell r="L2"/>
          <cell r="N2"/>
        </row>
        <row r="3">
          <cell r="L3">
            <v>100</v>
          </cell>
          <cell r="N3"/>
        </row>
        <row r="4">
          <cell r="L4">
            <v>100</v>
          </cell>
          <cell r="N4"/>
        </row>
        <row r="5">
          <cell r="L5">
            <v>100</v>
          </cell>
          <cell r="N5"/>
        </row>
        <row r="6">
          <cell r="L6">
            <v>100</v>
          </cell>
          <cell r="N6"/>
        </row>
        <row r="7">
          <cell r="L7">
            <v>100</v>
          </cell>
          <cell r="N7"/>
        </row>
        <row r="8">
          <cell r="L8">
            <v>100</v>
          </cell>
          <cell r="N8"/>
        </row>
        <row r="9">
          <cell r="L9">
            <v>100</v>
          </cell>
          <cell r="N9"/>
        </row>
        <row r="10">
          <cell r="L10">
            <v>100</v>
          </cell>
          <cell r="N10"/>
        </row>
        <row r="11">
          <cell r="L11">
            <v>100</v>
          </cell>
          <cell r="N11"/>
        </row>
        <row r="12">
          <cell r="L12">
            <v>100</v>
          </cell>
          <cell r="N12"/>
        </row>
        <row r="13">
          <cell r="L13">
            <v>100</v>
          </cell>
          <cell r="N13"/>
        </row>
        <row r="14">
          <cell r="L14">
            <v>100</v>
          </cell>
          <cell r="N14">
            <v>44761</v>
          </cell>
        </row>
        <row r="15">
          <cell r="L15">
            <v>100</v>
          </cell>
          <cell r="N15">
            <v>44799</v>
          </cell>
        </row>
        <row r="16">
          <cell r="L16">
            <v>100</v>
          </cell>
          <cell r="N16">
            <v>44761</v>
          </cell>
        </row>
        <row r="17">
          <cell r="L17">
            <v>100</v>
          </cell>
          <cell r="N17">
            <v>44775</v>
          </cell>
        </row>
        <row r="18">
          <cell r="L18">
            <v>100</v>
          </cell>
          <cell r="N18">
            <v>44775</v>
          </cell>
        </row>
        <row r="19">
          <cell r="L19">
            <v>100</v>
          </cell>
          <cell r="N19">
            <v>44775</v>
          </cell>
        </row>
        <row r="20">
          <cell r="L20">
            <v>100</v>
          </cell>
          <cell r="N20">
            <v>44775</v>
          </cell>
        </row>
        <row r="21">
          <cell r="L21">
            <v>100</v>
          </cell>
          <cell r="N21">
            <v>44761</v>
          </cell>
        </row>
        <row r="22">
          <cell r="L22">
            <v>100</v>
          </cell>
          <cell r="N22">
            <v>44761</v>
          </cell>
        </row>
        <row r="23">
          <cell r="L23">
            <v>100</v>
          </cell>
          <cell r="N23">
            <v>44806</v>
          </cell>
        </row>
        <row r="24">
          <cell r="L24">
            <v>100</v>
          </cell>
          <cell r="N24"/>
        </row>
        <row r="25">
          <cell r="L25">
            <v>100</v>
          </cell>
          <cell r="N25"/>
        </row>
        <row r="26">
          <cell r="L26">
            <v>100</v>
          </cell>
          <cell r="N26"/>
        </row>
        <row r="27">
          <cell r="L27">
            <v>100</v>
          </cell>
          <cell r="N27"/>
        </row>
        <row r="28">
          <cell r="L28">
            <v>100</v>
          </cell>
          <cell r="N28"/>
        </row>
        <row r="29">
          <cell r="L29">
            <v>100</v>
          </cell>
          <cell r="N29"/>
        </row>
        <row r="30">
          <cell r="L30">
            <v>100</v>
          </cell>
          <cell r="N30"/>
        </row>
        <row r="31">
          <cell r="L31">
            <v>100</v>
          </cell>
          <cell r="N31"/>
        </row>
        <row r="32">
          <cell r="L32">
            <v>100</v>
          </cell>
          <cell r="N32">
            <v>44775</v>
          </cell>
        </row>
        <row r="33">
          <cell r="L33">
            <v>100</v>
          </cell>
          <cell r="N33">
            <v>44775</v>
          </cell>
        </row>
        <row r="34">
          <cell r="L34">
            <v>100</v>
          </cell>
          <cell r="N34">
            <v>44775</v>
          </cell>
        </row>
        <row r="35">
          <cell r="L35">
            <v>100</v>
          </cell>
          <cell r="N35"/>
        </row>
        <row r="36">
          <cell r="L36">
            <v>100</v>
          </cell>
          <cell r="N36"/>
        </row>
        <row r="37">
          <cell r="L37">
            <v>100</v>
          </cell>
          <cell r="N37"/>
        </row>
        <row r="38">
          <cell r="L38">
            <v>100</v>
          </cell>
          <cell r="N38"/>
        </row>
        <row r="39">
          <cell r="L39">
            <v>100</v>
          </cell>
          <cell r="N39"/>
        </row>
        <row r="40">
          <cell r="L40">
            <v>100</v>
          </cell>
          <cell r="N40"/>
        </row>
        <row r="41">
          <cell r="L41">
            <v>100</v>
          </cell>
          <cell r="N41"/>
        </row>
        <row r="42">
          <cell r="L42">
            <v>100</v>
          </cell>
          <cell r="N42"/>
        </row>
        <row r="43">
          <cell r="L43">
            <v>100</v>
          </cell>
          <cell r="N43"/>
        </row>
        <row r="44">
          <cell r="L44">
            <v>100</v>
          </cell>
          <cell r="N44"/>
        </row>
        <row r="45">
          <cell r="L45">
            <v>100</v>
          </cell>
          <cell r="N45"/>
        </row>
        <row r="46">
          <cell r="L46">
            <v>100</v>
          </cell>
          <cell r="N46"/>
        </row>
        <row r="47">
          <cell r="L47">
            <v>100</v>
          </cell>
          <cell r="N47"/>
        </row>
        <row r="48">
          <cell r="L48">
            <v>100</v>
          </cell>
          <cell r="N48"/>
        </row>
        <row r="49">
          <cell r="L49">
            <v>100</v>
          </cell>
          <cell r="N49"/>
        </row>
        <row r="50">
          <cell r="L50">
            <v>100</v>
          </cell>
          <cell r="N50"/>
        </row>
        <row r="51">
          <cell r="L51">
            <v>100</v>
          </cell>
          <cell r="N51"/>
        </row>
        <row r="52">
          <cell r="L52">
            <v>100</v>
          </cell>
          <cell r="N52"/>
        </row>
        <row r="53">
          <cell r="L53">
            <v>100</v>
          </cell>
          <cell r="N53"/>
        </row>
        <row r="54">
          <cell r="L54">
            <v>100</v>
          </cell>
          <cell r="N54"/>
        </row>
        <row r="55">
          <cell r="L55">
            <v>100</v>
          </cell>
          <cell r="N55"/>
        </row>
        <row r="56">
          <cell r="L56">
            <v>100</v>
          </cell>
          <cell r="N56"/>
        </row>
        <row r="57">
          <cell r="L57">
            <v>100</v>
          </cell>
          <cell r="N57"/>
        </row>
        <row r="58">
          <cell r="L58">
            <v>100</v>
          </cell>
          <cell r="N58"/>
        </row>
        <row r="59">
          <cell r="L59">
            <v>100</v>
          </cell>
          <cell r="N59"/>
        </row>
        <row r="60">
          <cell r="L60">
            <v>100</v>
          </cell>
          <cell r="N60"/>
        </row>
        <row r="61">
          <cell r="L61">
            <v>100</v>
          </cell>
          <cell r="N61"/>
        </row>
        <row r="62">
          <cell r="L62">
            <v>100</v>
          </cell>
          <cell r="N62"/>
        </row>
        <row r="63">
          <cell r="L63">
            <v>100</v>
          </cell>
          <cell r="N63"/>
        </row>
        <row r="64">
          <cell r="L64">
            <v>100</v>
          </cell>
          <cell r="N64"/>
        </row>
        <row r="65">
          <cell r="L65">
            <v>100</v>
          </cell>
          <cell r="N65"/>
        </row>
        <row r="66">
          <cell r="L66">
            <v>100</v>
          </cell>
          <cell r="N66"/>
        </row>
        <row r="67">
          <cell r="L67">
            <v>100</v>
          </cell>
          <cell r="N67"/>
        </row>
        <row r="68">
          <cell r="L68">
            <v>100</v>
          </cell>
          <cell r="N68"/>
        </row>
        <row r="69">
          <cell r="L69">
            <v>100</v>
          </cell>
          <cell r="N69"/>
        </row>
        <row r="70">
          <cell r="L70">
            <v>100</v>
          </cell>
          <cell r="N70"/>
        </row>
        <row r="71">
          <cell r="L71">
            <v>100</v>
          </cell>
          <cell r="N71"/>
        </row>
        <row r="72">
          <cell r="L72">
            <v>100</v>
          </cell>
          <cell r="N72"/>
        </row>
        <row r="73">
          <cell r="L73">
            <v>100</v>
          </cell>
          <cell r="N73"/>
        </row>
        <row r="74">
          <cell r="L74">
            <v>100</v>
          </cell>
          <cell r="N74"/>
        </row>
        <row r="75">
          <cell r="L75">
            <v>100</v>
          </cell>
          <cell r="N75"/>
        </row>
        <row r="76">
          <cell r="L76">
            <v>100</v>
          </cell>
          <cell r="N76"/>
        </row>
        <row r="77">
          <cell r="L77">
            <v>100</v>
          </cell>
          <cell r="N77"/>
        </row>
        <row r="78">
          <cell r="L78">
            <v>100</v>
          </cell>
          <cell r="N78">
            <v>44812</v>
          </cell>
        </row>
        <row r="79">
          <cell r="L79">
            <v>100</v>
          </cell>
          <cell r="N79">
            <v>44812</v>
          </cell>
        </row>
        <row r="80">
          <cell r="L80">
            <v>100</v>
          </cell>
          <cell r="N80">
            <v>44812</v>
          </cell>
        </row>
        <row r="81">
          <cell r="L81">
            <v>100</v>
          </cell>
          <cell r="N81">
            <v>44812</v>
          </cell>
        </row>
        <row r="82">
          <cell r="L82">
            <v>100</v>
          </cell>
          <cell r="N82">
            <v>44812</v>
          </cell>
        </row>
        <row r="83">
          <cell r="L83">
            <v>100</v>
          </cell>
          <cell r="N83">
            <v>44812</v>
          </cell>
        </row>
        <row r="84">
          <cell r="L84">
            <v>100</v>
          </cell>
          <cell r="N84">
            <v>44812</v>
          </cell>
        </row>
        <row r="85">
          <cell r="L85">
            <v>100</v>
          </cell>
          <cell r="N85">
            <v>44812</v>
          </cell>
        </row>
        <row r="86">
          <cell r="L86">
            <v>100</v>
          </cell>
          <cell r="N86"/>
        </row>
        <row r="87">
          <cell r="L87">
            <v>100</v>
          </cell>
          <cell r="N87"/>
        </row>
        <row r="88">
          <cell r="L88">
            <v>100</v>
          </cell>
          <cell r="N88"/>
        </row>
        <row r="89">
          <cell r="L89">
            <v>100</v>
          </cell>
          <cell r="N89"/>
        </row>
        <row r="90">
          <cell r="L90">
            <v>100</v>
          </cell>
          <cell r="N90"/>
        </row>
        <row r="91">
          <cell r="L91">
            <v>100</v>
          </cell>
          <cell r="N91"/>
        </row>
        <row r="92">
          <cell r="L92">
            <v>100</v>
          </cell>
          <cell r="N92"/>
        </row>
        <row r="93">
          <cell r="L93">
            <v>100</v>
          </cell>
          <cell r="N93"/>
        </row>
        <row r="94">
          <cell r="L94">
            <v>100</v>
          </cell>
          <cell r="N94"/>
        </row>
        <row r="95">
          <cell r="L95">
            <v>100</v>
          </cell>
          <cell r="N95"/>
        </row>
        <row r="96">
          <cell r="L96">
            <v>100</v>
          </cell>
          <cell r="N96"/>
        </row>
        <row r="97">
          <cell r="L97">
            <v>100</v>
          </cell>
          <cell r="N97"/>
        </row>
        <row r="98">
          <cell r="L98">
            <v>100</v>
          </cell>
          <cell r="N98"/>
        </row>
        <row r="99">
          <cell r="L99">
            <v>100</v>
          </cell>
          <cell r="N99"/>
        </row>
        <row r="100">
          <cell r="L100">
            <v>100</v>
          </cell>
          <cell r="N100"/>
        </row>
        <row r="101">
          <cell r="L101">
            <v>100</v>
          </cell>
          <cell r="N101"/>
        </row>
        <row r="102">
          <cell r="L102">
            <v>100</v>
          </cell>
          <cell r="N102"/>
        </row>
        <row r="103">
          <cell r="L103">
            <v>100</v>
          </cell>
          <cell r="N103"/>
        </row>
        <row r="104">
          <cell r="L104">
            <v>100</v>
          </cell>
          <cell r="N104"/>
        </row>
        <row r="105">
          <cell r="L105">
            <v>100</v>
          </cell>
          <cell r="N105"/>
        </row>
        <row r="106">
          <cell r="L106">
            <v>100</v>
          </cell>
          <cell r="N106"/>
        </row>
        <row r="107">
          <cell r="L107">
            <v>100</v>
          </cell>
          <cell r="N107"/>
        </row>
        <row r="108">
          <cell r="L108">
            <v>100</v>
          </cell>
          <cell r="N108"/>
        </row>
        <row r="109">
          <cell r="L109">
            <v>100</v>
          </cell>
          <cell r="N109"/>
        </row>
        <row r="110">
          <cell r="L110">
            <v>100</v>
          </cell>
          <cell r="N110"/>
        </row>
        <row r="111">
          <cell r="L111">
            <v>100</v>
          </cell>
          <cell r="N111"/>
        </row>
        <row r="112">
          <cell r="L112">
            <v>100</v>
          </cell>
          <cell r="N112"/>
        </row>
        <row r="113">
          <cell r="L113">
            <v>100</v>
          </cell>
          <cell r="N113"/>
        </row>
        <row r="114">
          <cell r="L114">
            <v>100</v>
          </cell>
          <cell r="N114"/>
        </row>
        <row r="115">
          <cell r="L115">
            <v>100</v>
          </cell>
          <cell r="N115"/>
        </row>
        <row r="116">
          <cell r="L116">
            <v>100</v>
          </cell>
          <cell r="N116"/>
        </row>
        <row r="117">
          <cell r="L117">
            <v>100</v>
          </cell>
          <cell r="N117">
            <v>44789</v>
          </cell>
        </row>
        <row r="118">
          <cell r="L118">
            <v>100</v>
          </cell>
          <cell r="N118">
            <v>44789</v>
          </cell>
        </row>
        <row r="119">
          <cell r="L119">
            <v>100</v>
          </cell>
          <cell r="N119">
            <v>44789</v>
          </cell>
        </row>
        <row r="120">
          <cell r="L120">
            <v>100</v>
          </cell>
          <cell r="N120">
            <v>44789</v>
          </cell>
        </row>
        <row r="121">
          <cell r="L121">
            <v>100</v>
          </cell>
          <cell r="N121"/>
        </row>
        <row r="122">
          <cell r="L122">
            <v>100</v>
          </cell>
          <cell r="N122">
            <v>44789</v>
          </cell>
        </row>
        <row r="123">
          <cell r="L123">
            <v>100</v>
          </cell>
          <cell r="N123">
            <v>44789</v>
          </cell>
        </row>
        <row r="124">
          <cell r="L124">
            <v>100</v>
          </cell>
          <cell r="N124">
            <v>44789</v>
          </cell>
        </row>
        <row r="125">
          <cell r="L125">
            <v>100</v>
          </cell>
          <cell r="N125">
            <v>44789</v>
          </cell>
        </row>
        <row r="126">
          <cell r="L126">
            <v>100</v>
          </cell>
          <cell r="N126">
            <v>44789</v>
          </cell>
        </row>
        <row r="127">
          <cell r="L127">
            <v>100</v>
          </cell>
          <cell r="N127"/>
        </row>
        <row r="128">
          <cell r="L128">
            <v>100</v>
          </cell>
          <cell r="N128"/>
        </row>
        <row r="129">
          <cell r="L129">
            <v>100</v>
          </cell>
          <cell r="N129"/>
        </row>
        <row r="130">
          <cell r="L130">
            <v>100</v>
          </cell>
          <cell r="N130"/>
        </row>
        <row r="131">
          <cell r="L131">
            <v>100</v>
          </cell>
          <cell r="N131"/>
        </row>
        <row r="132">
          <cell r="L132">
            <v>100</v>
          </cell>
          <cell r="N132"/>
        </row>
        <row r="133">
          <cell r="L133">
            <v>100</v>
          </cell>
          <cell r="N133"/>
        </row>
        <row r="134">
          <cell r="L134">
            <v>100</v>
          </cell>
          <cell r="N134"/>
        </row>
        <row r="135">
          <cell r="L135">
            <v>100</v>
          </cell>
          <cell r="N135"/>
        </row>
        <row r="136">
          <cell r="L136">
            <v>100</v>
          </cell>
          <cell r="N136"/>
        </row>
        <row r="137">
          <cell r="L137">
            <v>100</v>
          </cell>
          <cell r="N137"/>
        </row>
        <row r="138">
          <cell r="L138">
            <v>100</v>
          </cell>
          <cell r="N138"/>
        </row>
        <row r="139">
          <cell r="L139">
            <v>100</v>
          </cell>
          <cell r="N139"/>
        </row>
        <row r="140">
          <cell r="L140">
            <v>100</v>
          </cell>
          <cell r="N140"/>
        </row>
        <row r="141">
          <cell r="L141">
            <v>100</v>
          </cell>
          <cell r="N141"/>
        </row>
        <row r="142">
          <cell r="L142">
            <v>100</v>
          </cell>
          <cell r="N142"/>
        </row>
        <row r="143">
          <cell r="L143">
            <v>100</v>
          </cell>
          <cell r="N143"/>
        </row>
        <row r="144">
          <cell r="L144">
            <v>100</v>
          </cell>
          <cell r="N144"/>
        </row>
        <row r="145">
          <cell r="L145">
            <v>100</v>
          </cell>
          <cell r="N145"/>
        </row>
        <row r="146">
          <cell r="L146">
            <v>100</v>
          </cell>
          <cell r="N146"/>
        </row>
        <row r="147">
          <cell r="L147">
            <v>100</v>
          </cell>
          <cell r="N147"/>
        </row>
        <row r="148">
          <cell r="L148">
            <v>100</v>
          </cell>
          <cell r="N148"/>
        </row>
        <row r="149">
          <cell r="L149">
            <v>100</v>
          </cell>
          <cell r="N149"/>
        </row>
        <row r="150">
          <cell r="L150">
            <v>100</v>
          </cell>
          <cell r="N150"/>
        </row>
        <row r="151">
          <cell r="L151">
            <v>100</v>
          </cell>
          <cell r="N151"/>
        </row>
        <row r="152">
          <cell r="L152">
            <v>100</v>
          </cell>
          <cell r="N152"/>
        </row>
        <row r="153">
          <cell r="L153">
            <v>100</v>
          </cell>
          <cell r="N153"/>
        </row>
        <row r="154">
          <cell r="L154">
            <v>100</v>
          </cell>
          <cell r="N154"/>
        </row>
        <row r="155">
          <cell r="L155">
            <v>100</v>
          </cell>
          <cell r="N155"/>
        </row>
        <row r="156">
          <cell r="L156">
            <v>100</v>
          </cell>
          <cell r="N156"/>
        </row>
        <row r="157">
          <cell r="L157">
            <v>100</v>
          </cell>
          <cell r="N157"/>
        </row>
        <row r="158">
          <cell r="L158">
            <v>100</v>
          </cell>
          <cell r="N158"/>
        </row>
        <row r="159">
          <cell r="L159">
            <v>100</v>
          </cell>
          <cell r="N159"/>
        </row>
        <row r="160">
          <cell r="L160">
            <v>100</v>
          </cell>
          <cell r="N160"/>
        </row>
        <row r="161">
          <cell r="L161">
            <v>100</v>
          </cell>
          <cell r="N161"/>
        </row>
        <row r="162">
          <cell r="L162">
            <v>100</v>
          </cell>
          <cell r="N162"/>
        </row>
        <row r="163">
          <cell r="L163">
            <v>100</v>
          </cell>
          <cell r="N163"/>
        </row>
        <row r="164">
          <cell r="L164">
            <v>100</v>
          </cell>
          <cell r="N164"/>
        </row>
        <row r="165">
          <cell r="L165">
            <v>100</v>
          </cell>
          <cell r="N165"/>
        </row>
        <row r="166">
          <cell r="L166">
            <v>100</v>
          </cell>
          <cell r="N166"/>
        </row>
        <row r="167">
          <cell r="L167">
            <v>100</v>
          </cell>
          <cell r="N167"/>
        </row>
        <row r="168">
          <cell r="L168">
            <v>100</v>
          </cell>
          <cell r="N168"/>
        </row>
        <row r="169">
          <cell r="L169">
            <v>100</v>
          </cell>
          <cell r="N169"/>
        </row>
        <row r="170">
          <cell r="L170">
            <v>100</v>
          </cell>
          <cell r="N170"/>
        </row>
        <row r="171">
          <cell r="L171">
            <v>100</v>
          </cell>
          <cell r="N171"/>
        </row>
        <row r="172">
          <cell r="L172">
            <v>100</v>
          </cell>
          <cell r="N172"/>
        </row>
        <row r="173">
          <cell r="L173">
            <v>100</v>
          </cell>
          <cell r="N173"/>
        </row>
        <row r="174">
          <cell r="L174">
            <v>100</v>
          </cell>
          <cell r="N174"/>
        </row>
        <row r="175">
          <cell r="L175">
            <v>100</v>
          </cell>
          <cell r="N175"/>
        </row>
        <row r="176">
          <cell r="L176">
            <v>100</v>
          </cell>
          <cell r="N176"/>
        </row>
        <row r="177">
          <cell r="L177">
            <v>100</v>
          </cell>
          <cell r="N177"/>
        </row>
        <row r="178">
          <cell r="L178">
            <v>100</v>
          </cell>
          <cell r="N178">
            <v>44812</v>
          </cell>
        </row>
        <row r="179">
          <cell r="L179">
            <v>100</v>
          </cell>
          <cell r="N179">
            <v>44827</v>
          </cell>
        </row>
        <row r="180">
          <cell r="L180">
            <v>100</v>
          </cell>
          <cell r="N180">
            <v>44827</v>
          </cell>
        </row>
        <row r="181">
          <cell r="L181">
            <v>100</v>
          </cell>
          <cell r="N181">
            <v>44865</v>
          </cell>
        </row>
        <row r="182">
          <cell r="L182">
            <v>100</v>
          </cell>
          <cell r="N182">
            <v>44865</v>
          </cell>
        </row>
        <row r="183">
          <cell r="L183">
            <v>100</v>
          </cell>
          <cell r="N183">
            <v>44865</v>
          </cell>
        </row>
        <row r="184">
          <cell r="L184">
            <v>100</v>
          </cell>
          <cell r="N184">
            <v>44865</v>
          </cell>
        </row>
        <row r="185">
          <cell r="L185">
            <v>100</v>
          </cell>
          <cell r="N185">
            <v>44865</v>
          </cell>
        </row>
        <row r="186">
          <cell r="L186">
            <v>100</v>
          </cell>
          <cell r="N186">
            <v>44865</v>
          </cell>
        </row>
        <row r="187">
          <cell r="L187">
            <v>100</v>
          </cell>
          <cell r="N187">
            <v>44865</v>
          </cell>
        </row>
        <row r="188">
          <cell r="L188">
            <v>100</v>
          </cell>
          <cell r="N188">
            <v>44865</v>
          </cell>
        </row>
        <row r="189">
          <cell r="L189">
            <v>100</v>
          </cell>
          <cell r="N189">
            <v>44865</v>
          </cell>
        </row>
        <row r="190">
          <cell r="L190">
            <v>100</v>
          </cell>
          <cell r="N190">
            <v>44827</v>
          </cell>
        </row>
        <row r="191">
          <cell r="L191">
            <v>100</v>
          </cell>
          <cell r="N191">
            <v>44827</v>
          </cell>
        </row>
        <row r="192">
          <cell r="L192">
            <v>100</v>
          </cell>
          <cell r="N192">
            <v>44827</v>
          </cell>
        </row>
        <row r="193">
          <cell r="L193">
            <v>100</v>
          </cell>
          <cell r="N193">
            <v>44827</v>
          </cell>
        </row>
        <row r="194">
          <cell r="L194">
            <v>100</v>
          </cell>
          <cell r="N194">
            <v>44827</v>
          </cell>
        </row>
        <row r="195">
          <cell r="L195">
            <v>100</v>
          </cell>
          <cell r="N195">
            <v>44827</v>
          </cell>
        </row>
        <row r="196">
          <cell r="L196">
            <v>100</v>
          </cell>
          <cell r="N196">
            <v>44827</v>
          </cell>
        </row>
        <row r="197">
          <cell r="L197">
            <v>100</v>
          </cell>
          <cell r="N197">
            <v>44827</v>
          </cell>
        </row>
        <row r="198">
          <cell r="L198">
            <v>100</v>
          </cell>
          <cell r="N198">
            <v>44827</v>
          </cell>
        </row>
        <row r="199">
          <cell r="L199">
            <v>100</v>
          </cell>
          <cell r="N199">
            <v>44827</v>
          </cell>
        </row>
        <row r="200">
          <cell r="L200">
            <v>100</v>
          </cell>
          <cell r="N200">
            <v>44827</v>
          </cell>
        </row>
        <row r="201">
          <cell r="L201">
            <v>100</v>
          </cell>
          <cell r="N201">
            <v>44827</v>
          </cell>
        </row>
        <row r="202">
          <cell r="L202">
            <v>100</v>
          </cell>
          <cell r="N202">
            <v>44827</v>
          </cell>
        </row>
        <row r="203">
          <cell r="L203">
            <v>100</v>
          </cell>
          <cell r="N203">
            <v>44827</v>
          </cell>
        </row>
        <row r="204">
          <cell r="L204">
            <v>100</v>
          </cell>
          <cell r="N204">
            <v>44804</v>
          </cell>
        </row>
        <row r="205">
          <cell r="L205">
            <v>100</v>
          </cell>
          <cell r="N205">
            <v>44827</v>
          </cell>
        </row>
        <row r="206">
          <cell r="L206">
            <v>100</v>
          </cell>
          <cell r="N206">
            <v>44827</v>
          </cell>
        </row>
        <row r="207">
          <cell r="L207">
            <v>100</v>
          </cell>
          <cell r="N207">
            <v>44865</v>
          </cell>
        </row>
        <row r="208">
          <cell r="L208">
            <v>100</v>
          </cell>
          <cell r="N208">
            <v>44827</v>
          </cell>
        </row>
        <row r="209">
          <cell r="L209">
            <v>100</v>
          </cell>
          <cell r="N209">
            <v>44827</v>
          </cell>
        </row>
        <row r="210">
          <cell r="L210">
            <v>100</v>
          </cell>
          <cell r="N210">
            <v>44827</v>
          </cell>
        </row>
        <row r="211">
          <cell r="L211">
            <v>100</v>
          </cell>
          <cell r="N211">
            <v>44827</v>
          </cell>
        </row>
        <row r="212">
          <cell r="L212">
            <v>100</v>
          </cell>
          <cell r="N212">
            <v>44827</v>
          </cell>
        </row>
        <row r="213">
          <cell r="L213">
            <v>100</v>
          </cell>
          <cell r="N213">
            <v>44827</v>
          </cell>
        </row>
        <row r="214">
          <cell r="L214">
            <v>100</v>
          </cell>
          <cell r="N214">
            <v>44827</v>
          </cell>
        </row>
        <row r="215">
          <cell r="L215">
            <v>100</v>
          </cell>
          <cell r="N215">
            <v>44865</v>
          </cell>
        </row>
        <row r="216">
          <cell r="L216">
            <v>100</v>
          </cell>
          <cell r="N216">
            <v>44827</v>
          </cell>
        </row>
        <row r="217">
          <cell r="L217">
            <v>100</v>
          </cell>
          <cell r="N217">
            <v>44827</v>
          </cell>
        </row>
        <row r="218">
          <cell r="L218">
            <v>100</v>
          </cell>
          <cell r="N218">
            <v>44827</v>
          </cell>
        </row>
        <row r="219">
          <cell r="L219">
            <v>100</v>
          </cell>
          <cell r="N219">
            <v>44827</v>
          </cell>
        </row>
        <row r="220">
          <cell r="L220">
            <v>100</v>
          </cell>
          <cell r="N220">
            <v>44865</v>
          </cell>
        </row>
        <row r="221">
          <cell r="L221">
            <v>100</v>
          </cell>
          <cell r="N221">
            <v>44865</v>
          </cell>
        </row>
        <row r="222">
          <cell r="L222">
            <v>100</v>
          </cell>
          <cell r="N222">
            <v>44865</v>
          </cell>
        </row>
        <row r="223">
          <cell r="L223">
            <v>100</v>
          </cell>
          <cell r="N223">
            <v>44865</v>
          </cell>
        </row>
        <row r="224">
          <cell r="L224">
            <v>100</v>
          </cell>
          <cell r="N224">
            <v>44865</v>
          </cell>
        </row>
        <row r="225">
          <cell r="L225">
            <v>100</v>
          </cell>
          <cell r="N225">
            <v>44865</v>
          </cell>
        </row>
        <row r="226">
          <cell r="L226">
            <v>100</v>
          </cell>
          <cell r="N226">
            <v>44865</v>
          </cell>
        </row>
        <row r="227">
          <cell r="L227">
            <v>100</v>
          </cell>
          <cell r="N227">
            <v>44865</v>
          </cell>
        </row>
        <row r="228">
          <cell r="L228">
            <v>100</v>
          </cell>
          <cell r="N228">
            <v>44865</v>
          </cell>
        </row>
        <row r="229">
          <cell r="L229">
            <v>100</v>
          </cell>
          <cell r="N229">
            <v>44865</v>
          </cell>
        </row>
        <row r="230">
          <cell r="L230">
            <v>100</v>
          </cell>
          <cell r="N230">
            <v>44865</v>
          </cell>
        </row>
        <row r="231">
          <cell r="L231">
            <v>100</v>
          </cell>
          <cell r="N231">
            <v>44865</v>
          </cell>
        </row>
        <row r="232">
          <cell r="L232">
            <v>100</v>
          </cell>
          <cell r="N232">
            <v>44865</v>
          </cell>
        </row>
        <row r="233">
          <cell r="L233">
            <v>100</v>
          </cell>
          <cell r="N233">
            <v>44992</v>
          </cell>
        </row>
        <row r="234">
          <cell r="L234">
            <v>100</v>
          </cell>
          <cell r="N234">
            <v>44865</v>
          </cell>
        </row>
        <row r="235">
          <cell r="L235">
            <v>100</v>
          </cell>
          <cell r="N235">
            <v>44865</v>
          </cell>
        </row>
        <row r="236">
          <cell r="L236">
            <v>100</v>
          </cell>
          <cell r="N236">
            <v>44865</v>
          </cell>
        </row>
        <row r="237">
          <cell r="L237">
            <v>100</v>
          </cell>
          <cell r="N237">
            <v>44827</v>
          </cell>
        </row>
        <row r="238">
          <cell r="L238">
            <v>100</v>
          </cell>
          <cell r="N238">
            <v>44827</v>
          </cell>
        </row>
        <row r="239">
          <cell r="L239">
            <v>100</v>
          </cell>
          <cell r="N239">
            <v>44865</v>
          </cell>
        </row>
        <row r="240">
          <cell r="L240">
            <v>100</v>
          </cell>
          <cell r="N240">
            <v>44827</v>
          </cell>
        </row>
        <row r="241">
          <cell r="L241">
            <v>100</v>
          </cell>
          <cell r="N241">
            <v>44827</v>
          </cell>
        </row>
        <row r="242">
          <cell r="L242">
            <v>100</v>
          </cell>
          <cell r="N242">
            <v>44827</v>
          </cell>
        </row>
        <row r="243">
          <cell r="L243">
            <v>100</v>
          </cell>
          <cell r="N243">
            <v>44827</v>
          </cell>
        </row>
        <row r="244">
          <cell r="L244">
            <v>100</v>
          </cell>
          <cell r="N244">
            <v>44827</v>
          </cell>
        </row>
        <row r="245">
          <cell r="L245">
            <v>100</v>
          </cell>
          <cell r="N245">
            <v>44827</v>
          </cell>
        </row>
        <row r="246">
          <cell r="L246">
            <v>100</v>
          </cell>
          <cell r="N246">
            <v>44827</v>
          </cell>
        </row>
        <row r="247">
          <cell r="L247">
            <v>100</v>
          </cell>
          <cell r="N247">
            <v>44827</v>
          </cell>
        </row>
        <row r="248">
          <cell r="L248">
            <v>100</v>
          </cell>
          <cell r="N248">
            <v>44827</v>
          </cell>
        </row>
        <row r="249">
          <cell r="L249">
            <v>100</v>
          </cell>
          <cell r="N249">
            <v>44827</v>
          </cell>
        </row>
        <row r="250">
          <cell r="L250">
            <v>100</v>
          </cell>
          <cell r="N250">
            <v>44827</v>
          </cell>
        </row>
        <row r="251">
          <cell r="L251">
            <v>100</v>
          </cell>
          <cell r="N251">
            <v>44827</v>
          </cell>
        </row>
        <row r="252">
          <cell r="L252">
            <v>100</v>
          </cell>
          <cell r="N252"/>
        </row>
        <row r="253">
          <cell r="L253">
            <v>100</v>
          </cell>
          <cell r="N253"/>
        </row>
        <row r="254">
          <cell r="L254">
            <v>100</v>
          </cell>
          <cell r="N254"/>
        </row>
        <row r="255">
          <cell r="L255">
            <v>100</v>
          </cell>
          <cell r="N255"/>
        </row>
        <row r="256">
          <cell r="L256">
            <v>100</v>
          </cell>
          <cell r="N256"/>
        </row>
        <row r="257">
          <cell r="L257">
            <v>100</v>
          </cell>
          <cell r="N257"/>
        </row>
        <row r="258">
          <cell r="L258">
            <v>100</v>
          </cell>
          <cell r="N258"/>
        </row>
        <row r="259">
          <cell r="L259">
            <v>100</v>
          </cell>
          <cell r="N259"/>
        </row>
        <row r="260">
          <cell r="L260">
            <v>100</v>
          </cell>
          <cell r="N260"/>
        </row>
        <row r="261">
          <cell r="L261">
            <v>100</v>
          </cell>
          <cell r="N261"/>
        </row>
        <row r="262">
          <cell r="L262">
            <v>100</v>
          </cell>
          <cell r="N262"/>
        </row>
        <row r="263">
          <cell r="L263">
            <v>100</v>
          </cell>
          <cell r="N263"/>
        </row>
        <row r="264">
          <cell r="L264">
            <v>100</v>
          </cell>
          <cell r="N264"/>
        </row>
        <row r="265">
          <cell r="L265">
            <v>100</v>
          </cell>
          <cell r="N265"/>
        </row>
        <row r="266">
          <cell r="L266">
            <v>100</v>
          </cell>
          <cell r="N266"/>
        </row>
        <row r="267">
          <cell r="L267">
            <v>100</v>
          </cell>
          <cell r="N267"/>
        </row>
        <row r="268">
          <cell r="L268">
            <v>100</v>
          </cell>
          <cell r="N268"/>
        </row>
        <row r="269">
          <cell r="L269">
            <v>100</v>
          </cell>
          <cell r="N269"/>
        </row>
        <row r="270">
          <cell r="L270">
            <v>100</v>
          </cell>
          <cell r="N270"/>
        </row>
        <row r="271">
          <cell r="L271">
            <v>100</v>
          </cell>
          <cell r="N271"/>
        </row>
        <row r="272">
          <cell r="L272">
            <v>100</v>
          </cell>
          <cell r="N272"/>
        </row>
        <row r="273">
          <cell r="L273">
            <v>100</v>
          </cell>
          <cell r="N273"/>
        </row>
        <row r="274">
          <cell r="L274">
            <v>100</v>
          </cell>
          <cell r="N274"/>
        </row>
        <row r="275">
          <cell r="L275">
            <v>100</v>
          </cell>
          <cell r="N275"/>
        </row>
        <row r="276">
          <cell r="L276">
            <v>100</v>
          </cell>
          <cell r="N276"/>
        </row>
        <row r="277">
          <cell r="L277">
            <v>100</v>
          </cell>
          <cell r="N277"/>
        </row>
        <row r="278">
          <cell r="L278">
            <v>100</v>
          </cell>
          <cell r="N278"/>
        </row>
        <row r="279">
          <cell r="L279">
            <v>100</v>
          </cell>
          <cell r="N279"/>
        </row>
        <row r="280">
          <cell r="L280">
            <v>100</v>
          </cell>
          <cell r="N280"/>
        </row>
        <row r="281">
          <cell r="L281">
            <v>100</v>
          </cell>
          <cell r="N281"/>
        </row>
        <row r="282">
          <cell r="L282">
            <v>100</v>
          </cell>
          <cell r="N282"/>
        </row>
        <row r="283">
          <cell r="L283">
            <v>100</v>
          </cell>
          <cell r="N283"/>
        </row>
        <row r="284">
          <cell r="L284">
            <v>100</v>
          </cell>
          <cell r="N284"/>
        </row>
        <row r="285">
          <cell r="L285">
            <v>100</v>
          </cell>
          <cell r="N285"/>
        </row>
        <row r="286">
          <cell r="L286">
            <v>100</v>
          </cell>
          <cell r="N286"/>
        </row>
        <row r="287">
          <cell r="L287">
            <v>100</v>
          </cell>
          <cell r="N287"/>
        </row>
        <row r="288">
          <cell r="L288">
            <v>100</v>
          </cell>
          <cell r="N288"/>
        </row>
        <row r="289">
          <cell r="L289">
            <v>100</v>
          </cell>
          <cell r="N289"/>
        </row>
        <row r="290">
          <cell r="L290">
            <v>100</v>
          </cell>
          <cell r="N290"/>
        </row>
        <row r="291">
          <cell r="L291">
            <v>100</v>
          </cell>
          <cell r="N291">
            <v>44865</v>
          </cell>
        </row>
        <row r="292">
          <cell r="L292">
            <v>100</v>
          </cell>
          <cell r="N292">
            <v>44865</v>
          </cell>
        </row>
        <row r="293">
          <cell r="L293">
            <v>100</v>
          </cell>
          <cell r="N293"/>
        </row>
        <row r="294">
          <cell r="L294">
            <v>100</v>
          </cell>
          <cell r="N294">
            <v>44827</v>
          </cell>
        </row>
        <row r="295">
          <cell r="L295">
            <v>100</v>
          </cell>
          <cell r="N295">
            <v>44827</v>
          </cell>
        </row>
        <row r="296">
          <cell r="L296">
            <v>100</v>
          </cell>
          <cell r="N296">
            <v>44827</v>
          </cell>
        </row>
        <row r="297">
          <cell r="L297">
            <v>100</v>
          </cell>
          <cell r="N297">
            <v>44827</v>
          </cell>
        </row>
        <row r="298">
          <cell r="L298">
            <v>100</v>
          </cell>
          <cell r="N298"/>
        </row>
        <row r="299">
          <cell r="L299">
            <v>100</v>
          </cell>
          <cell r="N299"/>
        </row>
        <row r="300">
          <cell r="L300">
            <v>100</v>
          </cell>
          <cell r="N300"/>
        </row>
        <row r="301">
          <cell r="L301">
            <v>100</v>
          </cell>
          <cell r="N301"/>
        </row>
        <row r="302">
          <cell r="L302">
            <v>100</v>
          </cell>
          <cell r="N302"/>
        </row>
        <row r="303">
          <cell r="L303">
            <v>100</v>
          </cell>
          <cell r="N303"/>
        </row>
        <row r="304">
          <cell r="L304">
            <v>100</v>
          </cell>
          <cell r="N304"/>
        </row>
        <row r="305">
          <cell r="L305">
            <v>100</v>
          </cell>
          <cell r="N305"/>
        </row>
        <row r="306">
          <cell r="L306">
            <v>100</v>
          </cell>
          <cell r="N306"/>
        </row>
        <row r="307">
          <cell r="L307">
            <v>100</v>
          </cell>
          <cell r="N307"/>
        </row>
        <row r="308">
          <cell r="L308">
            <v>100</v>
          </cell>
          <cell r="N308"/>
        </row>
        <row r="309">
          <cell r="L309">
            <v>100</v>
          </cell>
          <cell r="N309"/>
        </row>
        <row r="310">
          <cell r="L310">
            <v>100</v>
          </cell>
          <cell r="N310"/>
        </row>
        <row r="311">
          <cell r="L311">
            <v>100</v>
          </cell>
          <cell r="N311">
            <v>44865</v>
          </cell>
        </row>
        <row r="312">
          <cell r="L312">
            <v>100</v>
          </cell>
          <cell r="N312">
            <v>44865</v>
          </cell>
        </row>
        <row r="313">
          <cell r="L313">
            <v>100</v>
          </cell>
          <cell r="N313"/>
        </row>
        <row r="314">
          <cell r="L314">
            <v>100</v>
          </cell>
          <cell r="N314"/>
        </row>
        <row r="315">
          <cell r="L315">
            <v>100</v>
          </cell>
          <cell r="N315"/>
        </row>
        <row r="316">
          <cell r="L316">
            <v>100</v>
          </cell>
          <cell r="N316"/>
        </row>
        <row r="317">
          <cell r="L317">
            <v>100</v>
          </cell>
          <cell r="N317"/>
        </row>
        <row r="318">
          <cell r="L318">
            <v>100</v>
          </cell>
          <cell r="N318">
            <v>44865</v>
          </cell>
        </row>
        <row r="319">
          <cell r="L319">
            <v>100</v>
          </cell>
          <cell r="N319">
            <v>44865</v>
          </cell>
        </row>
        <row r="320">
          <cell r="L320">
            <v>100</v>
          </cell>
          <cell r="N320">
            <v>44865</v>
          </cell>
        </row>
        <row r="321">
          <cell r="L321">
            <v>100</v>
          </cell>
          <cell r="N321">
            <v>44865</v>
          </cell>
        </row>
        <row r="322">
          <cell r="L322">
            <v>100</v>
          </cell>
          <cell r="N322">
            <v>44865</v>
          </cell>
        </row>
        <row r="323">
          <cell r="L323">
            <v>100</v>
          </cell>
          <cell r="N323"/>
        </row>
        <row r="324">
          <cell r="L324">
            <v>100</v>
          </cell>
          <cell r="N324"/>
        </row>
        <row r="325">
          <cell r="L325">
            <v>100</v>
          </cell>
          <cell r="N325"/>
        </row>
        <row r="326">
          <cell r="L326">
            <v>100</v>
          </cell>
          <cell r="N326"/>
        </row>
        <row r="327">
          <cell r="L327">
            <v>100</v>
          </cell>
          <cell r="N327"/>
        </row>
        <row r="328">
          <cell r="L328">
            <v>100</v>
          </cell>
          <cell r="N328"/>
        </row>
        <row r="329">
          <cell r="L329">
            <v>100</v>
          </cell>
          <cell r="N329"/>
        </row>
        <row r="330">
          <cell r="L330">
            <v>100</v>
          </cell>
          <cell r="N330"/>
        </row>
        <row r="331">
          <cell r="L331">
            <v>100</v>
          </cell>
          <cell r="N331"/>
        </row>
        <row r="332">
          <cell r="L332">
            <v>100</v>
          </cell>
          <cell r="N332"/>
        </row>
        <row r="333">
          <cell r="L333">
            <v>100</v>
          </cell>
          <cell r="N333"/>
        </row>
        <row r="334">
          <cell r="L334">
            <v>100</v>
          </cell>
          <cell r="N334"/>
        </row>
        <row r="335">
          <cell r="L335">
            <v>100</v>
          </cell>
          <cell r="N335"/>
        </row>
        <row r="336">
          <cell r="L336">
            <v>100</v>
          </cell>
          <cell r="N336"/>
        </row>
        <row r="337">
          <cell r="L337">
            <v>100</v>
          </cell>
          <cell r="N337"/>
        </row>
        <row r="338">
          <cell r="L338">
            <v>100</v>
          </cell>
          <cell r="N338"/>
        </row>
        <row r="339">
          <cell r="L339">
            <v>100</v>
          </cell>
          <cell r="N339"/>
        </row>
        <row r="340">
          <cell r="L340">
            <v>100</v>
          </cell>
          <cell r="N340">
            <v>44865</v>
          </cell>
        </row>
        <row r="341">
          <cell r="L341">
            <v>100</v>
          </cell>
          <cell r="N341">
            <v>44865</v>
          </cell>
        </row>
        <row r="342">
          <cell r="L342">
            <v>100</v>
          </cell>
          <cell r="N342">
            <v>44865</v>
          </cell>
        </row>
        <row r="343">
          <cell r="L343">
            <v>100</v>
          </cell>
          <cell r="N343">
            <v>44865</v>
          </cell>
        </row>
        <row r="344">
          <cell r="L344">
            <v>100</v>
          </cell>
          <cell r="N344">
            <v>44865</v>
          </cell>
        </row>
        <row r="345">
          <cell r="L345">
            <v>100</v>
          </cell>
          <cell r="N345">
            <v>44865</v>
          </cell>
        </row>
        <row r="346">
          <cell r="L346">
            <v>100</v>
          </cell>
          <cell r="N346">
            <v>44865</v>
          </cell>
        </row>
        <row r="347">
          <cell r="L347">
            <v>100</v>
          </cell>
          <cell r="N347">
            <v>44865</v>
          </cell>
        </row>
        <row r="348">
          <cell r="L348">
            <v>100</v>
          </cell>
          <cell r="N348">
            <v>44865</v>
          </cell>
        </row>
        <row r="349">
          <cell r="L349">
            <v>100</v>
          </cell>
          <cell r="N349">
            <v>44865</v>
          </cell>
        </row>
        <row r="350">
          <cell r="L350">
            <v>100</v>
          </cell>
          <cell r="N350">
            <v>44865</v>
          </cell>
        </row>
        <row r="351">
          <cell r="L351">
            <v>100</v>
          </cell>
          <cell r="N351">
            <v>44865</v>
          </cell>
        </row>
        <row r="352">
          <cell r="L352">
            <v>100</v>
          </cell>
          <cell r="N352">
            <v>44865</v>
          </cell>
        </row>
        <row r="353">
          <cell r="L353">
            <v>100</v>
          </cell>
          <cell r="N353">
            <v>44865</v>
          </cell>
        </row>
        <row r="354">
          <cell r="L354">
            <v>100</v>
          </cell>
          <cell r="N354">
            <v>44865</v>
          </cell>
        </row>
        <row r="355">
          <cell r="L355">
            <v>100</v>
          </cell>
          <cell r="N355">
            <v>44865</v>
          </cell>
        </row>
        <row r="356">
          <cell r="L356">
            <v>100</v>
          </cell>
          <cell r="N356">
            <v>44827</v>
          </cell>
        </row>
        <row r="357">
          <cell r="L357">
            <v>100</v>
          </cell>
          <cell r="N357">
            <v>44827</v>
          </cell>
        </row>
        <row r="358">
          <cell r="L358">
            <v>100</v>
          </cell>
          <cell r="N358">
            <v>44827</v>
          </cell>
        </row>
        <row r="359">
          <cell r="L359">
            <v>100</v>
          </cell>
          <cell r="N359">
            <v>44827</v>
          </cell>
        </row>
        <row r="360">
          <cell r="L360">
            <v>100</v>
          </cell>
          <cell r="N360">
            <v>44827</v>
          </cell>
        </row>
        <row r="361">
          <cell r="L361">
            <v>100</v>
          </cell>
          <cell r="N361">
            <v>44827</v>
          </cell>
        </row>
        <row r="362">
          <cell r="L362">
            <v>100</v>
          </cell>
          <cell r="N362">
            <v>44827</v>
          </cell>
        </row>
        <row r="363">
          <cell r="L363">
            <v>100</v>
          </cell>
          <cell r="N363"/>
        </row>
        <row r="364">
          <cell r="L364">
            <v>100</v>
          </cell>
          <cell r="N364"/>
        </row>
        <row r="365">
          <cell r="L365">
            <v>100</v>
          </cell>
          <cell r="N365"/>
        </row>
        <row r="366">
          <cell r="L366">
            <v>100</v>
          </cell>
          <cell r="N366"/>
        </row>
        <row r="367">
          <cell r="L367">
            <v>100</v>
          </cell>
          <cell r="N367"/>
        </row>
        <row r="368">
          <cell r="L368">
            <v>100</v>
          </cell>
          <cell r="N368"/>
        </row>
        <row r="369">
          <cell r="L369">
            <v>100</v>
          </cell>
          <cell r="N369">
            <v>44865</v>
          </cell>
        </row>
        <row r="370">
          <cell r="L370">
            <v>100</v>
          </cell>
          <cell r="N370"/>
        </row>
        <row r="371">
          <cell r="L371">
            <v>100</v>
          </cell>
          <cell r="N371"/>
        </row>
        <row r="372">
          <cell r="L372">
            <v>100</v>
          </cell>
          <cell r="N372"/>
        </row>
        <row r="373">
          <cell r="L373">
            <v>100</v>
          </cell>
          <cell r="N373"/>
        </row>
        <row r="374">
          <cell r="L374">
            <v>100</v>
          </cell>
          <cell r="N374"/>
        </row>
        <row r="375">
          <cell r="L375">
            <v>100</v>
          </cell>
          <cell r="N375"/>
        </row>
        <row r="376">
          <cell r="L376">
            <v>100</v>
          </cell>
          <cell r="N376"/>
        </row>
        <row r="377">
          <cell r="L377">
            <v>100</v>
          </cell>
          <cell r="N377"/>
        </row>
        <row r="378">
          <cell r="L378">
            <v>100</v>
          </cell>
          <cell r="N378"/>
        </row>
        <row r="379">
          <cell r="L379">
            <v>100</v>
          </cell>
          <cell r="N379">
            <v>44827</v>
          </cell>
        </row>
        <row r="380">
          <cell r="L380">
            <v>100</v>
          </cell>
          <cell r="N380">
            <v>44827</v>
          </cell>
        </row>
        <row r="381">
          <cell r="L381">
            <v>100</v>
          </cell>
          <cell r="N381">
            <v>44837</v>
          </cell>
        </row>
        <row r="382">
          <cell r="L382">
            <v>100</v>
          </cell>
          <cell r="N382">
            <v>44837</v>
          </cell>
        </row>
        <row r="383">
          <cell r="L383">
            <v>100</v>
          </cell>
          <cell r="N383">
            <v>44837</v>
          </cell>
        </row>
        <row r="384">
          <cell r="L384">
            <v>100</v>
          </cell>
          <cell r="N384">
            <v>44837</v>
          </cell>
        </row>
        <row r="385">
          <cell r="L385">
            <v>100</v>
          </cell>
          <cell r="N385">
            <v>44837</v>
          </cell>
        </row>
        <row r="386">
          <cell r="L386">
            <v>100</v>
          </cell>
          <cell r="N386"/>
        </row>
        <row r="387">
          <cell r="L387">
            <v>100</v>
          </cell>
          <cell r="N387"/>
        </row>
        <row r="388">
          <cell r="L388">
            <v>100</v>
          </cell>
          <cell r="N388"/>
        </row>
        <row r="389">
          <cell r="L389">
            <v>100</v>
          </cell>
          <cell r="N389">
            <v>44833</v>
          </cell>
        </row>
        <row r="390">
          <cell r="L390">
            <v>100</v>
          </cell>
          <cell r="N390">
            <v>44833</v>
          </cell>
        </row>
        <row r="391">
          <cell r="L391">
            <v>100</v>
          </cell>
          <cell r="N391">
            <v>44833</v>
          </cell>
        </row>
        <row r="392">
          <cell r="L392">
            <v>100</v>
          </cell>
          <cell r="N392"/>
        </row>
        <row r="393">
          <cell r="L393">
            <v>100</v>
          </cell>
          <cell r="N393"/>
        </row>
        <row r="394">
          <cell r="L394">
            <v>100</v>
          </cell>
          <cell r="N394"/>
        </row>
        <row r="395">
          <cell r="L395">
            <v>100</v>
          </cell>
          <cell r="N395">
            <v>44865</v>
          </cell>
        </row>
        <row r="396">
          <cell r="L396">
            <v>100</v>
          </cell>
          <cell r="N396">
            <v>44865</v>
          </cell>
        </row>
        <row r="397">
          <cell r="L397">
            <v>100</v>
          </cell>
          <cell r="N397">
            <v>44865</v>
          </cell>
        </row>
        <row r="398">
          <cell r="L398">
            <v>100</v>
          </cell>
          <cell r="N398">
            <v>44865</v>
          </cell>
        </row>
        <row r="399">
          <cell r="L399">
            <v>100</v>
          </cell>
          <cell r="N399">
            <v>44865</v>
          </cell>
        </row>
        <row r="400">
          <cell r="L400">
            <v>100</v>
          </cell>
          <cell r="N400">
            <v>44865</v>
          </cell>
        </row>
        <row r="401">
          <cell r="L401">
            <v>100</v>
          </cell>
          <cell r="N401">
            <v>44865</v>
          </cell>
        </row>
        <row r="402">
          <cell r="L402">
            <v>100</v>
          </cell>
          <cell r="N402">
            <v>44865</v>
          </cell>
        </row>
        <row r="403">
          <cell r="L403">
            <v>100</v>
          </cell>
          <cell r="N403">
            <v>44865</v>
          </cell>
        </row>
        <row r="404">
          <cell r="L404">
            <v>100</v>
          </cell>
          <cell r="N404">
            <v>44865</v>
          </cell>
        </row>
        <row r="405">
          <cell r="L405">
            <v>100</v>
          </cell>
          <cell r="N405">
            <v>44865</v>
          </cell>
        </row>
        <row r="406">
          <cell r="L406">
            <v>100</v>
          </cell>
          <cell r="N406">
            <v>44865</v>
          </cell>
        </row>
        <row r="407">
          <cell r="L407">
            <v>100</v>
          </cell>
          <cell r="N407">
            <v>44865</v>
          </cell>
        </row>
        <row r="408">
          <cell r="L408">
            <v>100</v>
          </cell>
          <cell r="N408">
            <v>44865</v>
          </cell>
        </row>
        <row r="409">
          <cell r="L409">
            <v>100</v>
          </cell>
          <cell r="N409">
            <v>44865</v>
          </cell>
        </row>
        <row r="410">
          <cell r="L410">
            <v>100</v>
          </cell>
          <cell r="N410">
            <v>44865</v>
          </cell>
        </row>
        <row r="411">
          <cell r="L411">
            <v>100</v>
          </cell>
          <cell r="N411">
            <v>44865</v>
          </cell>
        </row>
        <row r="412">
          <cell r="L412">
            <v>100</v>
          </cell>
          <cell r="N412"/>
        </row>
        <row r="413">
          <cell r="L413">
            <v>100</v>
          </cell>
          <cell r="N413"/>
        </row>
        <row r="414">
          <cell r="L414">
            <v>100</v>
          </cell>
          <cell r="N414"/>
        </row>
        <row r="415">
          <cell r="L415">
            <v>100</v>
          </cell>
          <cell r="N415"/>
        </row>
        <row r="416">
          <cell r="L416">
            <v>100</v>
          </cell>
          <cell r="N416">
            <v>44813</v>
          </cell>
        </row>
        <row r="417">
          <cell r="L417">
            <v>100</v>
          </cell>
          <cell r="N417">
            <v>44827</v>
          </cell>
        </row>
        <row r="418">
          <cell r="L418">
            <v>100</v>
          </cell>
          <cell r="N418">
            <v>44827</v>
          </cell>
        </row>
        <row r="419">
          <cell r="L419">
            <v>100</v>
          </cell>
          <cell r="N419">
            <v>44827</v>
          </cell>
        </row>
        <row r="420">
          <cell r="L420">
            <v>100</v>
          </cell>
          <cell r="N420">
            <v>44827</v>
          </cell>
        </row>
        <row r="421">
          <cell r="L421">
            <v>100</v>
          </cell>
          <cell r="N421">
            <v>44865</v>
          </cell>
        </row>
        <row r="422">
          <cell r="L422">
            <v>100</v>
          </cell>
          <cell r="N422">
            <v>44865</v>
          </cell>
        </row>
        <row r="423">
          <cell r="L423">
            <v>100</v>
          </cell>
          <cell r="N423">
            <v>44865</v>
          </cell>
        </row>
        <row r="424">
          <cell r="L424">
            <v>100</v>
          </cell>
          <cell r="N424">
            <v>44865</v>
          </cell>
        </row>
        <row r="425">
          <cell r="L425">
            <v>100</v>
          </cell>
          <cell r="N425">
            <v>44865</v>
          </cell>
        </row>
        <row r="426">
          <cell r="L426">
            <v>100</v>
          </cell>
          <cell r="N426">
            <v>44865</v>
          </cell>
        </row>
        <row r="427">
          <cell r="L427">
            <v>100</v>
          </cell>
          <cell r="N427">
            <v>44865</v>
          </cell>
        </row>
        <row r="428">
          <cell r="L428">
            <v>100</v>
          </cell>
          <cell r="N428">
            <v>44865</v>
          </cell>
        </row>
        <row r="429">
          <cell r="L429">
            <v>100</v>
          </cell>
          <cell r="N429">
            <v>44865</v>
          </cell>
        </row>
        <row r="430">
          <cell r="L430">
            <v>100</v>
          </cell>
          <cell r="N430">
            <v>44865</v>
          </cell>
        </row>
        <row r="431">
          <cell r="L431">
            <v>100</v>
          </cell>
          <cell r="N431">
            <v>44865</v>
          </cell>
        </row>
        <row r="432">
          <cell r="L432">
            <v>100</v>
          </cell>
          <cell r="N432">
            <v>44865</v>
          </cell>
        </row>
        <row r="433">
          <cell r="L433">
            <v>100</v>
          </cell>
          <cell r="N433">
            <v>44865</v>
          </cell>
        </row>
        <row r="434">
          <cell r="L434">
            <v>100</v>
          </cell>
          <cell r="N434">
            <v>44865</v>
          </cell>
        </row>
        <row r="435">
          <cell r="L435">
            <v>100</v>
          </cell>
          <cell r="N435">
            <v>44865</v>
          </cell>
        </row>
        <row r="436">
          <cell r="L436">
            <v>100</v>
          </cell>
          <cell r="N436">
            <v>44865</v>
          </cell>
        </row>
        <row r="437">
          <cell r="L437">
            <v>100</v>
          </cell>
          <cell r="N437">
            <v>44865</v>
          </cell>
        </row>
        <row r="438">
          <cell r="L438">
            <v>100</v>
          </cell>
          <cell r="N438">
            <v>44865</v>
          </cell>
        </row>
        <row r="439">
          <cell r="L439">
            <v>100</v>
          </cell>
          <cell r="N439">
            <v>44865</v>
          </cell>
        </row>
        <row r="440">
          <cell r="L440">
            <v>100</v>
          </cell>
          <cell r="N440">
            <v>44865</v>
          </cell>
        </row>
        <row r="441">
          <cell r="L441">
            <v>100</v>
          </cell>
          <cell r="N441">
            <v>44865</v>
          </cell>
        </row>
        <row r="442">
          <cell r="L442">
            <v>100</v>
          </cell>
          <cell r="N442">
            <v>44865</v>
          </cell>
        </row>
        <row r="443">
          <cell r="L443">
            <v>100</v>
          </cell>
          <cell r="N443">
            <v>44865</v>
          </cell>
        </row>
        <row r="444">
          <cell r="L444">
            <v>100</v>
          </cell>
          <cell r="N444">
            <v>44865</v>
          </cell>
        </row>
        <row r="445">
          <cell r="L445">
            <v>100</v>
          </cell>
          <cell r="N445">
            <v>44865</v>
          </cell>
        </row>
        <row r="446">
          <cell r="L446">
            <v>100</v>
          </cell>
          <cell r="N446">
            <v>44865</v>
          </cell>
        </row>
        <row r="447">
          <cell r="L447">
            <v>100</v>
          </cell>
          <cell r="N447">
            <v>44865</v>
          </cell>
        </row>
        <row r="448">
          <cell r="L448">
            <v>100</v>
          </cell>
          <cell r="N448">
            <v>44865</v>
          </cell>
        </row>
        <row r="449">
          <cell r="L449">
            <v>100</v>
          </cell>
          <cell r="N449">
            <v>44826</v>
          </cell>
        </row>
        <row r="450">
          <cell r="L450">
            <v>100</v>
          </cell>
          <cell r="N450">
            <v>44865</v>
          </cell>
        </row>
        <row r="451">
          <cell r="L451">
            <v>100</v>
          </cell>
          <cell r="N451">
            <v>44827</v>
          </cell>
        </row>
        <row r="452">
          <cell r="L452">
            <v>100</v>
          </cell>
          <cell r="N452">
            <v>44992</v>
          </cell>
        </row>
        <row r="453">
          <cell r="L453">
            <v>100</v>
          </cell>
          <cell r="N453">
            <v>44992</v>
          </cell>
        </row>
        <row r="454">
          <cell r="L454">
            <v>100</v>
          </cell>
          <cell r="N454">
            <v>44865</v>
          </cell>
        </row>
        <row r="455">
          <cell r="L455">
            <v>100</v>
          </cell>
          <cell r="N455">
            <v>44865</v>
          </cell>
        </row>
        <row r="456">
          <cell r="L456">
            <v>100</v>
          </cell>
          <cell r="N456">
            <v>44865</v>
          </cell>
        </row>
        <row r="457">
          <cell r="L457">
            <v>100</v>
          </cell>
          <cell r="N457">
            <v>44865</v>
          </cell>
        </row>
        <row r="458">
          <cell r="L458">
            <v>100</v>
          </cell>
          <cell r="N458">
            <v>44865</v>
          </cell>
        </row>
        <row r="459">
          <cell r="L459">
            <v>100</v>
          </cell>
          <cell r="N459">
            <v>44865</v>
          </cell>
        </row>
        <row r="460">
          <cell r="L460">
            <v>100</v>
          </cell>
          <cell r="N460">
            <v>44865</v>
          </cell>
        </row>
        <row r="461">
          <cell r="L461">
            <v>100</v>
          </cell>
          <cell r="N461">
            <v>44865</v>
          </cell>
        </row>
        <row r="462">
          <cell r="L462">
            <v>100</v>
          </cell>
          <cell r="N462">
            <v>44865</v>
          </cell>
        </row>
        <row r="463">
          <cell r="L463">
            <v>100</v>
          </cell>
          <cell r="N463">
            <v>44865</v>
          </cell>
        </row>
        <row r="464">
          <cell r="L464">
            <v>100</v>
          </cell>
          <cell r="N464"/>
        </row>
        <row r="465">
          <cell r="L465">
            <v>100</v>
          </cell>
          <cell r="N465">
            <v>44865</v>
          </cell>
        </row>
        <row r="466">
          <cell r="L466">
            <v>100</v>
          </cell>
          <cell r="N466">
            <v>44865</v>
          </cell>
        </row>
        <row r="467">
          <cell r="L467">
            <v>100</v>
          </cell>
          <cell r="N467">
            <v>44865</v>
          </cell>
        </row>
        <row r="468">
          <cell r="L468">
            <v>100</v>
          </cell>
          <cell r="N468">
            <v>44865</v>
          </cell>
        </row>
        <row r="469">
          <cell r="L469">
            <v>100</v>
          </cell>
          <cell r="N469">
            <v>44865</v>
          </cell>
        </row>
        <row r="470">
          <cell r="L470">
            <v>100</v>
          </cell>
          <cell r="N470">
            <v>44865</v>
          </cell>
        </row>
        <row r="471">
          <cell r="L471">
            <v>100</v>
          </cell>
          <cell r="N471">
            <v>44865</v>
          </cell>
        </row>
        <row r="472">
          <cell r="L472">
            <v>100</v>
          </cell>
          <cell r="N472">
            <v>44827</v>
          </cell>
        </row>
        <row r="473">
          <cell r="L473">
            <v>100</v>
          </cell>
          <cell r="N473">
            <v>44827</v>
          </cell>
        </row>
        <row r="474">
          <cell r="L474">
            <v>100</v>
          </cell>
          <cell r="N474">
            <v>44827</v>
          </cell>
        </row>
        <row r="475">
          <cell r="L475">
            <v>100</v>
          </cell>
          <cell r="N475">
            <v>44827</v>
          </cell>
        </row>
        <row r="476">
          <cell r="L476">
            <v>100</v>
          </cell>
          <cell r="N476">
            <v>44827</v>
          </cell>
        </row>
        <row r="477">
          <cell r="L477">
            <v>100</v>
          </cell>
          <cell r="N477">
            <v>44827</v>
          </cell>
        </row>
        <row r="478">
          <cell r="L478">
            <v>100</v>
          </cell>
          <cell r="N478">
            <v>44865</v>
          </cell>
        </row>
        <row r="479">
          <cell r="L479">
            <v>100</v>
          </cell>
          <cell r="N479">
            <v>44865</v>
          </cell>
        </row>
        <row r="480">
          <cell r="L480">
            <v>100</v>
          </cell>
          <cell r="N480">
            <v>44865</v>
          </cell>
        </row>
        <row r="481">
          <cell r="L481">
            <v>100</v>
          </cell>
          <cell r="N481">
            <v>44826</v>
          </cell>
        </row>
        <row r="482">
          <cell r="L482">
            <v>100</v>
          </cell>
          <cell r="N482">
            <v>44865</v>
          </cell>
        </row>
        <row r="483">
          <cell r="L483">
            <v>100</v>
          </cell>
          <cell r="N483">
            <v>44865</v>
          </cell>
        </row>
        <row r="484">
          <cell r="L484">
            <v>100</v>
          </cell>
          <cell r="N484">
            <v>44865</v>
          </cell>
        </row>
        <row r="485">
          <cell r="L485">
            <v>100</v>
          </cell>
          <cell r="N485">
            <v>44826</v>
          </cell>
        </row>
        <row r="486">
          <cell r="L486">
            <v>100</v>
          </cell>
          <cell r="N486">
            <v>44826</v>
          </cell>
        </row>
        <row r="487">
          <cell r="L487">
            <v>100</v>
          </cell>
          <cell r="N487">
            <v>44827</v>
          </cell>
        </row>
        <row r="488">
          <cell r="L488">
            <v>100</v>
          </cell>
          <cell r="N488">
            <v>44827</v>
          </cell>
        </row>
        <row r="489">
          <cell r="L489">
            <v>100</v>
          </cell>
          <cell r="N489">
            <v>44826</v>
          </cell>
        </row>
        <row r="490">
          <cell r="L490">
            <v>100</v>
          </cell>
          <cell r="N490">
            <v>44826</v>
          </cell>
        </row>
        <row r="491">
          <cell r="L491">
            <v>100</v>
          </cell>
          <cell r="N491">
            <v>44826</v>
          </cell>
        </row>
        <row r="492">
          <cell r="L492">
            <v>100</v>
          </cell>
          <cell r="N492">
            <v>44826</v>
          </cell>
        </row>
        <row r="493">
          <cell r="L493">
            <v>100</v>
          </cell>
          <cell r="N493">
            <v>44865</v>
          </cell>
        </row>
        <row r="494">
          <cell r="L494">
            <v>100</v>
          </cell>
          <cell r="N494">
            <v>44865</v>
          </cell>
        </row>
        <row r="495">
          <cell r="L495">
            <v>100</v>
          </cell>
          <cell r="N495">
            <v>44865</v>
          </cell>
        </row>
        <row r="496">
          <cell r="L496">
            <v>100</v>
          </cell>
          <cell r="N496">
            <v>44827</v>
          </cell>
        </row>
        <row r="497">
          <cell r="L497">
            <v>100</v>
          </cell>
          <cell r="N497">
            <v>44827</v>
          </cell>
        </row>
        <row r="498">
          <cell r="L498">
            <v>100</v>
          </cell>
          <cell r="N498">
            <v>44827</v>
          </cell>
        </row>
        <row r="499">
          <cell r="L499">
            <v>100</v>
          </cell>
          <cell r="N499">
            <v>44827</v>
          </cell>
        </row>
        <row r="500">
          <cell r="L500">
            <v>100</v>
          </cell>
          <cell r="N500">
            <v>44827</v>
          </cell>
        </row>
        <row r="501">
          <cell r="L501">
            <v>100</v>
          </cell>
          <cell r="N501">
            <v>44827</v>
          </cell>
        </row>
        <row r="502">
          <cell r="L502">
            <v>100</v>
          </cell>
          <cell r="N502">
            <v>44865</v>
          </cell>
        </row>
        <row r="503">
          <cell r="L503">
            <v>100</v>
          </cell>
          <cell r="N503">
            <v>44865</v>
          </cell>
        </row>
        <row r="504">
          <cell r="L504">
            <v>100</v>
          </cell>
          <cell r="N504">
            <v>44827</v>
          </cell>
        </row>
        <row r="505">
          <cell r="L505">
            <v>100</v>
          </cell>
          <cell r="N505">
            <v>44827</v>
          </cell>
        </row>
        <row r="506">
          <cell r="L506">
            <v>100</v>
          </cell>
          <cell r="N506">
            <v>44865</v>
          </cell>
        </row>
        <row r="507">
          <cell r="L507">
            <v>100</v>
          </cell>
          <cell r="N507"/>
        </row>
        <row r="508">
          <cell r="L508">
            <v>100</v>
          </cell>
          <cell r="N508"/>
        </row>
        <row r="509">
          <cell r="L509">
            <v>100</v>
          </cell>
          <cell r="N509"/>
        </row>
        <row r="510">
          <cell r="L510">
            <v>100</v>
          </cell>
          <cell r="N510"/>
        </row>
        <row r="511">
          <cell r="L511">
            <v>100</v>
          </cell>
          <cell r="N511"/>
        </row>
        <row r="512">
          <cell r="L512">
            <v>100</v>
          </cell>
          <cell r="N512"/>
        </row>
        <row r="513">
          <cell r="L513">
            <v>100</v>
          </cell>
          <cell r="N513"/>
        </row>
        <row r="514">
          <cell r="L514">
            <v>100</v>
          </cell>
          <cell r="N514"/>
        </row>
        <row r="515">
          <cell r="L515">
            <v>100</v>
          </cell>
          <cell r="N515"/>
        </row>
        <row r="516">
          <cell r="L516">
            <v>100</v>
          </cell>
          <cell r="N516"/>
        </row>
        <row r="517">
          <cell r="L517">
            <v>100</v>
          </cell>
          <cell r="N517"/>
        </row>
        <row r="518">
          <cell r="L518">
            <v>100</v>
          </cell>
          <cell r="N518"/>
        </row>
        <row r="519">
          <cell r="L519">
            <v>100</v>
          </cell>
          <cell r="N519"/>
        </row>
        <row r="520">
          <cell r="L520">
            <v>100</v>
          </cell>
          <cell r="N520"/>
        </row>
        <row r="521">
          <cell r="L521">
            <v>100</v>
          </cell>
          <cell r="N521"/>
        </row>
        <row r="522">
          <cell r="L522">
            <v>100</v>
          </cell>
          <cell r="N522">
            <v>44865</v>
          </cell>
        </row>
        <row r="523">
          <cell r="L523">
            <v>100</v>
          </cell>
          <cell r="N523"/>
        </row>
        <row r="524">
          <cell r="L524">
            <v>100</v>
          </cell>
          <cell r="N524"/>
        </row>
        <row r="525">
          <cell r="L525">
            <v>100</v>
          </cell>
          <cell r="N525"/>
        </row>
        <row r="526">
          <cell r="L526">
            <v>100</v>
          </cell>
          <cell r="N526"/>
        </row>
        <row r="527">
          <cell r="L527">
            <v>100</v>
          </cell>
          <cell r="N527"/>
        </row>
        <row r="528">
          <cell r="L528">
            <v>100</v>
          </cell>
          <cell r="N528"/>
        </row>
        <row r="529">
          <cell r="L529">
            <v>100</v>
          </cell>
          <cell r="N529"/>
        </row>
        <row r="530">
          <cell r="L530">
            <v>100</v>
          </cell>
          <cell r="N530"/>
        </row>
        <row r="531">
          <cell r="L531">
            <v>100</v>
          </cell>
          <cell r="N531"/>
        </row>
        <row r="532">
          <cell r="L532">
            <v>100</v>
          </cell>
          <cell r="N532"/>
        </row>
        <row r="533">
          <cell r="L533">
            <v>100</v>
          </cell>
          <cell r="N533">
            <v>44827</v>
          </cell>
        </row>
        <row r="534">
          <cell r="L534">
            <v>100</v>
          </cell>
          <cell r="N534">
            <v>44827</v>
          </cell>
        </row>
        <row r="535">
          <cell r="L535">
            <v>100</v>
          </cell>
          <cell r="N535"/>
        </row>
        <row r="536">
          <cell r="L536">
            <v>100</v>
          </cell>
          <cell r="N536"/>
        </row>
        <row r="537">
          <cell r="L537">
            <v>100</v>
          </cell>
          <cell r="N537"/>
        </row>
        <row r="538">
          <cell r="L538">
            <v>100</v>
          </cell>
          <cell r="N538"/>
        </row>
        <row r="539">
          <cell r="L539">
            <v>100</v>
          </cell>
          <cell r="N539"/>
        </row>
        <row r="540">
          <cell r="L540">
            <v>100</v>
          </cell>
          <cell r="N540"/>
        </row>
        <row r="541">
          <cell r="L541">
            <v>100</v>
          </cell>
          <cell r="N541"/>
        </row>
        <row r="542">
          <cell r="L542">
            <v>100</v>
          </cell>
          <cell r="N542"/>
        </row>
        <row r="543">
          <cell r="L543">
            <v>100</v>
          </cell>
          <cell r="N543"/>
        </row>
        <row r="544">
          <cell r="L544">
            <v>100</v>
          </cell>
          <cell r="N544">
            <v>44865</v>
          </cell>
        </row>
        <row r="545">
          <cell r="L545">
            <v>100</v>
          </cell>
          <cell r="N545">
            <v>44865</v>
          </cell>
        </row>
        <row r="546">
          <cell r="L546">
            <v>100</v>
          </cell>
          <cell r="N546">
            <v>44865</v>
          </cell>
        </row>
        <row r="547">
          <cell r="L547">
            <v>100</v>
          </cell>
          <cell r="N547">
            <v>44356</v>
          </cell>
        </row>
        <row r="548">
          <cell r="L548">
            <v>100</v>
          </cell>
          <cell r="N548">
            <v>44356</v>
          </cell>
        </row>
        <row r="549">
          <cell r="L549">
            <v>100</v>
          </cell>
          <cell r="N549"/>
        </row>
        <row r="550">
          <cell r="L550">
            <v>100</v>
          </cell>
          <cell r="N550"/>
        </row>
        <row r="551">
          <cell r="L551">
            <v>100</v>
          </cell>
          <cell r="N551"/>
        </row>
        <row r="552">
          <cell r="L552">
            <v>100</v>
          </cell>
          <cell r="N552"/>
        </row>
        <row r="553">
          <cell r="L553">
            <v>100</v>
          </cell>
          <cell r="N553"/>
        </row>
        <row r="554">
          <cell r="L554">
            <v>100</v>
          </cell>
          <cell r="N554"/>
        </row>
        <row r="555">
          <cell r="L555">
            <v>100</v>
          </cell>
          <cell r="N555"/>
        </row>
        <row r="556">
          <cell r="L556">
            <v>100</v>
          </cell>
          <cell r="N556"/>
        </row>
        <row r="557">
          <cell r="L557">
            <v>100</v>
          </cell>
          <cell r="N557"/>
        </row>
        <row r="558">
          <cell r="L558">
            <v>100</v>
          </cell>
          <cell r="N558"/>
        </row>
        <row r="559">
          <cell r="L559">
            <v>100</v>
          </cell>
          <cell r="N559"/>
        </row>
        <row r="560">
          <cell r="L560">
            <v>100</v>
          </cell>
          <cell r="N560"/>
        </row>
        <row r="561">
          <cell r="L561">
            <v>100</v>
          </cell>
          <cell r="N561"/>
        </row>
        <row r="562">
          <cell r="L562">
            <v>100</v>
          </cell>
          <cell r="N562"/>
        </row>
        <row r="563">
          <cell r="L563">
            <v>100</v>
          </cell>
          <cell r="N563"/>
        </row>
        <row r="564">
          <cell r="L564">
            <v>100</v>
          </cell>
          <cell r="N564">
            <v>44831</v>
          </cell>
        </row>
        <row r="565">
          <cell r="L565">
            <v>100</v>
          </cell>
          <cell r="N565"/>
        </row>
        <row r="566">
          <cell r="L566">
            <v>100</v>
          </cell>
          <cell r="N566"/>
        </row>
        <row r="567">
          <cell r="L567">
            <v>100</v>
          </cell>
          <cell r="N567"/>
        </row>
        <row r="568">
          <cell r="L568">
            <v>100</v>
          </cell>
          <cell r="N568"/>
        </row>
        <row r="569">
          <cell r="L569">
            <v>100</v>
          </cell>
          <cell r="N569"/>
        </row>
        <row r="570">
          <cell r="L570">
            <v>100</v>
          </cell>
          <cell r="N570"/>
        </row>
        <row r="571">
          <cell r="L571">
            <v>100</v>
          </cell>
          <cell r="N571"/>
        </row>
        <row r="572">
          <cell r="L572">
            <v>100</v>
          </cell>
          <cell r="N572"/>
        </row>
        <row r="573">
          <cell r="L573">
            <v>100</v>
          </cell>
          <cell r="N573"/>
        </row>
        <row r="574">
          <cell r="L574">
            <v>100</v>
          </cell>
          <cell r="N574"/>
        </row>
        <row r="575">
          <cell r="L575">
            <v>100</v>
          </cell>
          <cell r="N575"/>
        </row>
        <row r="576">
          <cell r="L576">
            <v>100</v>
          </cell>
          <cell r="N576"/>
        </row>
        <row r="577">
          <cell r="L577">
            <v>100</v>
          </cell>
          <cell r="N577"/>
        </row>
        <row r="578">
          <cell r="L578">
            <v>100</v>
          </cell>
          <cell r="N578"/>
        </row>
        <row r="579">
          <cell r="L579">
            <v>100</v>
          </cell>
          <cell r="N579"/>
        </row>
        <row r="580">
          <cell r="L580">
            <v>100</v>
          </cell>
          <cell r="N580"/>
        </row>
        <row r="581">
          <cell r="L581">
            <v>100</v>
          </cell>
          <cell r="N581"/>
        </row>
        <row r="582">
          <cell r="L582">
            <v>100</v>
          </cell>
          <cell r="N582"/>
        </row>
        <row r="583">
          <cell r="L583">
            <v>100</v>
          </cell>
          <cell r="N583"/>
        </row>
        <row r="584">
          <cell r="L584">
            <v>100</v>
          </cell>
          <cell r="N584">
            <v>44896</v>
          </cell>
        </row>
        <row r="585">
          <cell r="L585">
            <v>100</v>
          </cell>
          <cell r="N585"/>
        </row>
        <row r="586">
          <cell r="L586">
            <v>100</v>
          </cell>
          <cell r="N586"/>
        </row>
        <row r="587">
          <cell r="L587">
            <v>100</v>
          </cell>
          <cell r="N587"/>
        </row>
        <row r="588">
          <cell r="L588">
            <v>100</v>
          </cell>
          <cell r="N588">
            <v>44747</v>
          </cell>
        </row>
        <row r="589">
          <cell r="L589">
            <v>100</v>
          </cell>
          <cell r="N589">
            <v>44803</v>
          </cell>
        </row>
        <row r="590">
          <cell r="L590">
            <v>100</v>
          </cell>
          <cell r="N590">
            <v>44803</v>
          </cell>
        </row>
        <row r="591">
          <cell r="L591">
            <v>100</v>
          </cell>
          <cell r="N591">
            <v>44803</v>
          </cell>
        </row>
        <row r="592">
          <cell r="L592">
            <v>100</v>
          </cell>
          <cell r="N592">
            <v>44803</v>
          </cell>
        </row>
        <row r="593">
          <cell r="L593">
            <v>100</v>
          </cell>
          <cell r="N593">
            <v>44803</v>
          </cell>
        </row>
        <row r="594">
          <cell r="L594">
            <v>100</v>
          </cell>
          <cell r="N594">
            <v>44896</v>
          </cell>
        </row>
        <row r="595">
          <cell r="L595">
            <v>100</v>
          </cell>
          <cell r="N595">
            <v>44803</v>
          </cell>
        </row>
        <row r="596">
          <cell r="L596">
            <v>100</v>
          </cell>
          <cell r="N596">
            <v>44803</v>
          </cell>
        </row>
        <row r="597">
          <cell r="L597">
            <v>100</v>
          </cell>
          <cell r="N597">
            <v>44803</v>
          </cell>
        </row>
        <row r="598">
          <cell r="L598">
            <v>100</v>
          </cell>
          <cell r="N598">
            <v>44789</v>
          </cell>
        </row>
        <row r="599">
          <cell r="L599">
            <v>100</v>
          </cell>
          <cell r="N599">
            <v>44789</v>
          </cell>
        </row>
        <row r="600">
          <cell r="L600">
            <v>100</v>
          </cell>
          <cell r="N600">
            <v>44789</v>
          </cell>
        </row>
        <row r="601">
          <cell r="L601">
            <v>100</v>
          </cell>
          <cell r="N601">
            <v>44803</v>
          </cell>
        </row>
        <row r="602">
          <cell r="L602">
            <v>100</v>
          </cell>
          <cell r="N602">
            <v>44747</v>
          </cell>
        </row>
        <row r="603">
          <cell r="L603">
            <v>100</v>
          </cell>
          <cell r="N603">
            <v>44749</v>
          </cell>
        </row>
        <row r="604">
          <cell r="L604">
            <v>100</v>
          </cell>
          <cell r="N604">
            <v>44749</v>
          </cell>
        </row>
        <row r="605">
          <cell r="L605">
            <v>100</v>
          </cell>
          <cell r="N605">
            <v>44749</v>
          </cell>
        </row>
        <row r="606">
          <cell r="L606">
            <v>100</v>
          </cell>
          <cell r="N606">
            <v>44749</v>
          </cell>
        </row>
        <row r="607">
          <cell r="L607">
            <v>100</v>
          </cell>
          <cell r="N607">
            <v>44748</v>
          </cell>
        </row>
        <row r="608">
          <cell r="L608">
            <v>100</v>
          </cell>
          <cell r="N608">
            <v>44748</v>
          </cell>
        </row>
        <row r="609">
          <cell r="L609">
            <v>100</v>
          </cell>
          <cell r="N609">
            <v>44753</v>
          </cell>
        </row>
        <row r="610">
          <cell r="L610">
            <v>100</v>
          </cell>
          <cell r="N610">
            <v>44753</v>
          </cell>
        </row>
        <row r="611">
          <cell r="L611">
            <v>100</v>
          </cell>
          <cell r="N611">
            <v>44803</v>
          </cell>
        </row>
        <row r="612">
          <cell r="L612">
            <v>100</v>
          </cell>
          <cell r="N612">
            <v>44803</v>
          </cell>
        </row>
        <row r="613">
          <cell r="L613">
            <v>100</v>
          </cell>
          <cell r="N613">
            <v>44803</v>
          </cell>
        </row>
        <row r="614">
          <cell r="L614">
            <v>100</v>
          </cell>
          <cell r="N614">
            <v>44803</v>
          </cell>
        </row>
        <row r="615">
          <cell r="L615">
            <v>100</v>
          </cell>
          <cell r="N615">
            <v>44803</v>
          </cell>
        </row>
        <row r="616">
          <cell r="L616">
            <v>100</v>
          </cell>
          <cell r="N616"/>
        </row>
        <row r="617">
          <cell r="L617">
            <v>100</v>
          </cell>
          <cell r="N617"/>
        </row>
        <row r="618">
          <cell r="L618">
            <v>100</v>
          </cell>
          <cell r="N618">
            <v>44819</v>
          </cell>
        </row>
        <row r="619">
          <cell r="L619">
            <v>100</v>
          </cell>
          <cell r="N619"/>
        </row>
        <row r="620">
          <cell r="L620">
            <v>100</v>
          </cell>
          <cell r="N620"/>
        </row>
        <row r="621">
          <cell r="L621">
            <v>100</v>
          </cell>
          <cell r="N621">
            <v>44803</v>
          </cell>
        </row>
        <row r="622">
          <cell r="L622">
            <v>100</v>
          </cell>
          <cell r="N622">
            <v>44803</v>
          </cell>
        </row>
        <row r="623">
          <cell r="L623">
            <v>100</v>
          </cell>
          <cell r="N623"/>
        </row>
        <row r="624">
          <cell r="L624">
            <v>100</v>
          </cell>
          <cell r="N624"/>
        </row>
        <row r="625">
          <cell r="L625">
            <v>100</v>
          </cell>
          <cell r="N625"/>
        </row>
        <row r="626">
          <cell r="L626">
            <v>100</v>
          </cell>
          <cell r="N626"/>
        </row>
        <row r="627">
          <cell r="L627">
            <v>100</v>
          </cell>
          <cell r="N627"/>
        </row>
        <row r="628">
          <cell r="L628">
            <v>100</v>
          </cell>
          <cell r="N628"/>
        </row>
        <row r="629">
          <cell r="L629">
            <v>100</v>
          </cell>
          <cell r="N629"/>
        </row>
        <row r="630">
          <cell r="L630">
            <v>100</v>
          </cell>
          <cell r="N630"/>
        </row>
        <row r="631">
          <cell r="L631">
            <v>100</v>
          </cell>
          <cell r="N631">
            <v>44894</v>
          </cell>
        </row>
        <row r="632">
          <cell r="L632">
            <v>100</v>
          </cell>
          <cell r="N632">
            <v>44803</v>
          </cell>
        </row>
        <row r="633">
          <cell r="L633">
            <v>100</v>
          </cell>
          <cell r="N633">
            <v>44803</v>
          </cell>
        </row>
        <row r="634">
          <cell r="L634">
            <v>100</v>
          </cell>
          <cell r="N634">
            <v>44803</v>
          </cell>
        </row>
        <row r="635">
          <cell r="L635">
            <v>100</v>
          </cell>
          <cell r="N635"/>
        </row>
        <row r="636">
          <cell r="L636">
            <v>100</v>
          </cell>
          <cell r="N636"/>
        </row>
        <row r="637">
          <cell r="L637">
            <v>100</v>
          </cell>
          <cell r="N637"/>
        </row>
        <row r="638">
          <cell r="L638">
            <v>100</v>
          </cell>
          <cell r="N638"/>
        </row>
        <row r="639">
          <cell r="L639">
            <v>100</v>
          </cell>
          <cell r="N639"/>
        </row>
        <row r="640">
          <cell r="L640">
            <v>100</v>
          </cell>
          <cell r="N640"/>
        </row>
        <row r="641">
          <cell r="L641">
            <v>100</v>
          </cell>
          <cell r="N641"/>
        </row>
        <row r="642">
          <cell r="L642">
            <v>100</v>
          </cell>
          <cell r="N642"/>
        </row>
        <row r="643">
          <cell r="L643">
            <v>100</v>
          </cell>
          <cell r="N643"/>
        </row>
        <row r="644">
          <cell r="L644">
            <v>100</v>
          </cell>
          <cell r="N644"/>
        </row>
        <row r="645">
          <cell r="L645">
            <v>100</v>
          </cell>
          <cell r="N645"/>
        </row>
        <row r="646">
          <cell r="L646">
            <v>100</v>
          </cell>
          <cell r="N646">
            <v>44776</v>
          </cell>
        </row>
        <row r="647">
          <cell r="L647">
            <v>100</v>
          </cell>
          <cell r="N647">
            <v>44803</v>
          </cell>
        </row>
        <row r="648">
          <cell r="L648">
            <v>100</v>
          </cell>
          <cell r="N648">
            <v>44803</v>
          </cell>
        </row>
        <row r="649">
          <cell r="L649">
            <v>100</v>
          </cell>
          <cell r="N649">
            <v>44504</v>
          </cell>
        </row>
        <row r="650">
          <cell r="L650">
            <v>100</v>
          </cell>
          <cell r="N650">
            <v>44614</v>
          </cell>
        </row>
        <row r="651">
          <cell r="L651">
            <v>100</v>
          </cell>
          <cell r="N651">
            <v>44804</v>
          </cell>
        </row>
        <row r="652">
          <cell r="L652">
            <v>100</v>
          </cell>
          <cell r="N652">
            <v>44804</v>
          </cell>
        </row>
        <row r="653">
          <cell r="L653">
            <v>100</v>
          </cell>
          <cell r="N653">
            <v>44804</v>
          </cell>
        </row>
        <row r="654">
          <cell r="L654">
            <v>100</v>
          </cell>
          <cell r="N654">
            <v>44803</v>
          </cell>
        </row>
        <row r="655">
          <cell r="L655">
            <v>100</v>
          </cell>
          <cell r="N655">
            <v>44803</v>
          </cell>
        </row>
        <row r="656">
          <cell r="L656">
            <v>100</v>
          </cell>
          <cell r="N656">
            <v>44803</v>
          </cell>
        </row>
        <row r="657">
          <cell r="L657">
            <v>100</v>
          </cell>
          <cell r="N657">
            <v>44821</v>
          </cell>
        </row>
        <row r="658">
          <cell r="L658">
            <v>100</v>
          </cell>
          <cell r="N658"/>
        </row>
        <row r="659">
          <cell r="L659">
            <v>100</v>
          </cell>
          <cell r="N659"/>
        </row>
        <row r="660">
          <cell r="L660">
            <v>100</v>
          </cell>
          <cell r="N660"/>
        </row>
        <row r="661">
          <cell r="L661">
            <v>100</v>
          </cell>
          <cell r="N661">
            <v>44804</v>
          </cell>
        </row>
        <row r="662">
          <cell r="L662">
            <v>100</v>
          </cell>
          <cell r="N662">
            <v>44804</v>
          </cell>
        </row>
        <row r="663">
          <cell r="L663">
            <v>100</v>
          </cell>
          <cell r="N663"/>
        </row>
        <row r="664">
          <cell r="L664">
            <v>100</v>
          </cell>
          <cell r="N664"/>
        </row>
        <row r="665">
          <cell r="L665">
            <v>100</v>
          </cell>
          <cell r="N665"/>
        </row>
        <row r="666">
          <cell r="L666">
            <v>100</v>
          </cell>
          <cell r="N666"/>
        </row>
        <row r="667">
          <cell r="L667">
            <v>100</v>
          </cell>
          <cell r="N667">
            <v>44804</v>
          </cell>
        </row>
        <row r="668">
          <cell r="L668">
            <v>100</v>
          </cell>
          <cell r="N668">
            <v>44804</v>
          </cell>
        </row>
        <row r="669">
          <cell r="L669">
            <v>100</v>
          </cell>
          <cell r="N669">
            <v>44782</v>
          </cell>
        </row>
        <row r="670">
          <cell r="L670">
            <v>100</v>
          </cell>
          <cell r="N670">
            <v>44803</v>
          </cell>
        </row>
        <row r="671">
          <cell r="L671">
            <v>100</v>
          </cell>
          <cell r="N671">
            <v>44803</v>
          </cell>
        </row>
        <row r="672">
          <cell r="L672">
            <v>100</v>
          </cell>
          <cell r="N672">
            <v>44903</v>
          </cell>
        </row>
        <row r="673">
          <cell r="L673">
            <v>100</v>
          </cell>
          <cell r="N673">
            <v>44788</v>
          </cell>
        </row>
        <row r="674">
          <cell r="L674">
            <v>100</v>
          </cell>
          <cell r="N674">
            <v>44788</v>
          </cell>
        </row>
        <row r="675">
          <cell r="L675">
            <v>100</v>
          </cell>
          <cell r="N675">
            <v>44788</v>
          </cell>
        </row>
        <row r="676">
          <cell r="L676">
            <v>100</v>
          </cell>
          <cell r="N676">
            <v>44788</v>
          </cell>
        </row>
        <row r="677">
          <cell r="L677">
            <v>100</v>
          </cell>
          <cell r="N677">
            <v>44788</v>
          </cell>
        </row>
        <row r="678">
          <cell r="L678">
            <v>100</v>
          </cell>
          <cell r="N678">
            <v>44788</v>
          </cell>
        </row>
        <row r="679">
          <cell r="L679">
            <v>100</v>
          </cell>
          <cell r="N679">
            <v>44788</v>
          </cell>
        </row>
        <row r="680">
          <cell r="L680">
            <v>100</v>
          </cell>
          <cell r="N680">
            <v>44788</v>
          </cell>
        </row>
        <row r="681">
          <cell r="L681">
            <v>100</v>
          </cell>
          <cell r="N681">
            <v>44788</v>
          </cell>
        </row>
        <row r="682">
          <cell r="L682">
            <v>100</v>
          </cell>
          <cell r="N682">
            <v>44788</v>
          </cell>
        </row>
        <row r="683">
          <cell r="L683">
            <v>100</v>
          </cell>
          <cell r="N683">
            <v>44803</v>
          </cell>
        </row>
        <row r="684">
          <cell r="L684">
            <v>100</v>
          </cell>
          <cell r="N684">
            <v>44803</v>
          </cell>
        </row>
        <row r="685">
          <cell r="L685">
            <v>100</v>
          </cell>
          <cell r="N685">
            <v>44803</v>
          </cell>
        </row>
        <row r="686">
          <cell r="L686">
            <v>100</v>
          </cell>
          <cell r="N686">
            <v>44728</v>
          </cell>
        </row>
        <row r="687">
          <cell r="L687">
            <v>100</v>
          </cell>
          <cell r="N687">
            <v>44728</v>
          </cell>
        </row>
        <row r="688">
          <cell r="L688">
            <v>100</v>
          </cell>
          <cell r="N688"/>
        </row>
        <row r="689">
          <cell r="L689">
            <v>100</v>
          </cell>
          <cell r="N689"/>
        </row>
        <row r="690">
          <cell r="L690">
            <v>100</v>
          </cell>
          <cell r="N690"/>
        </row>
        <row r="691">
          <cell r="L691">
            <v>100</v>
          </cell>
          <cell r="N691"/>
        </row>
        <row r="692">
          <cell r="L692">
            <v>100</v>
          </cell>
          <cell r="N692"/>
        </row>
        <row r="693">
          <cell r="L693">
            <v>100</v>
          </cell>
          <cell r="N693"/>
        </row>
        <row r="694">
          <cell r="L694">
            <v>100</v>
          </cell>
          <cell r="N694"/>
        </row>
        <row r="695">
          <cell r="L695">
            <v>100</v>
          </cell>
          <cell r="N695"/>
        </row>
        <row r="696">
          <cell r="L696">
            <v>100</v>
          </cell>
          <cell r="N696"/>
        </row>
        <row r="697">
          <cell r="L697">
            <v>100</v>
          </cell>
          <cell r="N697"/>
        </row>
        <row r="698">
          <cell r="L698">
            <v>100</v>
          </cell>
          <cell r="N698"/>
        </row>
        <row r="699">
          <cell r="L699">
            <v>100</v>
          </cell>
          <cell r="N699"/>
        </row>
        <row r="700">
          <cell r="L700">
            <v>100</v>
          </cell>
          <cell r="N700"/>
        </row>
        <row r="701">
          <cell r="L701">
            <v>100</v>
          </cell>
          <cell r="N701"/>
        </row>
        <row r="702">
          <cell r="L702">
            <v>100</v>
          </cell>
          <cell r="N702"/>
        </row>
        <row r="703">
          <cell r="L703">
            <v>100</v>
          </cell>
          <cell r="N703"/>
        </row>
        <row r="704">
          <cell r="L704">
            <v>100</v>
          </cell>
          <cell r="N704"/>
        </row>
        <row r="705">
          <cell r="L705">
            <v>100</v>
          </cell>
          <cell r="N705"/>
        </row>
        <row r="706">
          <cell r="L706">
            <v>100</v>
          </cell>
          <cell r="N706"/>
        </row>
        <row r="707">
          <cell r="L707">
            <v>100</v>
          </cell>
          <cell r="N707"/>
        </row>
        <row r="708">
          <cell r="L708">
            <v>100</v>
          </cell>
          <cell r="N708"/>
        </row>
        <row r="709">
          <cell r="L709">
            <v>100</v>
          </cell>
          <cell r="N709"/>
        </row>
        <row r="710">
          <cell r="L710">
            <v>100</v>
          </cell>
          <cell r="N710"/>
        </row>
        <row r="711">
          <cell r="L711">
            <v>100</v>
          </cell>
          <cell r="N711"/>
        </row>
        <row r="712">
          <cell r="L712">
            <v>100</v>
          </cell>
          <cell r="N712"/>
        </row>
        <row r="713">
          <cell r="L713">
            <v>100</v>
          </cell>
          <cell r="N713"/>
        </row>
        <row r="714">
          <cell r="L714">
            <v>100</v>
          </cell>
          <cell r="N714">
            <v>44817</v>
          </cell>
        </row>
        <row r="715">
          <cell r="L715">
            <v>100</v>
          </cell>
          <cell r="N715">
            <v>44827</v>
          </cell>
        </row>
        <row r="716">
          <cell r="L716">
            <v>100</v>
          </cell>
          <cell r="N716">
            <v>44827</v>
          </cell>
        </row>
        <row r="717">
          <cell r="L717">
            <v>100</v>
          </cell>
          <cell r="N717">
            <v>44828</v>
          </cell>
        </row>
        <row r="718">
          <cell r="L718">
            <v>100</v>
          </cell>
          <cell r="N718"/>
        </row>
        <row r="719">
          <cell r="L719">
            <v>100</v>
          </cell>
          <cell r="N719"/>
        </row>
        <row r="720">
          <cell r="L720">
            <v>100</v>
          </cell>
          <cell r="N720"/>
        </row>
        <row r="721">
          <cell r="L721">
            <v>100</v>
          </cell>
          <cell r="N721"/>
        </row>
        <row r="722">
          <cell r="L722">
            <v>100</v>
          </cell>
          <cell r="N722">
            <v>44828</v>
          </cell>
        </row>
        <row r="723">
          <cell r="L723">
            <v>100</v>
          </cell>
          <cell r="N723"/>
        </row>
        <row r="724">
          <cell r="L724">
            <v>100</v>
          </cell>
          <cell r="N724"/>
        </row>
        <row r="725">
          <cell r="L725">
            <v>100</v>
          </cell>
          <cell r="N725"/>
        </row>
        <row r="726">
          <cell r="L726">
            <v>100</v>
          </cell>
          <cell r="N726"/>
        </row>
        <row r="727">
          <cell r="L727">
            <v>100</v>
          </cell>
          <cell r="N727"/>
        </row>
        <row r="728">
          <cell r="L728">
            <v>100</v>
          </cell>
          <cell r="N728">
            <v>44837</v>
          </cell>
        </row>
        <row r="729">
          <cell r="L729">
            <v>100</v>
          </cell>
          <cell r="N729"/>
        </row>
        <row r="730">
          <cell r="L730">
            <v>100</v>
          </cell>
          <cell r="N730"/>
        </row>
        <row r="731">
          <cell r="L731">
            <v>100</v>
          </cell>
          <cell r="N731"/>
        </row>
        <row r="732">
          <cell r="L732">
            <v>100</v>
          </cell>
          <cell r="N732"/>
        </row>
        <row r="733">
          <cell r="L733">
            <v>100</v>
          </cell>
          <cell r="N733"/>
        </row>
        <row r="734">
          <cell r="L734">
            <v>100</v>
          </cell>
          <cell r="N734"/>
        </row>
        <row r="735">
          <cell r="L735">
            <v>100</v>
          </cell>
          <cell r="N735"/>
        </row>
        <row r="736">
          <cell r="L736">
            <v>100</v>
          </cell>
          <cell r="N736"/>
        </row>
        <row r="737">
          <cell r="L737">
            <v>100</v>
          </cell>
          <cell r="N737">
            <v>44754</v>
          </cell>
        </row>
        <row r="738">
          <cell r="L738">
            <v>100</v>
          </cell>
          <cell r="N738">
            <v>44754</v>
          </cell>
        </row>
        <row r="739">
          <cell r="L739">
            <v>100</v>
          </cell>
          <cell r="N739">
            <v>44760</v>
          </cell>
        </row>
        <row r="740">
          <cell r="L740">
            <v>100</v>
          </cell>
          <cell r="N740">
            <v>44760</v>
          </cell>
        </row>
        <row r="741">
          <cell r="L741">
            <v>100</v>
          </cell>
          <cell r="N741">
            <v>44819</v>
          </cell>
        </row>
        <row r="742">
          <cell r="L742">
            <v>100</v>
          </cell>
          <cell r="N742">
            <v>44819</v>
          </cell>
        </row>
        <row r="743">
          <cell r="L743">
            <v>100</v>
          </cell>
          <cell r="N743">
            <v>44819</v>
          </cell>
        </row>
        <row r="744">
          <cell r="L744">
            <v>100</v>
          </cell>
          <cell r="N744">
            <v>44819</v>
          </cell>
        </row>
        <row r="745">
          <cell r="L745">
            <v>100</v>
          </cell>
          <cell r="N745">
            <v>44819</v>
          </cell>
        </row>
        <row r="746">
          <cell r="L746">
            <v>100</v>
          </cell>
          <cell r="N746">
            <v>44819</v>
          </cell>
        </row>
        <row r="747">
          <cell r="L747">
            <v>100</v>
          </cell>
          <cell r="N747">
            <v>44806</v>
          </cell>
        </row>
        <row r="748">
          <cell r="L748">
            <v>100</v>
          </cell>
          <cell r="N748">
            <v>44806</v>
          </cell>
        </row>
        <row r="749">
          <cell r="L749">
            <v>100</v>
          </cell>
          <cell r="N749">
            <v>44834</v>
          </cell>
        </row>
        <row r="750">
          <cell r="L750">
            <v>100</v>
          </cell>
          <cell r="N750">
            <v>44837</v>
          </cell>
        </row>
        <row r="751">
          <cell r="L751">
            <v>100</v>
          </cell>
          <cell r="N751">
            <v>44837</v>
          </cell>
        </row>
        <row r="752">
          <cell r="L752">
            <v>100</v>
          </cell>
          <cell r="N752">
            <v>44837</v>
          </cell>
        </row>
        <row r="753">
          <cell r="L753">
            <v>100</v>
          </cell>
          <cell r="N753">
            <v>44837</v>
          </cell>
        </row>
        <row r="754">
          <cell r="L754">
            <v>100</v>
          </cell>
          <cell r="N754">
            <v>44837</v>
          </cell>
        </row>
        <row r="755">
          <cell r="L755">
            <v>100</v>
          </cell>
          <cell r="N755">
            <v>44837</v>
          </cell>
        </row>
        <row r="756">
          <cell r="L756">
            <v>100</v>
          </cell>
          <cell r="N756">
            <v>44805</v>
          </cell>
        </row>
        <row r="757">
          <cell r="L757">
            <v>100</v>
          </cell>
          <cell r="N757"/>
        </row>
        <row r="758">
          <cell r="L758">
            <v>100</v>
          </cell>
          <cell r="N758"/>
        </row>
        <row r="759">
          <cell r="L759">
            <v>100</v>
          </cell>
          <cell r="N759"/>
        </row>
        <row r="760">
          <cell r="L760">
            <v>100</v>
          </cell>
          <cell r="N760"/>
        </row>
        <row r="761">
          <cell r="L761">
            <v>100</v>
          </cell>
          <cell r="N761"/>
        </row>
        <row r="762">
          <cell r="L762">
            <v>100</v>
          </cell>
          <cell r="N762"/>
        </row>
        <row r="763">
          <cell r="L763">
            <v>100</v>
          </cell>
          <cell r="N763"/>
        </row>
        <row r="764">
          <cell r="L764">
            <v>100</v>
          </cell>
          <cell r="N764">
            <v>44814</v>
          </cell>
        </row>
        <row r="765">
          <cell r="L765">
            <v>100</v>
          </cell>
          <cell r="N765"/>
        </row>
        <row r="766">
          <cell r="L766">
            <v>100</v>
          </cell>
          <cell r="N766"/>
        </row>
        <row r="767">
          <cell r="L767">
            <v>100</v>
          </cell>
          <cell r="N767"/>
        </row>
        <row r="768">
          <cell r="L768">
            <v>100</v>
          </cell>
          <cell r="N768"/>
        </row>
        <row r="769">
          <cell r="L769">
            <v>100</v>
          </cell>
          <cell r="N769"/>
        </row>
        <row r="770">
          <cell r="L770">
            <v>100</v>
          </cell>
          <cell r="N770"/>
        </row>
        <row r="771">
          <cell r="L771">
            <v>100</v>
          </cell>
          <cell r="N771"/>
        </row>
        <row r="772">
          <cell r="L772">
            <v>100</v>
          </cell>
          <cell r="N772"/>
        </row>
        <row r="773">
          <cell r="L773">
            <v>100</v>
          </cell>
          <cell r="N773"/>
        </row>
        <row r="774">
          <cell r="L774">
            <v>100</v>
          </cell>
          <cell r="N774"/>
        </row>
        <row r="775">
          <cell r="L775">
            <v>100</v>
          </cell>
          <cell r="N775"/>
        </row>
        <row r="776">
          <cell r="L776">
            <v>100</v>
          </cell>
          <cell r="N776"/>
        </row>
        <row r="777">
          <cell r="L777">
            <v>100</v>
          </cell>
          <cell r="N777">
            <v>44810</v>
          </cell>
        </row>
        <row r="778">
          <cell r="L778">
            <v>100</v>
          </cell>
          <cell r="N778">
            <v>44810</v>
          </cell>
        </row>
        <row r="779">
          <cell r="L779">
            <v>100</v>
          </cell>
          <cell r="N779">
            <v>44810</v>
          </cell>
        </row>
        <row r="780">
          <cell r="L780">
            <v>100</v>
          </cell>
          <cell r="N780">
            <v>44810</v>
          </cell>
        </row>
        <row r="781">
          <cell r="L781">
            <v>100</v>
          </cell>
          <cell r="N781">
            <v>44810</v>
          </cell>
        </row>
        <row r="782">
          <cell r="L782">
            <v>100</v>
          </cell>
          <cell r="N782">
            <v>44810</v>
          </cell>
        </row>
        <row r="783">
          <cell r="L783">
            <v>100</v>
          </cell>
          <cell r="N783">
            <v>44810</v>
          </cell>
        </row>
        <row r="784">
          <cell r="L784">
            <v>100</v>
          </cell>
          <cell r="N784">
            <v>44810</v>
          </cell>
        </row>
        <row r="785">
          <cell r="L785">
            <v>100</v>
          </cell>
          <cell r="N785">
            <v>44810</v>
          </cell>
        </row>
        <row r="786">
          <cell r="L786">
            <v>100</v>
          </cell>
          <cell r="N786">
            <v>44810</v>
          </cell>
        </row>
        <row r="787">
          <cell r="L787">
            <v>100</v>
          </cell>
          <cell r="N787">
            <v>44810</v>
          </cell>
        </row>
        <row r="788">
          <cell r="L788">
            <v>100</v>
          </cell>
          <cell r="N788">
            <v>44810</v>
          </cell>
        </row>
        <row r="789">
          <cell r="L789">
            <v>100</v>
          </cell>
          <cell r="N789">
            <v>44810</v>
          </cell>
        </row>
        <row r="790">
          <cell r="L790">
            <v>100</v>
          </cell>
          <cell r="N790">
            <v>44810</v>
          </cell>
        </row>
        <row r="791">
          <cell r="L791">
            <v>100</v>
          </cell>
          <cell r="N791">
            <v>44810</v>
          </cell>
        </row>
        <row r="792">
          <cell r="L792">
            <v>100</v>
          </cell>
          <cell r="N792">
            <v>44810</v>
          </cell>
        </row>
        <row r="793">
          <cell r="L793">
            <v>100</v>
          </cell>
          <cell r="N793">
            <v>44810</v>
          </cell>
        </row>
        <row r="794">
          <cell r="L794">
            <v>100</v>
          </cell>
          <cell r="N794">
            <v>44810</v>
          </cell>
        </row>
        <row r="795">
          <cell r="L795">
            <v>100</v>
          </cell>
          <cell r="N795">
            <v>44810</v>
          </cell>
        </row>
        <row r="796">
          <cell r="L796">
            <v>100</v>
          </cell>
          <cell r="N796">
            <v>44810</v>
          </cell>
        </row>
        <row r="797">
          <cell r="L797">
            <v>100</v>
          </cell>
          <cell r="N797">
            <v>44810</v>
          </cell>
        </row>
        <row r="798">
          <cell r="L798">
            <v>100</v>
          </cell>
          <cell r="N798">
            <v>44810</v>
          </cell>
        </row>
        <row r="799">
          <cell r="L799">
            <v>100</v>
          </cell>
          <cell r="N799">
            <v>44810</v>
          </cell>
        </row>
        <row r="800">
          <cell r="L800">
            <v>100</v>
          </cell>
          <cell r="N800">
            <v>44810</v>
          </cell>
        </row>
        <row r="801">
          <cell r="L801">
            <v>100</v>
          </cell>
          <cell r="N801">
            <v>44810</v>
          </cell>
        </row>
        <row r="802">
          <cell r="L802">
            <v>100</v>
          </cell>
          <cell r="N802">
            <v>44810</v>
          </cell>
        </row>
        <row r="803">
          <cell r="L803">
            <v>100</v>
          </cell>
          <cell r="N803">
            <v>44810</v>
          </cell>
        </row>
        <row r="804">
          <cell r="L804">
            <v>100</v>
          </cell>
          <cell r="N804">
            <v>44810</v>
          </cell>
        </row>
        <row r="805">
          <cell r="L805">
            <v>100</v>
          </cell>
          <cell r="N805">
            <v>44810</v>
          </cell>
        </row>
        <row r="806">
          <cell r="L806">
            <v>100</v>
          </cell>
          <cell r="N806">
            <v>44810</v>
          </cell>
        </row>
        <row r="807">
          <cell r="L807">
            <v>100</v>
          </cell>
          <cell r="N807">
            <v>44810</v>
          </cell>
        </row>
        <row r="808">
          <cell r="L808">
            <v>100</v>
          </cell>
          <cell r="N808">
            <v>44810</v>
          </cell>
        </row>
        <row r="809">
          <cell r="L809">
            <v>100</v>
          </cell>
          <cell r="N809">
            <v>44810</v>
          </cell>
        </row>
        <row r="810">
          <cell r="L810">
            <v>100</v>
          </cell>
          <cell r="N810">
            <v>44810</v>
          </cell>
        </row>
        <row r="811">
          <cell r="L811">
            <v>100</v>
          </cell>
          <cell r="N811">
            <v>44810</v>
          </cell>
        </row>
        <row r="812">
          <cell r="L812">
            <v>100</v>
          </cell>
          <cell r="N812">
            <v>44810</v>
          </cell>
        </row>
        <row r="813">
          <cell r="L813">
            <v>100</v>
          </cell>
          <cell r="N813">
            <v>44810</v>
          </cell>
        </row>
        <row r="814">
          <cell r="L814">
            <v>100</v>
          </cell>
          <cell r="N814">
            <v>44810</v>
          </cell>
        </row>
        <row r="815">
          <cell r="L815">
            <v>100</v>
          </cell>
          <cell r="N815">
            <v>44810</v>
          </cell>
        </row>
        <row r="816">
          <cell r="L816">
            <v>100</v>
          </cell>
          <cell r="N816">
            <v>44810</v>
          </cell>
        </row>
        <row r="817">
          <cell r="L817">
            <v>100</v>
          </cell>
          <cell r="N817">
            <v>44810</v>
          </cell>
        </row>
        <row r="818">
          <cell r="L818">
            <v>100</v>
          </cell>
          <cell r="N818">
            <v>44810</v>
          </cell>
        </row>
        <row r="819">
          <cell r="L819">
            <v>100</v>
          </cell>
          <cell r="N819">
            <v>44810</v>
          </cell>
        </row>
        <row r="820">
          <cell r="L820">
            <v>100</v>
          </cell>
          <cell r="N820">
            <v>44810</v>
          </cell>
        </row>
        <row r="821">
          <cell r="L821">
            <v>100</v>
          </cell>
          <cell r="N821">
            <v>44810</v>
          </cell>
        </row>
        <row r="822">
          <cell r="L822">
            <v>100</v>
          </cell>
          <cell r="N822">
            <v>44810</v>
          </cell>
        </row>
        <row r="823">
          <cell r="L823">
            <v>100</v>
          </cell>
          <cell r="N823">
            <v>44810</v>
          </cell>
        </row>
        <row r="824">
          <cell r="L824">
            <v>100</v>
          </cell>
          <cell r="N824">
            <v>44810</v>
          </cell>
        </row>
        <row r="825">
          <cell r="L825">
            <v>100</v>
          </cell>
          <cell r="N825">
            <v>44810</v>
          </cell>
        </row>
        <row r="826">
          <cell r="L826">
            <v>100</v>
          </cell>
          <cell r="N826">
            <v>44810</v>
          </cell>
        </row>
        <row r="827">
          <cell r="L827">
            <v>100</v>
          </cell>
          <cell r="N827">
            <v>44810</v>
          </cell>
        </row>
        <row r="828">
          <cell r="L828">
            <v>100</v>
          </cell>
          <cell r="N828">
            <v>44810</v>
          </cell>
        </row>
        <row r="829">
          <cell r="L829">
            <v>100</v>
          </cell>
          <cell r="N829">
            <v>44810</v>
          </cell>
        </row>
        <row r="830">
          <cell r="L830">
            <v>100</v>
          </cell>
          <cell r="N830">
            <v>44810</v>
          </cell>
        </row>
        <row r="831">
          <cell r="L831">
            <v>100</v>
          </cell>
          <cell r="N831">
            <v>44810</v>
          </cell>
        </row>
        <row r="832">
          <cell r="L832">
            <v>100</v>
          </cell>
          <cell r="N832">
            <v>44810</v>
          </cell>
        </row>
        <row r="833">
          <cell r="L833">
            <v>100</v>
          </cell>
          <cell r="N833">
            <v>44810</v>
          </cell>
        </row>
        <row r="834">
          <cell r="L834">
            <v>100</v>
          </cell>
          <cell r="N834">
            <v>44810</v>
          </cell>
        </row>
        <row r="835">
          <cell r="L835">
            <v>100</v>
          </cell>
          <cell r="N835">
            <v>44810</v>
          </cell>
        </row>
        <row r="836">
          <cell r="L836">
            <v>100</v>
          </cell>
          <cell r="N836">
            <v>44810</v>
          </cell>
        </row>
        <row r="837">
          <cell r="L837">
            <v>100</v>
          </cell>
          <cell r="N837">
            <v>44810</v>
          </cell>
        </row>
        <row r="838">
          <cell r="L838">
            <v>100</v>
          </cell>
          <cell r="N838">
            <v>44810</v>
          </cell>
        </row>
        <row r="839">
          <cell r="L839">
            <v>100</v>
          </cell>
          <cell r="N839">
            <v>44810</v>
          </cell>
        </row>
        <row r="840">
          <cell r="L840">
            <v>100</v>
          </cell>
          <cell r="N840">
            <v>44810</v>
          </cell>
        </row>
        <row r="841">
          <cell r="L841">
            <v>100</v>
          </cell>
          <cell r="N841">
            <v>44810</v>
          </cell>
        </row>
        <row r="842">
          <cell r="L842">
            <v>100</v>
          </cell>
          <cell r="N842">
            <v>44810</v>
          </cell>
        </row>
        <row r="843">
          <cell r="L843">
            <v>100</v>
          </cell>
          <cell r="N843">
            <v>44810</v>
          </cell>
        </row>
        <row r="844">
          <cell r="L844">
            <v>100</v>
          </cell>
          <cell r="N844">
            <v>44810</v>
          </cell>
        </row>
        <row r="845">
          <cell r="L845">
            <v>100</v>
          </cell>
          <cell r="N845">
            <v>44810</v>
          </cell>
        </row>
        <row r="846">
          <cell r="L846">
            <v>100</v>
          </cell>
          <cell r="N846">
            <v>44810</v>
          </cell>
        </row>
        <row r="847">
          <cell r="L847">
            <v>100</v>
          </cell>
          <cell r="N847">
            <v>44810</v>
          </cell>
        </row>
        <row r="848">
          <cell r="L848">
            <v>100</v>
          </cell>
          <cell r="N848">
            <v>44810</v>
          </cell>
        </row>
        <row r="849">
          <cell r="L849">
            <v>100</v>
          </cell>
          <cell r="N849">
            <v>44810</v>
          </cell>
        </row>
        <row r="850">
          <cell r="L850">
            <v>100</v>
          </cell>
          <cell r="N850">
            <v>44810</v>
          </cell>
        </row>
        <row r="851">
          <cell r="L851">
            <v>100</v>
          </cell>
          <cell r="N851">
            <v>44810</v>
          </cell>
        </row>
        <row r="852">
          <cell r="L852">
            <v>100</v>
          </cell>
          <cell r="N852">
            <v>44810</v>
          </cell>
        </row>
        <row r="853">
          <cell r="L853">
            <v>100</v>
          </cell>
          <cell r="N853">
            <v>44810</v>
          </cell>
        </row>
        <row r="854">
          <cell r="L854">
            <v>100</v>
          </cell>
          <cell r="N854">
            <v>44810</v>
          </cell>
        </row>
        <row r="855">
          <cell r="L855">
            <v>100</v>
          </cell>
          <cell r="N855">
            <v>44810</v>
          </cell>
        </row>
        <row r="856">
          <cell r="L856">
            <v>100</v>
          </cell>
          <cell r="N856">
            <v>44810</v>
          </cell>
        </row>
        <row r="857">
          <cell r="L857">
            <v>100</v>
          </cell>
          <cell r="N857">
            <v>44810</v>
          </cell>
        </row>
        <row r="858">
          <cell r="L858">
            <v>100</v>
          </cell>
          <cell r="N858">
            <v>44810</v>
          </cell>
        </row>
        <row r="859">
          <cell r="L859">
            <v>100</v>
          </cell>
          <cell r="N859">
            <v>44810</v>
          </cell>
        </row>
        <row r="860">
          <cell r="L860">
            <v>100</v>
          </cell>
          <cell r="N860">
            <v>44810</v>
          </cell>
        </row>
        <row r="861">
          <cell r="L861">
            <v>100</v>
          </cell>
          <cell r="N861">
            <v>44810</v>
          </cell>
        </row>
        <row r="862">
          <cell r="L862">
            <v>100</v>
          </cell>
          <cell r="N862">
            <v>44810</v>
          </cell>
        </row>
        <row r="863">
          <cell r="L863">
            <v>100</v>
          </cell>
          <cell r="N863">
            <v>44810</v>
          </cell>
        </row>
        <row r="864">
          <cell r="L864">
            <v>100</v>
          </cell>
          <cell r="N864">
            <v>44810</v>
          </cell>
        </row>
        <row r="865">
          <cell r="L865">
            <v>100</v>
          </cell>
          <cell r="N865">
            <v>44810</v>
          </cell>
        </row>
        <row r="866">
          <cell r="L866">
            <v>100</v>
          </cell>
          <cell r="N866">
            <v>44810</v>
          </cell>
        </row>
        <row r="867">
          <cell r="L867">
            <v>100</v>
          </cell>
          <cell r="N867">
            <v>44810</v>
          </cell>
        </row>
        <row r="868">
          <cell r="L868">
            <v>100</v>
          </cell>
          <cell r="N868">
            <v>44810</v>
          </cell>
        </row>
        <row r="869">
          <cell r="L869">
            <v>100</v>
          </cell>
          <cell r="N869">
            <v>44810</v>
          </cell>
        </row>
        <row r="870">
          <cell r="L870">
            <v>100</v>
          </cell>
          <cell r="N870">
            <v>44810</v>
          </cell>
        </row>
        <row r="871">
          <cell r="L871">
            <v>100</v>
          </cell>
          <cell r="N871">
            <v>44810</v>
          </cell>
        </row>
        <row r="872">
          <cell r="L872">
            <v>100</v>
          </cell>
          <cell r="N872">
            <v>44810</v>
          </cell>
        </row>
        <row r="873">
          <cell r="L873">
            <v>100</v>
          </cell>
          <cell r="N873">
            <v>44810</v>
          </cell>
        </row>
        <row r="874">
          <cell r="L874">
            <v>100</v>
          </cell>
          <cell r="N874">
            <v>44810</v>
          </cell>
        </row>
        <row r="875">
          <cell r="L875">
            <v>100</v>
          </cell>
          <cell r="N875">
            <v>44810</v>
          </cell>
        </row>
        <row r="876">
          <cell r="L876">
            <v>100</v>
          </cell>
          <cell r="N876">
            <v>44810</v>
          </cell>
        </row>
        <row r="877">
          <cell r="L877">
            <v>100</v>
          </cell>
          <cell r="N877">
            <v>44810</v>
          </cell>
        </row>
        <row r="878">
          <cell r="L878">
            <v>100</v>
          </cell>
          <cell r="N878">
            <v>44810</v>
          </cell>
        </row>
        <row r="879">
          <cell r="L879">
            <v>100</v>
          </cell>
          <cell r="N879">
            <v>44810</v>
          </cell>
        </row>
        <row r="880">
          <cell r="L880">
            <v>100</v>
          </cell>
          <cell r="N880">
            <v>44810</v>
          </cell>
        </row>
        <row r="881">
          <cell r="L881">
            <v>100</v>
          </cell>
          <cell r="N881">
            <v>44810</v>
          </cell>
        </row>
        <row r="882">
          <cell r="L882">
            <v>100</v>
          </cell>
          <cell r="N882">
            <v>44810</v>
          </cell>
        </row>
        <row r="883">
          <cell r="L883">
            <v>100</v>
          </cell>
          <cell r="N883">
            <v>44810</v>
          </cell>
        </row>
        <row r="884">
          <cell r="L884">
            <v>100</v>
          </cell>
          <cell r="N884">
            <v>44810</v>
          </cell>
        </row>
        <row r="885">
          <cell r="L885">
            <v>100</v>
          </cell>
          <cell r="N885">
            <v>44810</v>
          </cell>
        </row>
        <row r="886">
          <cell r="L886">
            <v>100</v>
          </cell>
          <cell r="N886">
            <v>44810</v>
          </cell>
        </row>
        <row r="887">
          <cell r="L887">
            <v>100</v>
          </cell>
          <cell r="N887">
            <v>44810</v>
          </cell>
        </row>
        <row r="888">
          <cell r="L888">
            <v>100</v>
          </cell>
          <cell r="N888">
            <v>44810</v>
          </cell>
        </row>
        <row r="889">
          <cell r="L889">
            <v>100</v>
          </cell>
          <cell r="N889">
            <v>44810</v>
          </cell>
        </row>
        <row r="890">
          <cell r="L890">
            <v>100</v>
          </cell>
          <cell r="N890">
            <v>44810</v>
          </cell>
        </row>
        <row r="891">
          <cell r="L891">
            <v>100</v>
          </cell>
          <cell r="N891">
            <v>44810</v>
          </cell>
        </row>
        <row r="892">
          <cell r="L892">
            <v>100</v>
          </cell>
          <cell r="N892">
            <v>44810</v>
          </cell>
        </row>
        <row r="893">
          <cell r="L893">
            <v>100</v>
          </cell>
          <cell r="N893">
            <v>44810</v>
          </cell>
        </row>
        <row r="894">
          <cell r="L894">
            <v>100</v>
          </cell>
          <cell r="N894">
            <v>44810</v>
          </cell>
        </row>
        <row r="895">
          <cell r="L895">
            <v>100</v>
          </cell>
          <cell r="N895">
            <v>44810</v>
          </cell>
        </row>
        <row r="896">
          <cell r="L896">
            <v>100</v>
          </cell>
          <cell r="N896">
            <v>44810</v>
          </cell>
        </row>
        <row r="897">
          <cell r="L897">
            <v>100</v>
          </cell>
          <cell r="N897">
            <v>44810</v>
          </cell>
        </row>
        <row r="898">
          <cell r="L898">
            <v>100</v>
          </cell>
          <cell r="N898">
            <v>44810</v>
          </cell>
        </row>
        <row r="899">
          <cell r="L899">
            <v>100</v>
          </cell>
          <cell r="N899">
            <v>44810</v>
          </cell>
        </row>
        <row r="900">
          <cell r="L900">
            <v>100</v>
          </cell>
          <cell r="N900">
            <v>44810</v>
          </cell>
        </row>
        <row r="901">
          <cell r="L901">
            <v>100</v>
          </cell>
          <cell r="N901"/>
        </row>
        <row r="902">
          <cell r="L902">
            <v>100</v>
          </cell>
          <cell r="N902"/>
        </row>
        <row r="903">
          <cell r="L903">
            <v>100</v>
          </cell>
          <cell r="N903"/>
        </row>
        <row r="904">
          <cell r="L904">
            <v>100</v>
          </cell>
          <cell r="N904"/>
        </row>
        <row r="905">
          <cell r="L905">
            <v>100</v>
          </cell>
          <cell r="N905"/>
        </row>
        <row r="906">
          <cell r="L906">
            <v>100</v>
          </cell>
          <cell r="N906"/>
        </row>
        <row r="907">
          <cell r="L907">
            <v>100</v>
          </cell>
          <cell r="N907"/>
        </row>
        <row r="908">
          <cell r="L908">
            <v>100</v>
          </cell>
          <cell r="N908"/>
        </row>
        <row r="909">
          <cell r="L909">
            <v>100</v>
          </cell>
          <cell r="N909"/>
        </row>
        <row r="910">
          <cell r="L910">
            <v>100</v>
          </cell>
          <cell r="N910"/>
        </row>
        <row r="911">
          <cell r="L911">
            <v>100</v>
          </cell>
          <cell r="N911"/>
        </row>
        <row r="912">
          <cell r="L912">
            <v>100</v>
          </cell>
          <cell r="N912"/>
        </row>
        <row r="913">
          <cell r="L913">
            <v>100</v>
          </cell>
          <cell r="N913"/>
        </row>
        <row r="914">
          <cell r="L914">
            <v>100</v>
          </cell>
          <cell r="N914"/>
        </row>
        <row r="915">
          <cell r="L915">
            <v>100</v>
          </cell>
          <cell r="N915"/>
        </row>
        <row r="916">
          <cell r="L916">
            <v>100</v>
          </cell>
          <cell r="N916"/>
        </row>
        <row r="917">
          <cell r="L917">
            <v>100</v>
          </cell>
          <cell r="N917"/>
        </row>
        <row r="918">
          <cell r="L918">
            <v>100</v>
          </cell>
          <cell r="N918"/>
        </row>
        <row r="919">
          <cell r="L919">
            <v>100</v>
          </cell>
          <cell r="N919"/>
        </row>
        <row r="920">
          <cell r="L920">
            <v>100</v>
          </cell>
          <cell r="N920"/>
        </row>
        <row r="921">
          <cell r="L921">
            <v>100</v>
          </cell>
          <cell r="N921"/>
        </row>
        <row r="922">
          <cell r="L922">
            <v>100</v>
          </cell>
          <cell r="N922"/>
        </row>
        <row r="923">
          <cell r="L923">
            <v>100</v>
          </cell>
          <cell r="N923"/>
        </row>
        <row r="924">
          <cell r="L924">
            <v>100</v>
          </cell>
          <cell r="N924"/>
        </row>
        <row r="925">
          <cell r="L925">
            <v>100</v>
          </cell>
          <cell r="N925"/>
        </row>
        <row r="926">
          <cell r="L926">
            <v>100</v>
          </cell>
          <cell r="N926"/>
        </row>
        <row r="927">
          <cell r="L927">
            <v>100</v>
          </cell>
          <cell r="N927"/>
        </row>
        <row r="928">
          <cell r="L928">
            <v>100</v>
          </cell>
          <cell r="N928"/>
        </row>
        <row r="929">
          <cell r="L929">
            <v>100</v>
          </cell>
          <cell r="N929"/>
        </row>
        <row r="930">
          <cell r="L930">
            <v>100</v>
          </cell>
          <cell r="N930"/>
        </row>
        <row r="931">
          <cell r="L931">
            <v>100</v>
          </cell>
          <cell r="N931"/>
        </row>
        <row r="932">
          <cell r="L932">
            <v>100</v>
          </cell>
          <cell r="N932"/>
        </row>
        <row r="933">
          <cell r="L933">
            <v>100</v>
          </cell>
          <cell r="N933"/>
        </row>
        <row r="934">
          <cell r="L934">
            <v>100</v>
          </cell>
          <cell r="N934"/>
        </row>
        <row r="935">
          <cell r="L935">
            <v>100</v>
          </cell>
          <cell r="N935"/>
        </row>
        <row r="936">
          <cell r="L936">
            <v>100</v>
          </cell>
          <cell r="N936"/>
        </row>
        <row r="937">
          <cell r="L937">
            <v>100</v>
          </cell>
          <cell r="N937"/>
        </row>
        <row r="938">
          <cell r="L938">
            <v>100</v>
          </cell>
          <cell r="N938"/>
        </row>
        <row r="939">
          <cell r="L939">
            <v>100</v>
          </cell>
          <cell r="N939"/>
        </row>
        <row r="940">
          <cell r="L940">
            <v>100</v>
          </cell>
          <cell r="N940"/>
        </row>
        <row r="941">
          <cell r="L941">
            <v>100</v>
          </cell>
          <cell r="N941"/>
        </row>
        <row r="942">
          <cell r="L942">
            <v>100</v>
          </cell>
          <cell r="N942"/>
        </row>
        <row r="943">
          <cell r="L943">
            <v>100</v>
          </cell>
          <cell r="N943"/>
        </row>
        <row r="944">
          <cell r="L944">
            <v>100</v>
          </cell>
          <cell r="N944"/>
        </row>
        <row r="945">
          <cell r="L945">
            <v>100</v>
          </cell>
          <cell r="N945"/>
        </row>
        <row r="946">
          <cell r="L946">
            <v>100</v>
          </cell>
          <cell r="N946"/>
        </row>
        <row r="947">
          <cell r="L947">
            <v>100</v>
          </cell>
          <cell r="N947"/>
        </row>
        <row r="948">
          <cell r="L948">
            <v>100</v>
          </cell>
          <cell r="N948"/>
        </row>
        <row r="949">
          <cell r="L949">
            <v>100</v>
          </cell>
          <cell r="N949"/>
        </row>
        <row r="950">
          <cell r="L950">
            <v>100</v>
          </cell>
          <cell r="N950"/>
        </row>
        <row r="951">
          <cell r="L951">
            <v>100</v>
          </cell>
          <cell r="N951"/>
        </row>
        <row r="952">
          <cell r="L952">
            <v>100</v>
          </cell>
          <cell r="N952"/>
        </row>
        <row r="953">
          <cell r="L953">
            <v>100</v>
          </cell>
          <cell r="N953"/>
        </row>
        <row r="954">
          <cell r="L954">
            <v>100</v>
          </cell>
          <cell r="N954"/>
        </row>
        <row r="955">
          <cell r="L955">
            <v>100</v>
          </cell>
          <cell r="N955"/>
        </row>
        <row r="956">
          <cell r="L956">
            <v>100</v>
          </cell>
          <cell r="N956"/>
        </row>
        <row r="957">
          <cell r="L957">
            <v>100</v>
          </cell>
          <cell r="N957"/>
        </row>
        <row r="958">
          <cell r="L958">
            <v>100</v>
          </cell>
          <cell r="N958"/>
        </row>
        <row r="959">
          <cell r="L959">
            <v>100</v>
          </cell>
          <cell r="N959"/>
        </row>
        <row r="960">
          <cell r="L960">
            <v>100</v>
          </cell>
          <cell r="N960"/>
        </row>
        <row r="961">
          <cell r="L961">
            <v>100</v>
          </cell>
          <cell r="N961"/>
        </row>
        <row r="962">
          <cell r="L962">
            <v>100</v>
          </cell>
          <cell r="N962"/>
        </row>
        <row r="963">
          <cell r="L963">
            <v>100</v>
          </cell>
          <cell r="N963"/>
        </row>
        <row r="964">
          <cell r="L964">
            <v>100</v>
          </cell>
          <cell r="N964"/>
        </row>
        <row r="965">
          <cell r="L965">
            <v>100</v>
          </cell>
          <cell r="N965"/>
        </row>
        <row r="966">
          <cell r="L966">
            <v>100</v>
          </cell>
          <cell r="N966"/>
        </row>
        <row r="967">
          <cell r="L967">
            <v>100</v>
          </cell>
          <cell r="N967"/>
        </row>
        <row r="968">
          <cell r="L968">
            <v>100</v>
          </cell>
          <cell r="N968"/>
        </row>
        <row r="969">
          <cell r="L969">
            <v>100</v>
          </cell>
          <cell r="N969"/>
        </row>
        <row r="970">
          <cell r="L970">
            <v>100</v>
          </cell>
          <cell r="N970"/>
        </row>
        <row r="971">
          <cell r="L971">
            <v>100</v>
          </cell>
          <cell r="N971"/>
        </row>
        <row r="972">
          <cell r="L972">
            <v>100</v>
          </cell>
          <cell r="N972"/>
        </row>
        <row r="973">
          <cell r="L973">
            <v>100</v>
          </cell>
          <cell r="N973"/>
        </row>
        <row r="974">
          <cell r="L974">
            <v>100</v>
          </cell>
          <cell r="N974"/>
        </row>
        <row r="975">
          <cell r="L975">
            <v>100</v>
          </cell>
          <cell r="N975"/>
        </row>
        <row r="976">
          <cell r="L976">
            <v>100</v>
          </cell>
          <cell r="N976"/>
        </row>
        <row r="977">
          <cell r="L977">
            <v>100</v>
          </cell>
          <cell r="N977">
            <v>44837</v>
          </cell>
        </row>
        <row r="978">
          <cell r="L978">
            <v>100</v>
          </cell>
          <cell r="N978"/>
        </row>
        <row r="979">
          <cell r="L979">
            <v>100</v>
          </cell>
          <cell r="N979"/>
        </row>
        <row r="980">
          <cell r="L980">
            <v>100</v>
          </cell>
          <cell r="N980"/>
        </row>
        <row r="981">
          <cell r="L981">
            <v>100</v>
          </cell>
          <cell r="N981"/>
        </row>
        <row r="982">
          <cell r="L982">
            <v>100</v>
          </cell>
          <cell r="N982"/>
        </row>
        <row r="983">
          <cell r="L983">
            <v>100</v>
          </cell>
          <cell r="N983"/>
        </row>
        <row r="984">
          <cell r="L984">
            <v>100</v>
          </cell>
          <cell r="N984"/>
        </row>
        <row r="985">
          <cell r="L985">
            <v>100</v>
          </cell>
          <cell r="N985"/>
        </row>
        <row r="986">
          <cell r="L986">
            <v>100</v>
          </cell>
          <cell r="N986"/>
        </row>
        <row r="987">
          <cell r="L987">
            <v>100</v>
          </cell>
          <cell r="N987"/>
        </row>
        <row r="988">
          <cell r="L988">
            <v>100</v>
          </cell>
          <cell r="N988"/>
        </row>
        <row r="989">
          <cell r="L989">
            <v>100</v>
          </cell>
          <cell r="N989"/>
        </row>
        <row r="990">
          <cell r="L990">
            <v>100</v>
          </cell>
          <cell r="N990"/>
        </row>
        <row r="991">
          <cell r="L991">
            <v>100</v>
          </cell>
          <cell r="N991"/>
        </row>
        <row r="992">
          <cell r="L992">
            <v>100</v>
          </cell>
          <cell r="N992"/>
        </row>
        <row r="993">
          <cell r="L993">
            <v>100</v>
          </cell>
          <cell r="N993"/>
        </row>
        <row r="994">
          <cell r="L994">
            <v>100</v>
          </cell>
          <cell r="N994"/>
        </row>
        <row r="995">
          <cell r="L995">
            <v>100</v>
          </cell>
          <cell r="N995"/>
        </row>
        <row r="996">
          <cell r="L996">
            <v>100</v>
          </cell>
          <cell r="N996"/>
        </row>
        <row r="997">
          <cell r="L997">
            <v>100</v>
          </cell>
          <cell r="N997"/>
        </row>
        <row r="998">
          <cell r="L998">
            <v>100</v>
          </cell>
          <cell r="N998"/>
        </row>
        <row r="999">
          <cell r="L999">
            <v>100</v>
          </cell>
          <cell r="N999"/>
        </row>
        <row r="1000">
          <cell r="L1000">
            <v>100</v>
          </cell>
          <cell r="N1000"/>
        </row>
        <row r="1001">
          <cell r="L1001">
            <v>100</v>
          </cell>
          <cell r="N1001"/>
        </row>
        <row r="1002">
          <cell r="L1002">
            <v>100</v>
          </cell>
          <cell r="N1002"/>
        </row>
        <row r="1003">
          <cell r="L1003">
            <v>100</v>
          </cell>
          <cell r="N1003"/>
        </row>
        <row r="1004">
          <cell r="L1004">
            <v>100</v>
          </cell>
          <cell r="N1004"/>
        </row>
        <row r="1005">
          <cell r="L1005">
            <v>100</v>
          </cell>
          <cell r="N1005"/>
        </row>
        <row r="1006">
          <cell r="L1006">
            <v>100</v>
          </cell>
          <cell r="N1006"/>
        </row>
        <row r="1007">
          <cell r="L1007">
            <v>100</v>
          </cell>
          <cell r="N1007"/>
        </row>
        <row r="1008">
          <cell r="L1008">
            <v>100</v>
          </cell>
          <cell r="N1008"/>
        </row>
        <row r="1009">
          <cell r="L1009">
            <v>100</v>
          </cell>
          <cell r="N1009"/>
        </row>
        <row r="1010">
          <cell r="L1010">
            <v>100</v>
          </cell>
          <cell r="N1010">
            <v>44617</v>
          </cell>
        </row>
        <row r="1011">
          <cell r="L1011">
            <v>100</v>
          </cell>
          <cell r="N1011">
            <v>44617</v>
          </cell>
        </row>
        <row r="1012">
          <cell r="L1012">
            <v>100</v>
          </cell>
          <cell r="N1012">
            <v>44911</v>
          </cell>
        </row>
        <row r="1013">
          <cell r="L1013">
            <v>100</v>
          </cell>
          <cell r="N1013">
            <v>44911</v>
          </cell>
        </row>
        <row r="1014">
          <cell r="L1014">
            <v>100</v>
          </cell>
          <cell r="N1014">
            <v>44911</v>
          </cell>
        </row>
        <row r="1015">
          <cell r="L1015">
            <v>100</v>
          </cell>
          <cell r="N1015">
            <v>44911</v>
          </cell>
        </row>
        <row r="1016">
          <cell r="L1016">
            <v>100</v>
          </cell>
          <cell r="N1016">
            <v>44911</v>
          </cell>
        </row>
        <row r="1017">
          <cell r="L1017">
            <v>100</v>
          </cell>
          <cell r="N1017">
            <v>44911</v>
          </cell>
        </row>
        <row r="1018">
          <cell r="L1018">
            <v>100</v>
          </cell>
          <cell r="N1018">
            <v>44911</v>
          </cell>
        </row>
        <row r="1019">
          <cell r="L1019">
            <v>100</v>
          </cell>
          <cell r="N1019">
            <v>44911</v>
          </cell>
        </row>
        <row r="1020">
          <cell r="L1020">
            <v>100</v>
          </cell>
          <cell r="N1020">
            <v>44911</v>
          </cell>
        </row>
        <row r="1021">
          <cell r="L1021">
            <v>100</v>
          </cell>
          <cell r="N1021">
            <v>44911</v>
          </cell>
        </row>
        <row r="1022">
          <cell r="L1022">
            <v>100</v>
          </cell>
          <cell r="N1022">
            <v>44911</v>
          </cell>
        </row>
        <row r="1023">
          <cell r="L1023">
            <v>100</v>
          </cell>
          <cell r="N1023">
            <v>44911</v>
          </cell>
        </row>
        <row r="1024">
          <cell r="L1024">
            <v>100</v>
          </cell>
          <cell r="N1024">
            <v>44911</v>
          </cell>
        </row>
        <row r="1025">
          <cell r="L1025">
            <v>100</v>
          </cell>
          <cell r="N1025">
            <v>44911</v>
          </cell>
        </row>
        <row r="1026">
          <cell r="L1026">
            <v>100</v>
          </cell>
          <cell r="N1026">
            <v>44911</v>
          </cell>
        </row>
        <row r="1027">
          <cell r="L1027">
            <v>100</v>
          </cell>
          <cell r="N1027">
            <v>44911</v>
          </cell>
        </row>
        <row r="1028">
          <cell r="L1028">
            <v>100</v>
          </cell>
          <cell r="N1028">
            <v>44911</v>
          </cell>
        </row>
        <row r="1029">
          <cell r="L1029">
            <v>100</v>
          </cell>
          <cell r="N1029">
            <v>44911</v>
          </cell>
        </row>
        <row r="1030">
          <cell r="L1030">
            <v>100</v>
          </cell>
          <cell r="N1030">
            <v>44911</v>
          </cell>
        </row>
        <row r="1031">
          <cell r="L1031">
            <v>100</v>
          </cell>
          <cell r="N1031">
            <v>44911</v>
          </cell>
        </row>
        <row r="1032">
          <cell r="L1032">
            <v>100</v>
          </cell>
          <cell r="N1032">
            <v>44911</v>
          </cell>
        </row>
        <row r="1033">
          <cell r="L1033">
            <v>100</v>
          </cell>
          <cell r="N1033">
            <v>44911</v>
          </cell>
        </row>
        <row r="1034">
          <cell r="L1034">
            <v>100</v>
          </cell>
          <cell r="N1034">
            <v>44911</v>
          </cell>
        </row>
        <row r="1035">
          <cell r="L1035">
            <v>100</v>
          </cell>
          <cell r="N1035">
            <v>44911</v>
          </cell>
        </row>
        <row r="1036">
          <cell r="L1036">
            <v>100</v>
          </cell>
          <cell r="N1036">
            <v>44911</v>
          </cell>
        </row>
        <row r="1037">
          <cell r="L1037">
            <v>100</v>
          </cell>
          <cell r="N1037">
            <v>44911</v>
          </cell>
        </row>
        <row r="1038">
          <cell r="L1038">
            <v>100</v>
          </cell>
          <cell r="N1038">
            <v>44911</v>
          </cell>
        </row>
        <row r="1039">
          <cell r="L1039">
            <v>100</v>
          </cell>
          <cell r="N1039">
            <v>44911</v>
          </cell>
        </row>
        <row r="1040">
          <cell r="L1040">
            <v>100</v>
          </cell>
          <cell r="N1040">
            <v>44911</v>
          </cell>
        </row>
        <row r="1041">
          <cell r="L1041">
            <v>100</v>
          </cell>
          <cell r="N1041">
            <v>44911</v>
          </cell>
        </row>
        <row r="1042">
          <cell r="L1042">
            <v>100</v>
          </cell>
          <cell r="N1042">
            <v>44911</v>
          </cell>
        </row>
        <row r="1043">
          <cell r="L1043">
            <v>100</v>
          </cell>
          <cell r="N1043">
            <v>44911</v>
          </cell>
        </row>
        <row r="1044">
          <cell r="L1044">
            <v>100</v>
          </cell>
          <cell r="N1044">
            <v>44824</v>
          </cell>
        </row>
        <row r="1045">
          <cell r="L1045">
            <v>100</v>
          </cell>
          <cell r="N1045">
            <v>44938</v>
          </cell>
        </row>
        <row r="1046">
          <cell r="L1046">
            <v>100</v>
          </cell>
          <cell r="N1046">
            <v>44824</v>
          </cell>
        </row>
        <row r="1047">
          <cell r="L1047">
            <v>100</v>
          </cell>
          <cell r="N1047">
            <v>44824</v>
          </cell>
        </row>
        <row r="1048">
          <cell r="L1048">
            <v>100</v>
          </cell>
          <cell r="N1048">
            <v>44824</v>
          </cell>
        </row>
        <row r="1049">
          <cell r="L1049">
            <v>100</v>
          </cell>
          <cell r="N1049">
            <v>44824</v>
          </cell>
        </row>
        <row r="1050">
          <cell r="L1050">
            <v>100</v>
          </cell>
          <cell r="N1050">
            <v>44824</v>
          </cell>
        </row>
        <row r="1051">
          <cell r="L1051">
            <v>100</v>
          </cell>
          <cell r="N1051">
            <v>44824</v>
          </cell>
        </row>
        <row r="1052">
          <cell r="L1052">
            <v>100</v>
          </cell>
          <cell r="N1052">
            <v>44824</v>
          </cell>
        </row>
        <row r="1053">
          <cell r="L1053">
            <v>100</v>
          </cell>
          <cell r="N1053">
            <v>44913</v>
          </cell>
        </row>
        <row r="1054">
          <cell r="L1054">
            <v>100</v>
          </cell>
          <cell r="N1054">
            <v>44897</v>
          </cell>
        </row>
        <row r="1055">
          <cell r="L1055">
            <v>100</v>
          </cell>
          <cell r="N1055">
            <v>44911</v>
          </cell>
        </row>
        <row r="1056">
          <cell r="L1056">
            <v>100</v>
          </cell>
          <cell r="N1056">
            <v>44911</v>
          </cell>
        </row>
        <row r="1057">
          <cell r="L1057">
            <v>100</v>
          </cell>
          <cell r="N1057">
            <v>44911</v>
          </cell>
        </row>
        <row r="1058">
          <cell r="L1058">
            <v>100</v>
          </cell>
          <cell r="N1058">
            <v>44800</v>
          </cell>
        </row>
        <row r="1059">
          <cell r="L1059">
            <v>100</v>
          </cell>
          <cell r="N1059">
            <v>44911</v>
          </cell>
        </row>
        <row r="1060">
          <cell r="L1060">
            <v>100</v>
          </cell>
          <cell r="N1060">
            <v>44800</v>
          </cell>
        </row>
        <row r="1061">
          <cell r="L1061">
            <v>100</v>
          </cell>
          <cell r="N1061">
            <v>44800</v>
          </cell>
        </row>
        <row r="1062">
          <cell r="L1062">
            <v>100</v>
          </cell>
          <cell r="N1062">
            <v>44800</v>
          </cell>
        </row>
        <row r="1063">
          <cell r="L1063">
            <v>100</v>
          </cell>
          <cell r="N1063">
            <v>44911</v>
          </cell>
        </row>
        <row r="1064">
          <cell r="L1064">
            <v>100</v>
          </cell>
          <cell r="N1064">
            <v>44911</v>
          </cell>
        </row>
        <row r="1065">
          <cell r="L1065">
            <v>100</v>
          </cell>
          <cell r="N1065">
            <v>44911</v>
          </cell>
        </row>
        <row r="1066">
          <cell r="L1066">
            <v>100</v>
          </cell>
          <cell r="N1066">
            <v>44911</v>
          </cell>
        </row>
        <row r="1067">
          <cell r="L1067">
            <v>100</v>
          </cell>
          <cell r="N1067">
            <v>44911</v>
          </cell>
        </row>
        <row r="1068">
          <cell r="L1068">
            <v>100</v>
          </cell>
          <cell r="N1068">
            <v>44911</v>
          </cell>
        </row>
        <row r="1069">
          <cell r="L1069">
            <v>100</v>
          </cell>
          <cell r="N1069">
            <v>44911</v>
          </cell>
        </row>
        <row r="1070">
          <cell r="L1070">
            <v>100</v>
          </cell>
          <cell r="N1070">
            <v>44911</v>
          </cell>
        </row>
        <row r="1071">
          <cell r="L1071">
            <v>100</v>
          </cell>
          <cell r="N1071">
            <v>44911</v>
          </cell>
        </row>
        <row r="1072">
          <cell r="L1072">
            <v>100</v>
          </cell>
          <cell r="N1072">
            <v>44911</v>
          </cell>
        </row>
        <row r="1073">
          <cell r="L1073">
            <v>100</v>
          </cell>
          <cell r="N1073">
            <v>44824</v>
          </cell>
        </row>
        <row r="1074">
          <cell r="L1074">
            <v>100</v>
          </cell>
          <cell r="N1074">
            <v>44824</v>
          </cell>
        </row>
        <row r="1075">
          <cell r="L1075">
            <v>100</v>
          </cell>
          <cell r="N1075">
            <v>44897</v>
          </cell>
        </row>
        <row r="1076">
          <cell r="L1076">
            <v>100</v>
          </cell>
          <cell r="N1076">
            <v>44799</v>
          </cell>
        </row>
        <row r="1077">
          <cell r="L1077">
            <v>100</v>
          </cell>
          <cell r="N1077">
            <v>44799</v>
          </cell>
        </row>
        <row r="1078">
          <cell r="L1078">
            <v>100</v>
          </cell>
          <cell r="N1078">
            <v>44824</v>
          </cell>
        </row>
        <row r="1079">
          <cell r="L1079">
            <v>100</v>
          </cell>
          <cell r="N1079">
            <v>44824</v>
          </cell>
        </row>
        <row r="1080">
          <cell r="L1080">
            <v>100</v>
          </cell>
          <cell r="N1080">
            <v>44824</v>
          </cell>
        </row>
        <row r="1081">
          <cell r="L1081">
            <v>100</v>
          </cell>
          <cell r="N1081">
            <v>44911</v>
          </cell>
        </row>
        <row r="1082">
          <cell r="L1082">
            <v>100</v>
          </cell>
          <cell r="N1082">
            <v>44911</v>
          </cell>
        </row>
        <row r="1083">
          <cell r="L1083">
            <v>100</v>
          </cell>
          <cell r="N1083">
            <v>44911</v>
          </cell>
        </row>
        <row r="1084">
          <cell r="L1084">
            <v>100</v>
          </cell>
          <cell r="N1084">
            <v>44911</v>
          </cell>
        </row>
        <row r="1085">
          <cell r="L1085">
            <v>100</v>
          </cell>
          <cell r="N1085">
            <v>44911</v>
          </cell>
        </row>
        <row r="1086">
          <cell r="L1086">
            <v>100</v>
          </cell>
          <cell r="N1086">
            <v>44911</v>
          </cell>
        </row>
        <row r="1087">
          <cell r="L1087">
            <v>100</v>
          </cell>
          <cell r="N1087">
            <v>44911</v>
          </cell>
        </row>
        <row r="1088">
          <cell r="L1088">
            <v>100</v>
          </cell>
          <cell r="N1088">
            <v>44911</v>
          </cell>
        </row>
        <row r="1089">
          <cell r="L1089">
            <v>100</v>
          </cell>
          <cell r="N1089">
            <v>44911</v>
          </cell>
        </row>
        <row r="1090">
          <cell r="L1090">
            <v>100</v>
          </cell>
          <cell r="N1090">
            <v>44911</v>
          </cell>
        </row>
        <row r="1091">
          <cell r="L1091">
            <v>100</v>
          </cell>
          <cell r="N1091">
            <v>44911</v>
          </cell>
        </row>
        <row r="1092">
          <cell r="L1092">
            <v>100</v>
          </cell>
          <cell r="N1092">
            <v>44911</v>
          </cell>
        </row>
        <row r="1093">
          <cell r="L1093">
            <v>100</v>
          </cell>
          <cell r="N1093">
            <v>44911</v>
          </cell>
        </row>
        <row r="1094">
          <cell r="L1094">
            <v>100</v>
          </cell>
          <cell r="N1094">
            <v>44911</v>
          </cell>
        </row>
        <row r="1095">
          <cell r="L1095">
            <v>100</v>
          </cell>
          <cell r="N1095">
            <v>44911</v>
          </cell>
        </row>
        <row r="1096">
          <cell r="L1096">
            <v>100</v>
          </cell>
          <cell r="N1096">
            <v>44911</v>
          </cell>
        </row>
        <row r="1097">
          <cell r="L1097">
            <v>100</v>
          </cell>
          <cell r="N1097">
            <v>44911</v>
          </cell>
        </row>
        <row r="1098">
          <cell r="L1098">
            <v>100</v>
          </cell>
          <cell r="N1098">
            <v>44911</v>
          </cell>
        </row>
        <row r="1099">
          <cell r="L1099">
            <v>100</v>
          </cell>
          <cell r="N1099">
            <v>44911</v>
          </cell>
        </row>
        <row r="1100">
          <cell r="L1100">
            <v>100</v>
          </cell>
          <cell r="N1100">
            <v>44911</v>
          </cell>
        </row>
        <row r="1101">
          <cell r="L1101">
            <v>100</v>
          </cell>
          <cell r="N1101">
            <v>44911</v>
          </cell>
        </row>
        <row r="1102">
          <cell r="L1102">
            <v>100</v>
          </cell>
          <cell r="N1102">
            <v>44911</v>
          </cell>
        </row>
        <row r="1103">
          <cell r="L1103">
            <v>100</v>
          </cell>
          <cell r="N1103">
            <v>44911</v>
          </cell>
        </row>
        <row r="1104">
          <cell r="L1104">
            <v>100</v>
          </cell>
          <cell r="N1104">
            <v>44911</v>
          </cell>
        </row>
        <row r="1105">
          <cell r="L1105">
            <v>100</v>
          </cell>
          <cell r="N1105">
            <v>44911</v>
          </cell>
        </row>
        <row r="1106">
          <cell r="L1106">
            <v>100</v>
          </cell>
          <cell r="N1106">
            <v>44911</v>
          </cell>
        </row>
        <row r="1107">
          <cell r="L1107">
            <v>100</v>
          </cell>
          <cell r="N1107">
            <v>44911</v>
          </cell>
        </row>
        <row r="1108">
          <cell r="L1108">
            <v>100</v>
          </cell>
          <cell r="N1108">
            <v>44911</v>
          </cell>
        </row>
        <row r="1109">
          <cell r="L1109">
            <v>100</v>
          </cell>
          <cell r="N1109">
            <v>44911</v>
          </cell>
        </row>
        <row r="1110">
          <cell r="L1110">
            <v>100</v>
          </cell>
          <cell r="N1110">
            <v>44911</v>
          </cell>
        </row>
        <row r="1111">
          <cell r="L1111">
            <v>100</v>
          </cell>
          <cell r="N1111">
            <v>44911</v>
          </cell>
        </row>
        <row r="1112">
          <cell r="L1112">
            <v>100</v>
          </cell>
          <cell r="N1112">
            <v>44911</v>
          </cell>
        </row>
        <row r="1113">
          <cell r="L1113">
            <v>100</v>
          </cell>
          <cell r="N1113">
            <v>44911</v>
          </cell>
        </row>
        <row r="1114">
          <cell r="L1114">
            <v>100</v>
          </cell>
          <cell r="N1114">
            <v>44911</v>
          </cell>
        </row>
        <row r="1115">
          <cell r="L1115">
            <v>100</v>
          </cell>
          <cell r="N1115">
            <v>44913</v>
          </cell>
        </row>
        <row r="1116">
          <cell r="L1116">
            <v>100</v>
          </cell>
          <cell r="N1116"/>
        </row>
        <row r="1117">
          <cell r="L1117">
            <v>100</v>
          </cell>
          <cell r="N1117"/>
        </row>
        <row r="1118">
          <cell r="L1118">
            <v>100</v>
          </cell>
          <cell r="N1118"/>
        </row>
        <row r="1119">
          <cell r="L1119">
            <v>100</v>
          </cell>
          <cell r="N1119"/>
        </row>
        <row r="1120">
          <cell r="L1120">
            <v>100</v>
          </cell>
          <cell r="N1120"/>
        </row>
        <row r="1121">
          <cell r="L1121">
            <v>100</v>
          </cell>
          <cell r="N1121"/>
        </row>
        <row r="1122">
          <cell r="L1122">
            <v>100</v>
          </cell>
          <cell r="N1122"/>
        </row>
        <row r="1123">
          <cell r="L1123">
            <v>100</v>
          </cell>
          <cell r="N1123"/>
        </row>
        <row r="1124">
          <cell r="L1124">
            <v>100</v>
          </cell>
          <cell r="N1124"/>
        </row>
        <row r="1125">
          <cell r="L1125">
            <v>100</v>
          </cell>
          <cell r="N1125">
            <v>44897</v>
          </cell>
        </row>
        <row r="1126">
          <cell r="L1126">
            <v>100</v>
          </cell>
          <cell r="N1126">
            <v>44897</v>
          </cell>
        </row>
        <row r="1127">
          <cell r="L1127">
            <v>100</v>
          </cell>
          <cell r="N1127">
            <v>44897</v>
          </cell>
        </row>
        <row r="1128">
          <cell r="L1128">
            <v>100</v>
          </cell>
          <cell r="N1128">
            <v>44902</v>
          </cell>
        </row>
        <row r="1129">
          <cell r="L1129">
            <v>100</v>
          </cell>
          <cell r="N1129">
            <v>44902</v>
          </cell>
        </row>
        <row r="1130">
          <cell r="L1130">
            <v>100</v>
          </cell>
          <cell r="N1130">
            <v>44879</v>
          </cell>
        </row>
        <row r="1131">
          <cell r="L1131">
            <v>100</v>
          </cell>
          <cell r="N1131">
            <v>44879</v>
          </cell>
        </row>
        <row r="1132">
          <cell r="L1132">
            <v>100</v>
          </cell>
          <cell r="N1132">
            <v>44879</v>
          </cell>
        </row>
        <row r="1133">
          <cell r="L1133">
            <v>100</v>
          </cell>
          <cell r="N1133">
            <v>44879</v>
          </cell>
        </row>
        <row r="1134">
          <cell r="L1134">
            <v>100</v>
          </cell>
          <cell r="N1134">
            <v>44879</v>
          </cell>
        </row>
        <row r="1135">
          <cell r="L1135">
            <v>100</v>
          </cell>
          <cell r="N1135">
            <v>44833</v>
          </cell>
        </row>
        <row r="1136">
          <cell r="L1136">
            <v>100</v>
          </cell>
          <cell r="N1136"/>
        </row>
        <row r="1137">
          <cell r="L1137">
            <v>100</v>
          </cell>
          <cell r="N1137"/>
        </row>
        <row r="1138">
          <cell r="L1138">
            <v>100</v>
          </cell>
          <cell r="N1138"/>
        </row>
        <row r="1139">
          <cell r="L1139">
            <v>100</v>
          </cell>
          <cell r="N1139"/>
        </row>
        <row r="1140">
          <cell r="L1140">
            <v>100</v>
          </cell>
          <cell r="N1140">
            <v>44902</v>
          </cell>
        </row>
        <row r="1141">
          <cell r="L1141">
            <v>100</v>
          </cell>
          <cell r="N1141">
            <v>44913</v>
          </cell>
        </row>
        <row r="1142">
          <cell r="L1142">
            <v>100</v>
          </cell>
          <cell r="N1142">
            <v>44913</v>
          </cell>
        </row>
        <row r="1143">
          <cell r="L1143">
            <v>100</v>
          </cell>
          <cell r="N1143">
            <v>44913</v>
          </cell>
        </row>
        <row r="1144">
          <cell r="L1144">
            <v>100</v>
          </cell>
          <cell r="N1144">
            <v>44900</v>
          </cell>
        </row>
        <row r="1145">
          <cell r="L1145">
            <v>100</v>
          </cell>
          <cell r="N1145">
            <v>44900</v>
          </cell>
        </row>
        <row r="1146">
          <cell r="L1146">
            <v>100</v>
          </cell>
          <cell r="N1146">
            <v>44913</v>
          </cell>
        </row>
        <row r="1147">
          <cell r="L1147">
            <v>100</v>
          </cell>
          <cell r="N1147">
            <v>44913</v>
          </cell>
        </row>
        <row r="1148">
          <cell r="L1148">
            <v>100</v>
          </cell>
          <cell r="N1148">
            <v>44900</v>
          </cell>
        </row>
        <row r="1149">
          <cell r="L1149">
            <v>100</v>
          </cell>
          <cell r="N1149">
            <v>44900</v>
          </cell>
        </row>
        <row r="1150">
          <cell r="L1150">
            <v>100</v>
          </cell>
          <cell r="N1150">
            <v>44900</v>
          </cell>
        </row>
        <row r="1151">
          <cell r="L1151">
            <v>100</v>
          </cell>
          <cell r="N1151">
            <v>44900</v>
          </cell>
        </row>
        <row r="1152">
          <cell r="L1152">
            <v>100</v>
          </cell>
          <cell r="N1152">
            <v>44900</v>
          </cell>
        </row>
        <row r="1153">
          <cell r="L1153">
            <v>100</v>
          </cell>
          <cell r="N1153">
            <v>44913</v>
          </cell>
        </row>
        <row r="1154">
          <cell r="L1154">
            <v>100</v>
          </cell>
          <cell r="N1154">
            <v>44913</v>
          </cell>
        </row>
        <row r="1155">
          <cell r="L1155">
            <v>100</v>
          </cell>
          <cell r="N1155">
            <v>44833</v>
          </cell>
        </row>
        <row r="1156">
          <cell r="L1156">
            <v>100</v>
          </cell>
          <cell r="N1156"/>
        </row>
        <row r="1157">
          <cell r="L1157">
            <v>100</v>
          </cell>
          <cell r="N1157">
            <v>44827</v>
          </cell>
        </row>
        <row r="1158">
          <cell r="L1158">
            <v>100</v>
          </cell>
          <cell r="N1158">
            <v>44841</v>
          </cell>
        </row>
        <row r="1159">
          <cell r="L1159">
            <v>100</v>
          </cell>
          <cell r="N1159">
            <v>44841</v>
          </cell>
        </row>
        <row r="1160">
          <cell r="L1160">
            <v>100</v>
          </cell>
          <cell r="N1160">
            <v>44901</v>
          </cell>
        </row>
        <row r="1161">
          <cell r="L1161">
            <v>100</v>
          </cell>
          <cell r="N1161">
            <v>44901</v>
          </cell>
        </row>
        <row r="1162">
          <cell r="L1162">
            <v>100</v>
          </cell>
          <cell r="N1162">
            <v>44901</v>
          </cell>
        </row>
        <row r="1163">
          <cell r="L1163">
            <v>100</v>
          </cell>
          <cell r="N1163">
            <v>44901</v>
          </cell>
        </row>
        <row r="1164">
          <cell r="L1164">
            <v>100</v>
          </cell>
          <cell r="N1164">
            <v>44901</v>
          </cell>
        </row>
        <row r="1165">
          <cell r="L1165">
            <v>100</v>
          </cell>
          <cell r="N1165">
            <v>44901</v>
          </cell>
        </row>
        <row r="1166">
          <cell r="L1166">
            <v>100</v>
          </cell>
          <cell r="N1166">
            <v>44901</v>
          </cell>
        </row>
        <row r="1167">
          <cell r="L1167">
            <v>100</v>
          </cell>
          <cell r="N1167">
            <v>44901</v>
          </cell>
        </row>
        <row r="1168">
          <cell r="L1168">
            <v>100</v>
          </cell>
          <cell r="N1168">
            <v>44901</v>
          </cell>
        </row>
        <row r="1169">
          <cell r="L1169">
            <v>100</v>
          </cell>
          <cell r="N1169">
            <v>44901</v>
          </cell>
        </row>
        <row r="1170">
          <cell r="L1170">
            <v>100</v>
          </cell>
          <cell r="N1170"/>
        </row>
        <row r="1171">
          <cell r="L1171">
            <v>100</v>
          </cell>
          <cell r="N1171">
            <v>44901</v>
          </cell>
        </row>
        <row r="1172">
          <cell r="L1172">
            <v>100</v>
          </cell>
          <cell r="N1172">
            <v>44896</v>
          </cell>
        </row>
        <row r="1173">
          <cell r="L1173">
            <v>100</v>
          </cell>
          <cell r="N1173">
            <v>44896</v>
          </cell>
        </row>
        <row r="1174">
          <cell r="L1174">
            <v>100</v>
          </cell>
          <cell r="N1174">
            <v>44896</v>
          </cell>
        </row>
        <row r="1175">
          <cell r="L1175">
            <v>100</v>
          </cell>
          <cell r="N1175"/>
        </row>
        <row r="1176">
          <cell r="L1176">
            <v>100</v>
          </cell>
          <cell r="N1176"/>
        </row>
        <row r="1177">
          <cell r="L1177">
            <v>100</v>
          </cell>
          <cell r="N1177"/>
        </row>
        <row r="1178">
          <cell r="L1178">
            <v>100</v>
          </cell>
          <cell r="N1178"/>
        </row>
        <row r="1179">
          <cell r="L1179">
            <v>100</v>
          </cell>
          <cell r="N1179"/>
        </row>
        <row r="1180">
          <cell r="L1180">
            <v>100</v>
          </cell>
          <cell r="N1180"/>
        </row>
        <row r="1181">
          <cell r="L1181">
            <v>100</v>
          </cell>
          <cell r="N1181"/>
        </row>
        <row r="1182">
          <cell r="L1182">
            <v>100</v>
          </cell>
          <cell r="N1182">
            <v>44833</v>
          </cell>
        </row>
        <row r="1183">
          <cell r="L1183">
            <v>100</v>
          </cell>
          <cell r="N1183">
            <v>44833</v>
          </cell>
        </row>
        <row r="1184">
          <cell r="L1184">
            <v>100</v>
          </cell>
          <cell r="N1184">
            <v>44839</v>
          </cell>
        </row>
        <row r="1185">
          <cell r="L1185">
            <v>100</v>
          </cell>
          <cell r="N1185">
            <v>44839</v>
          </cell>
        </row>
        <row r="1186">
          <cell r="L1186">
            <v>100</v>
          </cell>
          <cell r="N1186"/>
        </row>
        <row r="1187">
          <cell r="L1187">
            <v>100</v>
          </cell>
          <cell r="N1187"/>
        </row>
        <row r="1188">
          <cell r="L1188">
            <v>100</v>
          </cell>
          <cell r="N1188"/>
        </row>
        <row r="1189">
          <cell r="L1189">
            <v>100</v>
          </cell>
          <cell r="N1189"/>
        </row>
        <row r="1190">
          <cell r="L1190">
            <v>100</v>
          </cell>
          <cell r="N1190">
            <v>44913</v>
          </cell>
        </row>
        <row r="1191">
          <cell r="L1191">
            <v>100</v>
          </cell>
          <cell r="N1191"/>
        </row>
        <row r="1192">
          <cell r="L1192">
            <v>100</v>
          </cell>
          <cell r="N1192"/>
        </row>
        <row r="1193">
          <cell r="L1193">
            <v>100</v>
          </cell>
          <cell r="N1193">
            <v>44898</v>
          </cell>
        </row>
        <row r="1194">
          <cell r="L1194">
            <v>100</v>
          </cell>
          <cell r="N1194">
            <v>44898</v>
          </cell>
        </row>
        <row r="1195">
          <cell r="L1195">
            <v>100</v>
          </cell>
          <cell r="N1195">
            <v>44898</v>
          </cell>
        </row>
        <row r="1196">
          <cell r="L1196">
            <v>100</v>
          </cell>
          <cell r="N1196">
            <v>44898</v>
          </cell>
        </row>
        <row r="1197">
          <cell r="L1197">
            <v>100</v>
          </cell>
          <cell r="N1197">
            <v>44898</v>
          </cell>
        </row>
        <row r="1198">
          <cell r="L1198">
            <v>100</v>
          </cell>
          <cell r="N1198">
            <v>44898</v>
          </cell>
        </row>
        <row r="1199">
          <cell r="L1199">
            <v>100</v>
          </cell>
          <cell r="N1199">
            <v>44956</v>
          </cell>
        </row>
        <row r="1200">
          <cell r="L1200">
            <v>100</v>
          </cell>
          <cell r="N1200">
            <v>44907</v>
          </cell>
        </row>
        <row r="1201">
          <cell r="L1201">
            <v>100</v>
          </cell>
          <cell r="N1201">
            <v>44956</v>
          </cell>
        </row>
        <row r="1202">
          <cell r="L1202">
            <v>100</v>
          </cell>
          <cell r="N1202">
            <v>44907</v>
          </cell>
        </row>
        <row r="1203">
          <cell r="L1203">
            <v>100</v>
          </cell>
          <cell r="N1203">
            <v>44956</v>
          </cell>
        </row>
        <row r="1204">
          <cell r="L1204">
            <v>100</v>
          </cell>
          <cell r="N1204">
            <v>44907</v>
          </cell>
        </row>
        <row r="1205">
          <cell r="L1205">
            <v>100</v>
          </cell>
          <cell r="N1205">
            <v>44901</v>
          </cell>
        </row>
        <row r="1206">
          <cell r="L1206">
            <v>100</v>
          </cell>
          <cell r="N1206">
            <v>44901</v>
          </cell>
        </row>
        <row r="1207">
          <cell r="L1207">
            <v>100</v>
          </cell>
          <cell r="N1207">
            <v>44956</v>
          </cell>
        </row>
        <row r="1208">
          <cell r="L1208">
            <v>100</v>
          </cell>
          <cell r="N1208">
            <v>44896</v>
          </cell>
        </row>
        <row r="1209">
          <cell r="L1209">
            <v>100</v>
          </cell>
          <cell r="N1209">
            <v>44901</v>
          </cell>
        </row>
        <row r="1210">
          <cell r="L1210">
            <v>100</v>
          </cell>
          <cell r="N1210">
            <v>44901</v>
          </cell>
        </row>
        <row r="1211">
          <cell r="L1211">
            <v>100</v>
          </cell>
          <cell r="N1211">
            <v>44956</v>
          </cell>
        </row>
        <row r="1212">
          <cell r="L1212">
            <v>100</v>
          </cell>
          <cell r="N1212">
            <v>44896</v>
          </cell>
        </row>
        <row r="1213">
          <cell r="L1213">
            <v>100</v>
          </cell>
          <cell r="N1213"/>
        </row>
        <row r="1214">
          <cell r="L1214">
            <v>100</v>
          </cell>
          <cell r="N1214"/>
        </row>
        <row r="1215">
          <cell r="L1215">
            <v>100</v>
          </cell>
          <cell r="N1215"/>
        </row>
        <row r="1216">
          <cell r="L1216">
            <v>100</v>
          </cell>
          <cell r="N1216"/>
        </row>
        <row r="1217">
          <cell r="L1217">
            <v>100</v>
          </cell>
          <cell r="N1217"/>
        </row>
        <row r="1218">
          <cell r="L1218">
            <v>100</v>
          </cell>
          <cell r="N1218">
            <v>44902</v>
          </cell>
        </row>
        <row r="1219">
          <cell r="L1219">
            <v>100</v>
          </cell>
          <cell r="N1219">
            <v>44902</v>
          </cell>
        </row>
        <row r="1220">
          <cell r="L1220">
            <v>100</v>
          </cell>
          <cell r="N1220">
            <v>44818</v>
          </cell>
        </row>
        <row r="1221">
          <cell r="L1221">
            <v>100</v>
          </cell>
          <cell r="N1221">
            <v>44818</v>
          </cell>
        </row>
        <row r="1222">
          <cell r="L1222">
            <v>100</v>
          </cell>
          <cell r="N1222">
            <v>44818</v>
          </cell>
        </row>
        <row r="1223">
          <cell r="L1223">
            <v>100</v>
          </cell>
          <cell r="N1223"/>
        </row>
        <row r="1224">
          <cell r="L1224">
            <v>100</v>
          </cell>
          <cell r="N1224"/>
        </row>
        <row r="1225">
          <cell r="L1225">
            <v>100</v>
          </cell>
          <cell r="N1225"/>
        </row>
        <row r="1226">
          <cell r="L1226">
            <v>100</v>
          </cell>
          <cell r="N1226"/>
        </row>
        <row r="1227">
          <cell r="L1227">
            <v>100</v>
          </cell>
          <cell r="N1227"/>
        </row>
        <row r="1228">
          <cell r="L1228">
            <v>100</v>
          </cell>
          <cell r="N1228"/>
        </row>
        <row r="1229">
          <cell r="L1229">
            <v>100</v>
          </cell>
          <cell r="N1229"/>
        </row>
        <row r="1230">
          <cell r="L1230">
            <v>100</v>
          </cell>
          <cell r="N1230"/>
        </row>
        <row r="1231">
          <cell r="L1231">
            <v>100</v>
          </cell>
          <cell r="N1231"/>
        </row>
        <row r="1232">
          <cell r="L1232">
            <v>100</v>
          </cell>
          <cell r="N1232"/>
        </row>
        <row r="1233">
          <cell r="L1233">
            <v>100</v>
          </cell>
          <cell r="N1233"/>
        </row>
        <row r="1234">
          <cell r="L1234">
            <v>100</v>
          </cell>
          <cell r="N1234">
            <v>44893</v>
          </cell>
        </row>
        <row r="1235">
          <cell r="L1235">
            <v>100</v>
          </cell>
          <cell r="N1235">
            <v>44893</v>
          </cell>
        </row>
        <row r="1236">
          <cell r="L1236">
            <v>100</v>
          </cell>
          <cell r="N1236">
            <v>44893</v>
          </cell>
        </row>
        <row r="1237">
          <cell r="L1237">
            <v>100</v>
          </cell>
          <cell r="N1237">
            <v>44902</v>
          </cell>
        </row>
        <row r="1238">
          <cell r="L1238">
            <v>100</v>
          </cell>
          <cell r="N1238">
            <v>44902</v>
          </cell>
        </row>
        <row r="1239">
          <cell r="L1239">
            <v>100</v>
          </cell>
          <cell r="N1239">
            <v>44902</v>
          </cell>
        </row>
        <row r="1240">
          <cell r="L1240">
            <v>100</v>
          </cell>
          <cell r="N1240">
            <v>44902</v>
          </cell>
        </row>
        <row r="1241">
          <cell r="L1241">
            <v>100</v>
          </cell>
          <cell r="N1241">
            <v>44902</v>
          </cell>
        </row>
        <row r="1242">
          <cell r="L1242">
            <v>100</v>
          </cell>
          <cell r="N1242">
            <v>44902</v>
          </cell>
        </row>
        <row r="1243">
          <cell r="L1243">
            <v>100</v>
          </cell>
          <cell r="N1243">
            <v>44902</v>
          </cell>
        </row>
        <row r="1244">
          <cell r="L1244">
            <v>100</v>
          </cell>
          <cell r="N1244">
            <v>44902</v>
          </cell>
        </row>
        <row r="1245">
          <cell r="L1245">
            <v>100</v>
          </cell>
          <cell r="N1245">
            <v>44902</v>
          </cell>
        </row>
        <row r="1246">
          <cell r="L1246">
            <v>100</v>
          </cell>
          <cell r="N1246">
            <v>44902</v>
          </cell>
        </row>
        <row r="1247">
          <cell r="L1247">
            <v>100</v>
          </cell>
          <cell r="N1247">
            <v>44902</v>
          </cell>
        </row>
        <row r="1248">
          <cell r="L1248">
            <v>100</v>
          </cell>
          <cell r="N1248">
            <v>44902</v>
          </cell>
        </row>
        <row r="1249">
          <cell r="L1249">
            <v>100</v>
          </cell>
          <cell r="N1249">
            <v>44806</v>
          </cell>
        </row>
        <row r="1250">
          <cell r="L1250">
            <v>100</v>
          </cell>
          <cell r="N1250">
            <v>44781</v>
          </cell>
        </row>
        <row r="1251">
          <cell r="L1251">
            <v>100</v>
          </cell>
          <cell r="N1251">
            <v>44781</v>
          </cell>
        </row>
        <row r="1252">
          <cell r="L1252">
            <v>100</v>
          </cell>
          <cell r="N1252">
            <v>44781</v>
          </cell>
        </row>
        <row r="1253">
          <cell r="L1253">
            <v>100</v>
          </cell>
          <cell r="N1253">
            <v>44781</v>
          </cell>
        </row>
        <row r="1254">
          <cell r="L1254">
            <v>100</v>
          </cell>
          <cell r="N1254">
            <v>44781</v>
          </cell>
        </row>
        <row r="1255">
          <cell r="L1255">
            <v>100</v>
          </cell>
          <cell r="N1255">
            <v>44781</v>
          </cell>
        </row>
        <row r="1256">
          <cell r="L1256">
            <v>100</v>
          </cell>
          <cell r="N1256">
            <v>44961</v>
          </cell>
        </row>
        <row r="1257">
          <cell r="L1257">
            <v>100</v>
          </cell>
          <cell r="N1257">
            <v>44961</v>
          </cell>
        </row>
        <row r="1258">
          <cell r="L1258">
            <v>100</v>
          </cell>
          <cell r="N1258">
            <v>44961</v>
          </cell>
        </row>
        <row r="1259">
          <cell r="L1259">
            <v>100</v>
          </cell>
          <cell r="N1259">
            <v>44961</v>
          </cell>
        </row>
        <row r="1260">
          <cell r="L1260">
            <v>100</v>
          </cell>
          <cell r="N1260">
            <v>44961</v>
          </cell>
        </row>
        <row r="1261">
          <cell r="L1261">
            <v>100</v>
          </cell>
          <cell r="N1261">
            <v>44961</v>
          </cell>
        </row>
        <row r="1262">
          <cell r="L1262">
            <v>100</v>
          </cell>
          <cell r="N1262">
            <v>44961</v>
          </cell>
        </row>
        <row r="1263">
          <cell r="L1263">
            <v>100</v>
          </cell>
          <cell r="N1263">
            <v>44830</v>
          </cell>
        </row>
        <row r="1264">
          <cell r="L1264">
            <v>100</v>
          </cell>
          <cell r="N1264">
            <v>44830</v>
          </cell>
        </row>
        <row r="1265">
          <cell r="L1265">
            <v>100</v>
          </cell>
          <cell r="N1265">
            <v>44830</v>
          </cell>
        </row>
        <row r="1266">
          <cell r="L1266">
            <v>100</v>
          </cell>
          <cell r="N1266">
            <v>44783</v>
          </cell>
        </row>
        <row r="1267">
          <cell r="L1267">
            <v>100</v>
          </cell>
          <cell r="N1267">
            <v>44783</v>
          </cell>
        </row>
        <row r="1268">
          <cell r="L1268">
            <v>100</v>
          </cell>
          <cell r="N1268">
            <v>44795</v>
          </cell>
        </row>
        <row r="1269">
          <cell r="L1269">
            <v>100</v>
          </cell>
          <cell r="N1269">
            <v>44801</v>
          </cell>
        </row>
        <row r="1270">
          <cell r="L1270">
            <v>100</v>
          </cell>
          <cell r="N1270">
            <v>44801</v>
          </cell>
        </row>
        <row r="1271">
          <cell r="L1271">
            <v>100</v>
          </cell>
          <cell r="N1271">
            <v>44801</v>
          </cell>
        </row>
        <row r="1272">
          <cell r="L1272">
            <v>100</v>
          </cell>
          <cell r="N1272">
            <v>44801</v>
          </cell>
        </row>
        <row r="1273">
          <cell r="L1273">
            <v>100</v>
          </cell>
          <cell r="N1273">
            <v>44801</v>
          </cell>
        </row>
        <row r="1274">
          <cell r="L1274">
            <v>100</v>
          </cell>
          <cell r="N1274">
            <v>44830</v>
          </cell>
        </row>
        <row r="1275">
          <cell r="L1275">
            <v>100</v>
          </cell>
          <cell r="N1275">
            <v>44736</v>
          </cell>
        </row>
        <row r="1276">
          <cell r="L1276">
            <v>100</v>
          </cell>
          <cell r="N1276">
            <v>44736</v>
          </cell>
        </row>
        <row r="1277">
          <cell r="L1277">
            <v>100</v>
          </cell>
          <cell r="N1277">
            <v>44795</v>
          </cell>
        </row>
        <row r="1278">
          <cell r="L1278">
            <v>100</v>
          </cell>
          <cell r="N1278">
            <v>44799</v>
          </cell>
        </row>
        <row r="1279">
          <cell r="L1279">
            <v>100</v>
          </cell>
          <cell r="N1279">
            <v>44799</v>
          </cell>
        </row>
        <row r="1280">
          <cell r="L1280">
            <v>100</v>
          </cell>
          <cell r="N1280">
            <v>44799</v>
          </cell>
        </row>
        <row r="1281">
          <cell r="L1281">
            <v>100</v>
          </cell>
          <cell r="N1281">
            <v>44799</v>
          </cell>
        </row>
        <row r="1282">
          <cell r="L1282">
            <v>100</v>
          </cell>
          <cell r="N1282">
            <v>44757</v>
          </cell>
        </row>
        <row r="1283">
          <cell r="L1283">
            <v>100</v>
          </cell>
          <cell r="N1283">
            <v>44902</v>
          </cell>
        </row>
        <row r="1284">
          <cell r="L1284">
            <v>100</v>
          </cell>
          <cell r="N1284">
            <v>44902</v>
          </cell>
        </row>
        <row r="1285">
          <cell r="L1285">
            <v>100</v>
          </cell>
          <cell r="N1285">
            <v>44902</v>
          </cell>
        </row>
        <row r="1286">
          <cell r="L1286">
            <v>100</v>
          </cell>
          <cell r="N1286">
            <v>44902</v>
          </cell>
        </row>
        <row r="1287">
          <cell r="L1287">
            <v>100</v>
          </cell>
          <cell r="N1287">
            <v>44902</v>
          </cell>
        </row>
        <row r="1288">
          <cell r="L1288">
            <v>100</v>
          </cell>
          <cell r="N1288">
            <v>44902</v>
          </cell>
        </row>
        <row r="1289">
          <cell r="L1289">
            <v>100</v>
          </cell>
          <cell r="N1289">
            <v>44902</v>
          </cell>
        </row>
        <row r="1290">
          <cell r="L1290">
            <v>100</v>
          </cell>
          <cell r="N1290">
            <v>44902</v>
          </cell>
        </row>
        <row r="1291">
          <cell r="L1291">
            <v>100</v>
          </cell>
          <cell r="N1291">
            <v>44902</v>
          </cell>
        </row>
        <row r="1292">
          <cell r="L1292">
            <v>100</v>
          </cell>
          <cell r="N1292">
            <v>44902</v>
          </cell>
        </row>
        <row r="1293">
          <cell r="L1293">
            <v>100</v>
          </cell>
          <cell r="N1293">
            <v>44902</v>
          </cell>
        </row>
        <row r="1294">
          <cell r="L1294">
            <v>100</v>
          </cell>
          <cell r="N1294">
            <v>44902</v>
          </cell>
        </row>
        <row r="1295">
          <cell r="L1295">
            <v>100</v>
          </cell>
          <cell r="N1295">
            <v>44961</v>
          </cell>
        </row>
        <row r="1296">
          <cell r="L1296">
            <v>100</v>
          </cell>
          <cell r="N1296">
            <v>44961</v>
          </cell>
        </row>
        <row r="1297">
          <cell r="L1297">
            <v>100</v>
          </cell>
          <cell r="N1297">
            <v>44961</v>
          </cell>
        </row>
        <row r="1298">
          <cell r="L1298">
            <v>100</v>
          </cell>
          <cell r="N1298">
            <v>44961</v>
          </cell>
        </row>
        <row r="1299">
          <cell r="L1299">
            <v>100</v>
          </cell>
          <cell r="N1299">
            <v>44895</v>
          </cell>
        </row>
        <row r="1300">
          <cell r="L1300">
            <v>100</v>
          </cell>
          <cell r="N1300">
            <v>44895</v>
          </cell>
        </row>
        <row r="1301">
          <cell r="L1301">
            <v>100</v>
          </cell>
          <cell r="N1301">
            <v>44895</v>
          </cell>
        </row>
        <row r="1302">
          <cell r="L1302">
            <v>100</v>
          </cell>
          <cell r="N1302">
            <v>44895</v>
          </cell>
        </row>
        <row r="1303">
          <cell r="L1303">
            <v>100</v>
          </cell>
          <cell r="N1303">
            <v>44580</v>
          </cell>
        </row>
        <row r="1304">
          <cell r="L1304">
            <v>100</v>
          </cell>
          <cell r="N1304">
            <v>44580</v>
          </cell>
        </row>
        <row r="1305">
          <cell r="L1305">
            <v>100</v>
          </cell>
          <cell r="N1305">
            <v>44580</v>
          </cell>
        </row>
        <row r="1306">
          <cell r="L1306">
            <v>100</v>
          </cell>
          <cell r="N1306">
            <v>44580</v>
          </cell>
        </row>
        <row r="1307">
          <cell r="L1307">
            <v>100</v>
          </cell>
          <cell r="N1307">
            <v>44727</v>
          </cell>
        </row>
        <row r="1308">
          <cell r="L1308">
            <v>100</v>
          </cell>
          <cell r="N1308">
            <v>44727</v>
          </cell>
        </row>
        <row r="1309">
          <cell r="L1309">
            <v>100</v>
          </cell>
          <cell r="N1309">
            <v>44727</v>
          </cell>
        </row>
        <row r="1310">
          <cell r="L1310">
            <v>100</v>
          </cell>
          <cell r="N1310">
            <v>44727</v>
          </cell>
        </row>
        <row r="1311">
          <cell r="L1311">
            <v>100</v>
          </cell>
          <cell r="N1311">
            <v>44727</v>
          </cell>
        </row>
        <row r="1312">
          <cell r="L1312">
            <v>100</v>
          </cell>
          <cell r="N1312">
            <v>44727</v>
          </cell>
        </row>
        <row r="1313">
          <cell r="L1313">
            <v>100</v>
          </cell>
          <cell r="N1313"/>
        </row>
        <row r="1314">
          <cell r="L1314">
            <v>100</v>
          </cell>
          <cell r="N1314"/>
        </row>
        <row r="1315">
          <cell r="L1315">
            <v>100</v>
          </cell>
          <cell r="N1315">
            <v>44898</v>
          </cell>
        </row>
        <row r="1316">
          <cell r="L1316">
            <v>100</v>
          </cell>
          <cell r="N1316">
            <v>44898</v>
          </cell>
        </row>
        <row r="1317">
          <cell r="L1317">
            <v>100</v>
          </cell>
          <cell r="N1317">
            <v>44898</v>
          </cell>
        </row>
        <row r="1318">
          <cell r="L1318">
            <v>100</v>
          </cell>
          <cell r="N1318">
            <v>44895</v>
          </cell>
        </row>
        <row r="1319">
          <cell r="L1319">
            <v>100</v>
          </cell>
          <cell r="N1319">
            <v>44578</v>
          </cell>
        </row>
        <row r="1320">
          <cell r="L1320">
            <v>100</v>
          </cell>
          <cell r="N1320">
            <v>44898</v>
          </cell>
        </row>
        <row r="1321">
          <cell r="L1321">
            <v>100</v>
          </cell>
          <cell r="N1321">
            <v>44898</v>
          </cell>
        </row>
        <row r="1322">
          <cell r="L1322">
            <v>100</v>
          </cell>
          <cell r="N1322"/>
        </row>
        <row r="1323">
          <cell r="L1323">
            <v>100</v>
          </cell>
          <cell r="N1323"/>
        </row>
        <row r="1324">
          <cell r="L1324">
            <v>100</v>
          </cell>
          <cell r="N1324"/>
        </row>
        <row r="1325">
          <cell r="L1325">
            <v>100</v>
          </cell>
          <cell r="N1325"/>
        </row>
        <row r="1326">
          <cell r="L1326">
            <v>100</v>
          </cell>
          <cell r="N1326"/>
        </row>
        <row r="1327">
          <cell r="L1327">
            <v>100</v>
          </cell>
          <cell r="N1327"/>
        </row>
        <row r="1328">
          <cell r="L1328">
            <v>100</v>
          </cell>
          <cell r="N1328">
            <v>44898</v>
          </cell>
        </row>
        <row r="1329">
          <cell r="L1329">
            <v>100</v>
          </cell>
          <cell r="N1329">
            <v>44740</v>
          </cell>
        </row>
        <row r="1330">
          <cell r="L1330">
            <v>100</v>
          </cell>
          <cell r="N1330">
            <v>44740</v>
          </cell>
        </row>
        <row r="1331">
          <cell r="L1331">
            <v>100</v>
          </cell>
          <cell r="N1331">
            <v>44740</v>
          </cell>
        </row>
        <row r="1332">
          <cell r="L1332">
            <v>100</v>
          </cell>
          <cell r="N1332">
            <v>44740</v>
          </cell>
        </row>
        <row r="1333">
          <cell r="L1333">
            <v>100</v>
          </cell>
          <cell r="N1333">
            <v>44740</v>
          </cell>
        </row>
        <row r="1334">
          <cell r="L1334">
            <v>100</v>
          </cell>
          <cell r="N1334">
            <v>44580</v>
          </cell>
        </row>
        <row r="1335">
          <cell r="L1335">
            <v>100</v>
          </cell>
          <cell r="N1335">
            <v>44580</v>
          </cell>
        </row>
        <row r="1336">
          <cell r="L1336">
            <v>100</v>
          </cell>
          <cell r="N1336">
            <v>44580</v>
          </cell>
        </row>
        <row r="1337">
          <cell r="L1337">
            <v>100</v>
          </cell>
          <cell r="N1337">
            <v>44895</v>
          </cell>
        </row>
        <row r="1338">
          <cell r="L1338">
            <v>100</v>
          </cell>
          <cell r="N1338">
            <v>44895</v>
          </cell>
        </row>
        <row r="1339">
          <cell r="L1339">
            <v>100</v>
          </cell>
          <cell r="N1339">
            <v>44574</v>
          </cell>
        </row>
        <row r="1340">
          <cell r="L1340">
            <v>100</v>
          </cell>
          <cell r="N1340">
            <v>44575</v>
          </cell>
        </row>
        <row r="1341">
          <cell r="L1341">
            <v>100</v>
          </cell>
          <cell r="N1341">
            <v>44580</v>
          </cell>
        </row>
        <row r="1342">
          <cell r="L1342">
            <v>100</v>
          </cell>
          <cell r="N1342">
            <v>44895</v>
          </cell>
        </row>
        <row r="1343">
          <cell r="L1343">
            <v>100</v>
          </cell>
          <cell r="N1343">
            <v>44895</v>
          </cell>
        </row>
        <row r="1344">
          <cell r="L1344">
            <v>100</v>
          </cell>
          <cell r="N1344">
            <v>44887</v>
          </cell>
        </row>
        <row r="1345">
          <cell r="L1345">
            <v>100</v>
          </cell>
          <cell r="N1345">
            <v>44754</v>
          </cell>
        </row>
        <row r="1346">
          <cell r="L1346">
            <v>100</v>
          </cell>
          <cell r="N1346">
            <v>44754</v>
          </cell>
        </row>
        <row r="1347">
          <cell r="L1347">
            <v>100</v>
          </cell>
          <cell r="N1347">
            <v>44749</v>
          </cell>
        </row>
        <row r="1348">
          <cell r="L1348">
            <v>100</v>
          </cell>
          <cell r="N1348">
            <v>44749</v>
          </cell>
        </row>
        <row r="1349">
          <cell r="L1349">
            <v>100</v>
          </cell>
          <cell r="N1349">
            <v>44749</v>
          </cell>
        </row>
        <row r="1350">
          <cell r="L1350">
            <v>100</v>
          </cell>
          <cell r="N1350">
            <v>44749</v>
          </cell>
        </row>
        <row r="1351">
          <cell r="L1351">
            <v>100</v>
          </cell>
          <cell r="N1351">
            <v>44749</v>
          </cell>
        </row>
        <row r="1352">
          <cell r="L1352">
            <v>100</v>
          </cell>
          <cell r="N1352">
            <v>44749</v>
          </cell>
        </row>
        <row r="1353">
          <cell r="L1353">
            <v>100</v>
          </cell>
          <cell r="N1353">
            <v>44749</v>
          </cell>
        </row>
        <row r="1354">
          <cell r="L1354">
            <v>100</v>
          </cell>
          <cell r="N1354">
            <v>44749</v>
          </cell>
        </row>
        <row r="1355">
          <cell r="L1355">
            <v>100</v>
          </cell>
          <cell r="N1355">
            <v>44749</v>
          </cell>
        </row>
        <row r="1356">
          <cell r="L1356">
            <v>100</v>
          </cell>
          <cell r="N1356">
            <v>44749</v>
          </cell>
        </row>
        <row r="1357">
          <cell r="L1357">
            <v>100</v>
          </cell>
          <cell r="N1357">
            <v>44749</v>
          </cell>
        </row>
        <row r="1358">
          <cell r="L1358">
            <v>100</v>
          </cell>
          <cell r="N1358"/>
        </row>
        <row r="1359">
          <cell r="L1359">
            <v>100</v>
          </cell>
          <cell r="N1359">
            <v>44830</v>
          </cell>
        </row>
        <row r="1360">
          <cell r="L1360">
            <v>100</v>
          </cell>
          <cell r="N1360"/>
        </row>
        <row r="1361">
          <cell r="L1361">
            <v>100</v>
          </cell>
          <cell r="N1361">
            <v>44826</v>
          </cell>
        </row>
        <row r="1362">
          <cell r="L1362">
            <v>100</v>
          </cell>
          <cell r="N1362">
            <v>44903</v>
          </cell>
        </row>
        <row r="1363">
          <cell r="L1363">
            <v>100</v>
          </cell>
          <cell r="N1363">
            <v>44903</v>
          </cell>
        </row>
        <row r="1364">
          <cell r="L1364">
            <v>100</v>
          </cell>
          <cell r="N1364">
            <v>44903</v>
          </cell>
        </row>
        <row r="1365">
          <cell r="L1365">
            <v>100</v>
          </cell>
          <cell r="N1365">
            <v>44903</v>
          </cell>
        </row>
        <row r="1366">
          <cell r="L1366">
            <v>100</v>
          </cell>
          <cell r="N1366">
            <v>44887</v>
          </cell>
        </row>
        <row r="1367">
          <cell r="L1367">
            <v>100</v>
          </cell>
          <cell r="N1367">
            <v>44767</v>
          </cell>
        </row>
        <row r="1368">
          <cell r="L1368">
            <v>100</v>
          </cell>
          <cell r="N1368">
            <v>44767</v>
          </cell>
        </row>
        <row r="1369">
          <cell r="L1369">
            <v>100</v>
          </cell>
          <cell r="N1369">
            <v>44767</v>
          </cell>
        </row>
        <row r="1370">
          <cell r="L1370">
            <v>100</v>
          </cell>
          <cell r="N1370">
            <v>44767</v>
          </cell>
        </row>
        <row r="1371">
          <cell r="L1371">
            <v>100</v>
          </cell>
          <cell r="N1371">
            <v>44767</v>
          </cell>
        </row>
        <row r="1372">
          <cell r="L1372">
            <v>100</v>
          </cell>
          <cell r="N1372">
            <v>44652</v>
          </cell>
        </row>
        <row r="1373">
          <cell r="L1373">
            <v>100</v>
          </cell>
          <cell r="N1373">
            <v>44652</v>
          </cell>
        </row>
        <row r="1374">
          <cell r="L1374">
            <v>100</v>
          </cell>
          <cell r="N1374">
            <v>44887</v>
          </cell>
        </row>
        <row r="1375">
          <cell r="L1375">
            <v>100</v>
          </cell>
          <cell r="N1375">
            <v>44887</v>
          </cell>
        </row>
        <row r="1376">
          <cell r="L1376">
            <v>100</v>
          </cell>
          <cell r="N1376"/>
        </row>
        <row r="1377">
          <cell r="L1377">
            <v>100</v>
          </cell>
          <cell r="N1377"/>
        </row>
        <row r="1378">
          <cell r="L1378">
            <v>100</v>
          </cell>
          <cell r="N1378"/>
        </row>
        <row r="1379">
          <cell r="L1379">
            <v>100</v>
          </cell>
          <cell r="N1379"/>
        </row>
        <row r="1380">
          <cell r="L1380">
            <v>100</v>
          </cell>
          <cell r="N1380"/>
        </row>
        <row r="1381">
          <cell r="L1381">
            <v>100</v>
          </cell>
          <cell r="N1381"/>
        </row>
        <row r="1382">
          <cell r="L1382">
            <v>100</v>
          </cell>
          <cell r="N1382"/>
        </row>
        <row r="1383">
          <cell r="L1383">
            <v>100</v>
          </cell>
          <cell r="N1383"/>
        </row>
        <row r="1384">
          <cell r="L1384">
            <v>100</v>
          </cell>
          <cell r="N1384"/>
        </row>
        <row r="1385">
          <cell r="L1385">
            <v>100</v>
          </cell>
          <cell r="N1385"/>
        </row>
        <row r="1386">
          <cell r="L1386">
            <v>100</v>
          </cell>
          <cell r="N1386"/>
        </row>
        <row r="1387">
          <cell r="L1387">
            <v>100</v>
          </cell>
          <cell r="N1387"/>
        </row>
        <row r="1388">
          <cell r="L1388">
            <v>100</v>
          </cell>
          <cell r="N1388">
            <v>44903</v>
          </cell>
        </row>
        <row r="1389">
          <cell r="L1389">
            <v>100</v>
          </cell>
          <cell r="N1389">
            <v>44903</v>
          </cell>
        </row>
        <row r="1390">
          <cell r="L1390">
            <v>100</v>
          </cell>
          <cell r="N1390">
            <v>44903</v>
          </cell>
        </row>
        <row r="1391">
          <cell r="L1391">
            <v>100</v>
          </cell>
          <cell r="N1391">
            <v>44903</v>
          </cell>
        </row>
        <row r="1392">
          <cell r="L1392">
            <v>100</v>
          </cell>
          <cell r="N1392">
            <v>44887</v>
          </cell>
        </row>
        <row r="1393">
          <cell r="L1393">
            <v>100</v>
          </cell>
          <cell r="N1393">
            <v>44887</v>
          </cell>
        </row>
        <row r="1394">
          <cell r="L1394">
            <v>100</v>
          </cell>
          <cell r="N1394">
            <v>44887</v>
          </cell>
        </row>
        <row r="1395">
          <cell r="L1395">
            <v>100</v>
          </cell>
          <cell r="N1395">
            <v>44887</v>
          </cell>
        </row>
        <row r="1396">
          <cell r="L1396">
            <v>100</v>
          </cell>
          <cell r="N1396"/>
        </row>
        <row r="1397">
          <cell r="L1397">
            <v>100</v>
          </cell>
          <cell r="N1397">
            <v>44903</v>
          </cell>
        </row>
        <row r="1398">
          <cell r="L1398">
            <v>100</v>
          </cell>
          <cell r="N1398"/>
        </row>
        <row r="1399">
          <cell r="L1399">
            <v>100</v>
          </cell>
          <cell r="N1399">
            <v>44767</v>
          </cell>
        </row>
        <row r="1400">
          <cell r="L1400">
            <v>100</v>
          </cell>
          <cell r="N1400">
            <v>44767</v>
          </cell>
        </row>
        <row r="1401">
          <cell r="L1401">
            <v>100</v>
          </cell>
          <cell r="N1401">
            <v>44767</v>
          </cell>
        </row>
        <row r="1402">
          <cell r="L1402">
            <v>100</v>
          </cell>
          <cell r="N1402">
            <v>44887</v>
          </cell>
        </row>
        <row r="1403">
          <cell r="L1403">
            <v>100</v>
          </cell>
          <cell r="N1403">
            <v>44887</v>
          </cell>
        </row>
        <row r="1404">
          <cell r="L1404">
            <v>100</v>
          </cell>
          <cell r="N1404"/>
        </row>
        <row r="1405">
          <cell r="L1405">
            <v>100</v>
          </cell>
          <cell r="N1405"/>
        </row>
        <row r="1406">
          <cell r="L1406">
            <v>100</v>
          </cell>
          <cell r="N1406"/>
        </row>
        <row r="1407">
          <cell r="L1407">
            <v>100</v>
          </cell>
          <cell r="N1407"/>
        </row>
        <row r="1408">
          <cell r="L1408">
            <v>100</v>
          </cell>
          <cell r="N1408">
            <v>44926</v>
          </cell>
        </row>
        <row r="1409">
          <cell r="L1409">
            <v>100</v>
          </cell>
          <cell r="N1409">
            <v>44926</v>
          </cell>
        </row>
        <row r="1410">
          <cell r="L1410">
            <v>100</v>
          </cell>
          <cell r="N1410">
            <v>44926</v>
          </cell>
        </row>
        <row r="1411">
          <cell r="L1411">
            <v>100</v>
          </cell>
          <cell r="N1411"/>
        </row>
        <row r="1412">
          <cell r="L1412">
            <v>100</v>
          </cell>
          <cell r="N1412"/>
        </row>
        <row r="1413">
          <cell r="L1413">
            <v>100</v>
          </cell>
          <cell r="N1413"/>
        </row>
        <row r="1414">
          <cell r="L1414">
            <v>100</v>
          </cell>
          <cell r="N1414"/>
        </row>
        <row r="1415">
          <cell r="L1415">
            <v>100</v>
          </cell>
          <cell r="N1415"/>
        </row>
        <row r="1416">
          <cell r="L1416">
            <v>100</v>
          </cell>
          <cell r="N1416"/>
        </row>
        <row r="1417">
          <cell r="L1417">
            <v>100</v>
          </cell>
          <cell r="N1417">
            <v>45012</v>
          </cell>
        </row>
        <row r="1418">
          <cell r="L1418">
            <v>100</v>
          </cell>
          <cell r="N1418">
            <v>45012</v>
          </cell>
        </row>
        <row r="1419">
          <cell r="L1419">
            <v>100</v>
          </cell>
          <cell r="N1419">
            <v>45012</v>
          </cell>
        </row>
        <row r="1420">
          <cell r="L1420">
            <v>100</v>
          </cell>
          <cell r="N1420">
            <v>45012</v>
          </cell>
        </row>
        <row r="1421">
          <cell r="L1421">
            <v>100</v>
          </cell>
          <cell r="N1421"/>
        </row>
        <row r="1422">
          <cell r="L1422">
            <v>100</v>
          </cell>
          <cell r="N1422"/>
        </row>
        <row r="1423">
          <cell r="L1423">
            <v>100</v>
          </cell>
          <cell r="N1423">
            <v>44887</v>
          </cell>
        </row>
        <row r="1424">
          <cell r="L1424">
            <v>100</v>
          </cell>
          <cell r="N1424">
            <v>44887</v>
          </cell>
        </row>
        <row r="1425">
          <cell r="L1425">
            <v>100</v>
          </cell>
          <cell r="N1425">
            <v>44887</v>
          </cell>
        </row>
        <row r="1426">
          <cell r="L1426">
            <v>100</v>
          </cell>
          <cell r="N1426">
            <v>44887</v>
          </cell>
        </row>
        <row r="1427">
          <cell r="L1427">
            <v>100</v>
          </cell>
          <cell r="N1427">
            <v>44926</v>
          </cell>
        </row>
        <row r="1428">
          <cell r="L1428">
            <v>100</v>
          </cell>
          <cell r="N1428">
            <v>44926</v>
          </cell>
        </row>
        <row r="1429">
          <cell r="L1429">
            <v>100</v>
          </cell>
          <cell r="N1429">
            <v>44926</v>
          </cell>
        </row>
        <row r="1430">
          <cell r="L1430">
            <v>100</v>
          </cell>
          <cell r="N1430">
            <v>44754</v>
          </cell>
        </row>
        <row r="1431">
          <cell r="L1431">
            <v>100</v>
          </cell>
          <cell r="N1431">
            <v>44754</v>
          </cell>
        </row>
        <row r="1432">
          <cell r="L1432">
            <v>100</v>
          </cell>
          <cell r="N1432">
            <v>44926</v>
          </cell>
        </row>
        <row r="1433">
          <cell r="L1433">
            <v>100</v>
          </cell>
          <cell r="N1433">
            <v>44926</v>
          </cell>
        </row>
        <row r="1434">
          <cell r="L1434">
            <v>100</v>
          </cell>
          <cell r="N1434">
            <v>44926</v>
          </cell>
        </row>
        <row r="1435">
          <cell r="L1435">
            <v>100</v>
          </cell>
          <cell r="N1435">
            <v>44926</v>
          </cell>
        </row>
        <row r="1436">
          <cell r="L1436">
            <v>100</v>
          </cell>
          <cell r="N1436">
            <v>44580</v>
          </cell>
        </row>
        <row r="1437">
          <cell r="L1437">
            <v>100</v>
          </cell>
          <cell r="N1437">
            <v>44926</v>
          </cell>
        </row>
        <row r="1438">
          <cell r="L1438">
            <v>100</v>
          </cell>
          <cell r="N1438">
            <v>44926</v>
          </cell>
        </row>
        <row r="1439">
          <cell r="L1439">
            <v>100</v>
          </cell>
          <cell r="N1439">
            <v>44903</v>
          </cell>
        </row>
        <row r="1440">
          <cell r="L1440">
            <v>100</v>
          </cell>
          <cell r="N1440">
            <v>44903</v>
          </cell>
        </row>
        <row r="1441">
          <cell r="L1441">
            <v>100</v>
          </cell>
          <cell r="N1441">
            <v>44903</v>
          </cell>
        </row>
        <row r="1442">
          <cell r="L1442">
            <v>100</v>
          </cell>
          <cell r="N1442"/>
        </row>
        <row r="1443">
          <cell r="L1443">
            <v>100</v>
          </cell>
          <cell r="N1443"/>
        </row>
        <row r="1444">
          <cell r="L1444">
            <v>100</v>
          </cell>
          <cell r="N1444">
            <v>44903</v>
          </cell>
        </row>
        <row r="1445">
          <cell r="L1445">
            <v>100</v>
          </cell>
          <cell r="N1445">
            <v>44903</v>
          </cell>
        </row>
        <row r="1446">
          <cell r="L1446">
            <v>100</v>
          </cell>
          <cell r="N1446">
            <v>44903</v>
          </cell>
        </row>
        <row r="1447">
          <cell r="L1447">
            <v>100</v>
          </cell>
          <cell r="N1447">
            <v>44903</v>
          </cell>
        </row>
        <row r="1448">
          <cell r="L1448">
            <v>100</v>
          </cell>
          <cell r="N1448">
            <v>44903</v>
          </cell>
        </row>
        <row r="1449">
          <cell r="L1449">
            <v>100</v>
          </cell>
          <cell r="N1449">
            <v>44903</v>
          </cell>
        </row>
        <row r="1450">
          <cell r="L1450">
            <v>100</v>
          </cell>
          <cell r="N1450">
            <v>44903</v>
          </cell>
        </row>
        <row r="1451">
          <cell r="L1451">
            <v>100</v>
          </cell>
          <cell r="N1451">
            <v>44926</v>
          </cell>
        </row>
        <row r="1452">
          <cell r="L1452">
            <v>100</v>
          </cell>
          <cell r="N1452">
            <v>44926</v>
          </cell>
        </row>
        <row r="1453">
          <cell r="L1453">
            <v>100</v>
          </cell>
          <cell r="N1453">
            <v>44926</v>
          </cell>
        </row>
        <row r="1454">
          <cell r="L1454">
            <v>100</v>
          </cell>
          <cell r="N1454">
            <v>44887</v>
          </cell>
        </row>
        <row r="1455">
          <cell r="L1455">
            <v>100</v>
          </cell>
          <cell r="N1455"/>
        </row>
        <row r="1456">
          <cell r="L1456">
            <v>100</v>
          </cell>
          <cell r="N1456"/>
        </row>
        <row r="1457">
          <cell r="L1457">
            <v>100</v>
          </cell>
          <cell r="N1457"/>
        </row>
        <row r="1458">
          <cell r="L1458">
            <v>100</v>
          </cell>
          <cell r="N1458">
            <v>44922</v>
          </cell>
        </row>
        <row r="1459">
          <cell r="L1459">
            <v>100</v>
          </cell>
          <cell r="N1459">
            <v>44914</v>
          </cell>
        </row>
        <row r="1460">
          <cell r="L1460">
            <v>100</v>
          </cell>
          <cell r="N1460">
            <v>44922</v>
          </cell>
        </row>
        <row r="1461">
          <cell r="L1461">
            <v>100</v>
          </cell>
          <cell r="N1461">
            <v>44798</v>
          </cell>
        </row>
        <row r="1462">
          <cell r="L1462">
            <v>100</v>
          </cell>
          <cell r="N1462">
            <v>44798</v>
          </cell>
        </row>
        <row r="1463">
          <cell r="L1463">
            <v>100</v>
          </cell>
          <cell r="N1463">
            <v>44798</v>
          </cell>
        </row>
        <row r="1464">
          <cell r="L1464">
            <v>100</v>
          </cell>
          <cell r="N1464">
            <v>44798</v>
          </cell>
        </row>
        <row r="1465">
          <cell r="L1465">
            <v>100</v>
          </cell>
          <cell r="N1465">
            <v>44922</v>
          </cell>
        </row>
        <row r="1466">
          <cell r="L1466">
            <v>100</v>
          </cell>
          <cell r="N1466">
            <v>44922</v>
          </cell>
        </row>
        <row r="1467">
          <cell r="L1467">
            <v>100</v>
          </cell>
          <cell r="N1467">
            <v>44922</v>
          </cell>
        </row>
        <row r="1468">
          <cell r="L1468">
            <v>100</v>
          </cell>
          <cell r="N1468">
            <v>44922</v>
          </cell>
        </row>
        <row r="1469">
          <cell r="L1469">
            <v>100</v>
          </cell>
          <cell r="N1469">
            <v>44922</v>
          </cell>
        </row>
        <row r="1470">
          <cell r="L1470">
            <v>100</v>
          </cell>
          <cell r="N1470">
            <v>44898</v>
          </cell>
        </row>
        <row r="1471">
          <cell r="L1471">
            <v>100</v>
          </cell>
          <cell r="N1471">
            <v>44898</v>
          </cell>
        </row>
        <row r="1472">
          <cell r="L1472">
            <v>100</v>
          </cell>
          <cell r="N1472">
            <v>44922</v>
          </cell>
        </row>
        <row r="1473">
          <cell r="L1473">
            <v>100</v>
          </cell>
          <cell r="N1473">
            <v>44922</v>
          </cell>
        </row>
        <row r="1474">
          <cell r="L1474">
            <v>100</v>
          </cell>
          <cell r="N1474">
            <v>44917</v>
          </cell>
        </row>
        <row r="1475">
          <cell r="L1475">
            <v>100</v>
          </cell>
          <cell r="N1475">
            <v>44917</v>
          </cell>
        </row>
        <row r="1476">
          <cell r="L1476">
            <v>100</v>
          </cell>
          <cell r="N1476">
            <v>44820</v>
          </cell>
        </row>
        <row r="1477">
          <cell r="L1477">
            <v>100</v>
          </cell>
          <cell r="N1477">
            <v>44820</v>
          </cell>
        </row>
        <row r="1478">
          <cell r="L1478">
            <v>100</v>
          </cell>
          <cell r="N1478">
            <v>44820</v>
          </cell>
        </row>
        <row r="1479">
          <cell r="L1479">
            <v>100</v>
          </cell>
          <cell r="N1479">
            <v>44917</v>
          </cell>
        </row>
        <row r="1480">
          <cell r="L1480">
            <v>100</v>
          </cell>
          <cell r="N1480">
            <v>44917</v>
          </cell>
        </row>
        <row r="1481">
          <cell r="L1481">
            <v>100</v>
          </cell>
          <cell r="N1481">
            <v>44917</v>
          </cell>
        </row>
        <row r="1482">
          <cell r="L1482">
            <v>100</v>
          </cell>
          <cell r="N1482">
            <v>44922</v>
          </cell>
        </row>
        <row r="1483">
          <cell r="L1483">
            <v>100</v>
          </cell>
          <cell r="N1483">
            <v>44922</v>
          </cell>
        </row>
        <row r="1484">
          <cell r="L1484">
            <v>100</v>
          </cell>
          <cell r="N1484">
            <v>44922</v>
          </cell>
        </row>
        <row r="1485">
          <cell r="L1485">
            <v>100</v>
          </cell>
          <cell r="N1485"/>
        </row>
        <row r="1486">
          <cell r="L1486">
            <v>100</v>
          </cell>
          <cell r="N1486">
            <v>44609</v>
          </cell>
        </row>
        <row r="1487">
          <cell r="L1487">
            <v>100</v>
          </cell>
          <cell r="N1487">
            <v>44609</v>
          </cell>
        </row>
        <row r="1488">
          <cell r="L1488">
            <v>100</v>
          </cell>
          <cell r="N1488">
            <v>44579</v>
          </cell>
        </row>
        <row r="1489">
          <cell r="L1489">
            <v>100</v>
          </cell>
          <cell r="N1489">
            <v>44579</v>
          </cell>
        </row>
        <row r="1490">
          <cell r="L1490">
            <v>100</v>
          </cell>
          <cell r="N1490">
            <v>44925</v>
          </cell>
        </row>
        <row r="1491">
          <cell r="L1491">
            <v>100</v>
          </cell>
          <cell r="N1491">
            <v>44925</v>
          </cell>
        </row>
        <row r="1492">
          <cell r="L1492">
            <v>100</v>
          </cell>
          <cell r="N1492">
            <v>44747</v>
          </cell>
        </row>
        <row r="1493">
          <cell r="L1493">
            <v>100</v>
          </cell>
          <cell r="N1493">
            <v>44747</v>
          </cell>
        </row>
        <row r="1494">
          <cell r="L1494">
            <v>100</v>
          </cell>
          <cell r="N1494">
            <v>44747</v>
          </cell>
        </row>
        <row r="1495">
          <cell r="L1495">
            <v>100</v>
          </cell>
          <cell r="N1495">
            <v>44771</v>
          </cell>
        </row>
        <row r="1496">
          <cell r="L1496">
            <v>100</v>
          </cell>
          <cell r="N1496">
            <v>44747</v>
          </cell>
        </row>
        <row r="1497">
          <cell r="L1497">
            <v>100</v>
          </cell>
          <cell r="N1497">
            <v>44747</v>
          </cell>
        </row>
        <row r="1498">
          <cell r="L1498">
            <v>100</v>
          </cell>
          <cell r="N1498">
            <v>44747</v>
          </cell>
        </row>
        <row r="1499">
          <cell r="L1499">
            <v>100</v>
          </cell>
          <cell r="N1499">
            <v>44747</v>
          </cell>
        </row>
        <row r="1500">
          <cell r="L1500">
            <v>100</v>
          </cell>
          <cell r="N1500">
            <v>44747</v>
          </cell>
        </row>
        <row r="1501">
          <cell r="L1501">
            <v>100</v>
          </cell>
          <cell r="N1501">
            <v>44747</v>
          </cell>
        </row>
        <row r="1502">
          <cell r="L1502">
            <v>100</v>
          </cell>
          <cell r="N1502">
            <v>44747</v>
          </cell>
        </row>
        <row r="1503">
          <cell r="L1503">
            <v>100</v>
          </cell>
          <cell r="N1503">
            <v>44771</v>
          </cell>
        </row>
        <row r="1504">
          <cell r="L1504">
            <v>100</v>
          </cell>
          <cell r="N1504">
            <v>44747</v>
          </cell>
        </row>
        <row r="1505">
          <cell r="L1505">
            <v>100</v>
          </cell>
          <cell r="N1505">
            <v>44771</v>
          </cell>
        </row>
        <row r="1506">
          <cell r="L1506">
            <v>100</v>
          </cell>
          <cell r="N1506">
            <v>44771</v>
          </cell>
        </row>
        <row r="1507">
          <cell r="L1507">
            <v>100</v>
          </cell>
          <cell r="N1507">
            <v>44771</v>
          </cell>
        </row>
        <row r="1508">
          <cell r="L1508">
            <v>100</v>
          </cell>
          <cell r="N1508">
            <v>44578</v>
          </cell>
        </row>
        <row r="1509">
          <cell r="L1509">
            <v>100</v>
          </cell>
          <cell r="N1509">
            <v>44578</v>
          </cell>
        </row>
        <row r="1510">
          <cell r="L1510">
            <v>100</v>
          </cell>
          <cell r="N1510">
            <v>44898</v>
          </cell>
        </row>
        <row r="1511">
          <cell r="L1511">
            <v>100</v>
          </cell>
          <cell r="N1511">
            <v>44898</v>
          </cell>
        </row>
        <row r="1512">
          <cell r="L1512">
            <v>100</v>
          </cell>
          <cell r="N1512">
            <v>44898</v>
          </cell>
        </row>
        <row r="1513">
          <cell r="L1513">
            <v>100</v>
          </cell>
          <cell r="N1513">
            <v>44898</v>
          </cell>
        </row>
        <row r="1514">
          <cell r="L1514">
            <v>100</v>
          </cell>
          <cell r="N1514">
            <v>44898</v>
          </cell>
        </row>
        <row r="1515">
          <cell r="L1515">
            <v>100</v>
          </cell>
          <cell r="N1515">
            <v>44898</v>
          </cell>
        </row>
        <row r="1516">
          <cell r="L1516">
            <v>100</v>
          </cell>
          <cell r="N1516">
            <v>44898</v>
          </cell>
        </row>
        <row r="1517">
          <cell r="L1517">
            <v>100</v>
          </cell>
          <cell r="N1517">
            <v>44898</v>
          </cell>
        </row>
        <row r="1518">
          <cell r="L1518">
            <v>100</v>
          </cell>
          <cell r="N1518">
            <v>44833</v>
          </cell>
        </row>
        <row r="1519">
          <cell r="L1519">
            <v>100</v>
          </cell>
          <cell r="N1519">
            <v>44833</v>
          </cell>
        </row>
        <row r="1520">
          <cell r="L1520">
            <v>100</v>
          </cell>
          <cell r="N1520">
            <v>44756</v>
          </cell>
        </row>
        <row r="1521">
          <cell r="L1521">
            <v>100</v>
          </cell>
          <cell r="N1521">
            <v>44756</v>
          </cell>
        </row>
        <row r="1522">
          <cell r="L1522">
            <v>100</v>
          </cell>
          <cell r="N1522">
            <v>44756</v>
          </cell>
        </row>
        <row r="1523">
          <cell r="L1523">
            <v>100</v>
          </cell>
          <cell r="N1523">
            <v>44756</v>
          </cell>
        </row>
        <row r="1524">
          <cell r="L1524">
            <v>100</v>
          </cell>
          <cell r="N1524">
            <v>44756</v>
          </cell>
        </row>
        <row r="1525">
          <cell r="L1525">
            <v>100</v>
          </cell>
          <cell r="N1525">
            <v>44819</v>
          </cell>
        </row>
        <row r="1526">
          <cell r="L1526">
            <v>100</v>
          </cell>
          <cell r="N1526">
            <v>44898</v>
          </cell>
        </row>
        <row r="1527">
          <cell r="L1527">
            <v>100</v>
          </cell>
          <cell r="N1527">
            <v>44898</v>
          </cell>
        </row>
        <row r="1528">
          <cell r="L1528">
            <v>100</v>
          </cell>
          <cell r="N1528">
            <v>44898</v>
          </cell>
        </row>
        <row r="1529">
          <cell r="L1529">
            <v>100</v>
          </cell>
          <cell r="N1529">
            <v>44898</v>
          </cell>
        </row>
        <row r="1530">
          <cell r="L1530">
            <v>100</v>
          </cell>
          <cell r="N1530"/>
        </row>
        <row r="1531">
          <cell r="L1531">
            <v>100</v>
          </cell>
          <cell r="N1531">
            <v>44601</v>
          </cell>
        </row>
        <row r="1532">
          <cell r="L1532">
            <v>100</v>
          </cell>
          <cell r="N1532">
            <v>44601</v>
          </cell>
        </row>
        <row r="1533">
          <cell r="L1533">
            <v>100</v>
          </cell>
          <cell r="N1533">
            <v>44601</v>
          </cell>
        </row>
        <row r="1534">
          <cell r="L1534">
            <v>100</v>
          </cell>
          <cell r="N1534">
            <v>44922</v>
          </cell>
        </row>
        <row r="1535">
          <cell r="L1535">
            <v>100</v>
          </cell>
          <cell r="N1535">
            <v>44922</v>
          </cell>
        </row>
        <row r="1536">
          <cell r="L1536">
            <v>100</v>
          </cell>
          <cell r="N1536">
            <v>44922</v>
          </cell>
        </row>
        <row r="1537">
          <cell r="L1537">
            <v>100</v>
          </cell>
          <cell r="N1537">
            <v>44922</v>
          </cell>
        </row>
        <row r="1538">
          <cell r="L1538">
            <v>100</v>
          </cell>
          <cell r="N1538">
            <v>44922</v>
          </cell>
        </row>
        <row r="1539">
          <cell r="L1539">
            <v>100</v>
          </cell>
          <cell r="N1539">
            <v>44579</v>
          </cell>
        </row>
        <row r="1540">
          <cell r="L1540">
            <v>100</v>
          </cell>
          <cell r="N1540">
            <v>44579</v>
          </cell>
        </row>
        <row r="1541">
          <cell r="L1541">
            <v>100</v>
          </cell>
          <cell r="N1541">
            <v>44922</v>
          </cell>
        </row>
        <row r="1542">
          <cell r="L1542">
            <v>100</v>
          </cell>
          <cell r="N1542">
            <v>44917</v>
          </cell>
        </row>
        <row r="1543">
          <cell r="L1543">
            <v>100</v>
          </cell>
          <cell r="N1543">
            <v>44916</v>
          </cell>
        </row>
        <row r="1544">
          <cell r="L1544">
            <v>100</v>
          </cell>
          <cell r="N1544">
            <v>44769</v>
          </cell>
        </row>
        <row r="1545">
          <cell r="L1545">
            <v>100</v>
          </cell>
          <cell r="N1545">
            <v>44769</v>
          </cell>
        </row>
        <row r="1546">
          <cell r="L1546">
            <v>100</v>
          </cell>
          <cell r="N1546">
            <v>44922</v>
          </cell>
        </row>
        <row r="1547">
          <cell r="L1547">
            <v>100</v>
          </cell>
          <cell r="N1547">
            <v>44922</v>
          </cell>
        </row>
        <row r="1548">
          <cell r="L1548">
            <v>100</v>
          </cell>
          <cell r="N1548">
            <v>44922</v>
          </cell>
        </row>
        <row r="1549">
          <cell r="L1549">
            <v>100</v>
          </cell>
          <cell r="N1549">
            <v>44922</v>
          </cell>
        </row>
        <row r="1550">
          <cell r="L1550">
            <v>100</v>
          </cell>
          <cell r="N1550">
            <v>44917</v>
          </cell>
        </row>
        <row r="1551">
          <cell r="L1551">
            <v>100</v>
          </cell>
          <cell r="N1551">
            <v>44917</v>
          </cell>
        </row>
        <row r="1552">
          <cell r="L1552">
            <v>100</v>
          </cell>
          <cell r="N1552">
            <v>44917</v>
          </cell>
        </row>
        <row r="1553">
          <cell r="L1553">
            <v>100</v>
          </cell>
          <cell r="N1553">
            <v>44916</v>
          </cell>
        </row>
        <row r="1554">
          <cell r="L1554">
            <v>100</v>
          </cell>
          <cell r="N1554">
            <v>44826</v>
          </cell>
        </row>
        <row r="1555">
          <cell r="L1555">
            <v>100</v>
          </cell>
          <cell r="N1555">
            <v>44826</v>
          </cell>
        </row>
        <row r="1556">
          <cell r="L1556">
            <v>100</v>
          </cell>
          <cell r="N1556">
            <v>44925</v>
          </cell>
        </row>
        <row r="1557">
          <cell r="L1557">
            <v>100</v>
          </cell>
          <cell r="N1557">
            <v>44925</v>
          </cell>
        </row>
        <row r="1558">
          <cell r="L1558">
            <v>100</v>
          </cell>
          <cell r="N1558">
            <v>44888</v>
          </cell>
        </row>
        <row r="1559">
          <cell r="L1559">
            <v>100</v>
          </cell>
          <cell r="N1559">
            <v>44888</v>
          </cell>
        </row>
        <row r="1560">
          <cell r="L1560">
            <v>100</v>
          </cell>
          <cell r="N1560">
            <v>44651</v>
          </cell>
        </row>
        <row r="1561">
          <cell r="L1561">
            <v>100</v>
          </cell>
          <cell r="N1561">
            <v>44651</v>
          </cell>
        </row>
        <row r="1562">
          <cell r="L1562">
            <v>100</v>
          </cell>
          <cell r="N1562">
            <v>44651</v>
          </cell>
        </row>
        <row r="1563">
          <cell r="L1563">
            <v>100</v>
          </cell>
          <cell r="N1563">
            <v>44651</v>
          </cell>
        </row>
        <row r="1564">
          <cell r="L1564">
            <v>100</v>
          </cell>
          <cell r="N1564">
            <v>44651</v>
          </cell>
        </row>
        <row r="1565">
          <cell r="L1565">
            <v>100</v>
          </cell>
          <cell r="N1565">
            <v>44651</v>
          </cell>
        </row>
        <row r="1566">
          <cell r="L1566">
            <v>100</v>
          </cell>
          <cell r="N1566">
            <v>44644</v>
          </cell>
        </row>
        <row r="1567">
          <cell r="L1567">
            <v>100</v>
          </cell>
          <cell r="N1567">
            <v>44644</v>
          </cell>
        </row>
        <row r="1568">
          <cell r="L1568">
            <v>100</v>
          </cell>
          <cell r="N1568">
            <v>44820</v>
          </cell>
        </row>
        <row r="1569">
          <cell r="L1569">
            <v>100</v>
          </cell>
          <cell r="N1569"/>
        </row>
        <row r="1570">
          <cell r="L1570">
            <v>100</v>
          </cell>
          <cell r="N1570"/>
        </row>
        <row r="1571">
          <cell r="L1571">
            <v>100</v>
          </cell>
          <cell r="N1571">
            <v>44888</v>
          </cell>
        </row>
        <row r="1572">
          <cell r="L1572">
            <v>100</v>
          </cell>
          <cell r="N1572">
            <v>44888</v>
          </cell>
        </row>
        <row r="1573">
          <cell r="L1573">
            <v>100</v>
          </cell>
          <cell r="N1573">
            <v>44922</v>
          </cell>
        </row>
        <row r="1574">
          <cell r="L1574">
            <v>100</v>
          </cell>
          <cell r="N1574"/>
        </row>
        <row r="1575">
          <cell r="L1575">
            <v>100</v>
          </cell>
          <cell r="N1575">
            <v>44925</v>
          </cell>
        </row>
        <row r="1576">
          <cell r="L1576">
            <v>100</v>
          </cell>
          <cell r="N1576">
            <v>44925</v>
          </cell>
        </row>
        <row r="1577">
          <cell r="L1577">
            <v>100</v>
          </cell>
          <cell r="N1577">
            <v>44925</v>
          </cell>
        </row>
        <row r="1578">
          <cell r="L1578">
            <v>100</v>
          </cell>
          <cell r="N1578">
            <v>44925</v>
          </cell>
        </row>
        <row r="1579">
          <cell r="L1579">
            <v>100</v>
          </cell>
          <cell r="N1579">
            <v>44925</v>
          </cell>
        </row>
        <row r="1580">
          <cell r="L1580">
            <v>100</v>
          </cell>
          <cell r="N1580">
            <v>44925</v>
          </cell>
        </row>
        <row r="1581">
          <cell r="L1581">
            <v>100</v>
          </cell>
          <cell r="N1581">
            <v>44925</v>
          </cell>
        </row>
        <row r="1582">
          <cell r="L1582">
            <v>100</v>
          </cell>
          <cell r="N1582">
            <v>44925</v>
          </cell>
        </row>
        <row r="1583">
          <cell r="L1583">
            <v>100</v>
          </cell>
          <cell r="N1583">
            <v>44925</v>
          </cell>
        </row>
        <row r="1584">
          <cell r="L1584">
            <v>100</v>
          </cell>
          <cell r="N1584">
            <v>44925</v>
          </cell>
        </row>
        <row r="1585">
          <cell r="L1585">
            <v>100</v>
          </cell>
          <cell r="N1585">
            <v>44925</v>
          </cell>
        </row>
        <row r="1586">
          <cell r="L1586">
            <v>100</v>
          </cell>
          <cell r="N1586">
            <v>44925</v>
          </cell>
        </row>
        <row r="1587">
          <cell r="L1587">
            <v>100</v>
          </cell>
          <cell r="N1587">
            <v>44925</v>
          </cell>
        </row>
        <row r="1588">
          <cell r="L1588">
            <v>100</v>
          </cell>
          <cell r="N1588">
            <v>44925</v>
          </cell>
        </row>
        <row r="1589">
          <cell r="L1589">
            <v>100</v>
          </cell>
          <cell r="N1589">
            <v>44925</v>
          </cell>
        </row>
        <row r="1590">
          <cell r="L1590">
            <v>100</v>
          </cell>
          <cell r="N1590">
            <v>44925</v>
          </cell>
        </row>
        <row r="1591">
          <cell r="L1591">
            <v>100</v>
          </cell>
          <cell r="N1591">
            <v>44898</v>
          </cell>
        </row>
        <row r="1592">
          <cell r="L1592">
            <v>100</v>
          </cell>
          <cell r="N1592">
            <v>44925</v>
          </cell>
        </row>
        <row r="1593">
          <cell r="L1593">
            <v>100</v>
          </cell>
          <cell r="N1593">
            <v>44898</v>
          </cell>
        </row>
        <row r="1594">
          <cell r="L1594">
            <v>100</v>
          </cell>
          <cell r="N1594">
            <v>44922</v>
          </cell>
        </row>
        <row r="1595">
          <cell r="L1595">
            <v>100</v>
          </cell>
          <cell r="N1595">
            <v>44922</v>
          </cell>
        </row>
        <row r="1596">
          <cell r="L1596">
            <v>100</v>
          </cell>
          <cell r="N1596">
            <v>44922</v>
          </cell>
        </row>
        <row r="1597">
          <cell r="L1597">
            <v>100</v>
          </cell>
          <cell r="N1597">
            <v>44922</v>
          </cell>
        </row>
        <row r="1598">
          <cell r="L1598">
            <v>100</v>
          </cell>
          <cell r="N1598">
            <v>44922</v>
          </cell>
        </row>
        <row r="1599">
          <cell r="L1599">
            <v>100</v>
          </cell>
          <cell r="N1599">
            <v>44922</v>
          </cell>
        </row>
        <row r="1600">
          <cell r="L1600">
            <v>100</v>
          </cell>
          <cell r="N1600">
            <v>44922</v>
          </cell>
        </row>
        <row r="1601">
          <cell r="L1601">
            <v>100</v>
          </cell>
          <cell r="N1601">
            <v>44922</v>
          </cell>
        </row>
        <row r="1602">
          <cell r="L1602">
            <v>100</v>
          </cell>
          <cell r="N1602">
            <v>44922</v>
          </cell>
        </row>
        <row r="1603">
          <cell r="L1603">
            <v>100</v>
          </cell>
          <cell r="N1603">
            <v>44925</v>
          </cell>
        </row>
        <row r="1604">
          <cell r="L1604">
            <v>100</v>
          </cell>
          <cell r="N1604">
            <v>44917</v>
          </cell>
        </row>
        <row r="1605">
          <cell r="L1605">
            <v>100</v>
          </cell>
          <cell r="N1605">
            <v>44820</v>
          </cell>
        </row>
        <row r="1606">
          <cell r="L1606">
            <v>100</v>
          </cell>
          <cell r="N1606"/>
        </row>
        <row r="1607">
          <cell r="L1607">
            <v>100</v>
          </cell>
          <cell r="N1607"/>
        </row>
        <row r="1608">
          <cell r="L1608">
            <v>100</v>
          </cell>
          <cell r="N1608"/>
        </row>
        <row r="1609">
          <cell r="L1609">
            <v>100</v>
          </cell>
          <cell r="N1609"/>
        </row>
        <row r="1610">
          <cell r="L1610">
            <v>100</v>
          </cell>
          <cell r="N1610"/>
        </row>
        <row r="1611">
          <cell r="L1611">
            <v>100</v>
          </cell>
          <cell r="N1611"/>
        </row>
        <row r="1612">
          <cell r="L1612">
            <v>100</v>
          </cell>
          <cell r="N1612"/>
        </row>
        <row r="1613">
          <cell r="L1613">
            <v>100</v>
          </cell>
          <cell r="N1613"/>
        </row>
        <row r="1614">
          <cell r="L1614">
            <v>100</v>
          </cell>
          <cell r="N1614"/>
        </row>
        <row r="1615">
          <cell r="L1615">
            <v>100</v>
          </cell>
          <cell r="N1615"/>
        </row>
        <row r="1616">
          <cell r="L1616">
            <v>100</v>
          </cell>
          <cell r="N1616"/>
        </row>
        <row r="1617">
          <cell r="L1617">
            <v>100</v>
          </cell>
          <cell r="N1617"/>
        </row>
        <row r="1618">
          <cell r="L1618">
            <v>100</v>
          </cell>
          <cell r="N1618"/>
        </row>
        <row r="1619">
          <cell r="L1619">
            <v>100</v>
          </cell>
          <cell r="N1619"/>
        </row>
        <row r="1620">
          <cell r="L1620">
            <v>100</v>
          </cell>
          <cell r="N1620"/>
        </row>
        <row r="1621">
          <cell r="L1621">
            <v>100</v>
          </cell>
          <cell r="N1621"/>
        </row>
        <row r="1622">
          <cell r="L1622">
            <v>100</v>
          </cell>
          <cell r="N1622"/>
        </row>
        <row r="1623">
          <cell r="L1623">
            <v>100</v>
          </cell>
          <cell r="N1623"/>
        </row>
        <row r="1624">
          <cell r="L1624">
            <v>100</v>
          </cell>
          <cell r="N1624"/>
        </row>
        <row r="1625">
          <cell r="L1625">
            <v>100</v>
          </cell>
          <cell r="N1625"/>
        </row>
        <row r="1626">
          <cell r="L1626">
            <v>100</v>
          </cell>
          <cell r="N1626"/>
        </row>
        <row r="1627">
          <cell r="L1627">
            <v>100</v>
          </cell>
          <cell r="N1627"/>
        </row>
        <row r="1628">
          <cell r="L1628">
            <v>100</v>
          </cell>
          <cell r="N1628"/>
        </row>
        <row r="1629">
          <cell r="L1629">
            <v>100</v>
          </cell>
          <cell r="N1629"/>
        </row>
        <row r="1630">
          <cell r="L1630">
            <v>100</v>
          </cell>
          <cell r="N1630"/>
        </row>
        <row r="1631">
          <cell r="L1631">
            <v>100</v>
          </cell>
          <cell r="N1631"/>
        </row>
        <row r="1632">
          <cell r="L1632">
            <v>100</v>
          </cell>
          <cell r="N1632"/>
        </row>
        <row r="1633">
          <cell r="L1633">
            <v>100</v>
          </cell>
          <cell r="N1633">
            <v>44888</v>
          </cell>
        </row>
        <row r="1634">
          <cell r="L1634">
            <v>100</v>
          </cell>
          <cell r="N1634">
            <v>44888</v>
          </cell>
        </row>
        <row r="1635">
          <cell r="L1635">
            <v>100</v>
          </cell>
          <cell r="N1635">
            <v>44888</v>
          </cell>
        </row>
        <row r="1636">
          <cell r="L1636">
            <v>100</v>
          </cell>
          <cell r="N1636">
            <v>44888</v>
          </cell>
        </row>
        <row r="1637">
          <cell r="L1637">
            <v>100</v>
          </cell>
          <cell r="N1637">
            <v>44888</v>
          </cell>
        </row>
        <row r="1638">
          <cell r="L1638">
            <v>100</v>
          </cell>
          <cell r="N1638">
            <v>44888</v>
          </cell>
        </row>
        <row r="1639">
          <cell r="L1639">
            <v>100</v>
          </cell>
          <cell r="N1639">
            <v>44888</v>
          </cell>
        </row>
        <row r="1640">
          <cell r="L1640">
            <v>100</v>
          </cell>
          <cell r="N1640">
            <v>44888</v>
          </cell>
        </row>
        <row r="1641">
          <cell r="L1641">
            <v>100</v>
          </cell>
          <cell r="N1641">
            <v>44888</v>
          </cell>
        </row>
        <row r="1642">
          <cell r="L1642">
            <v>100</v>
          </cell>
          <cell r="N1642">
            <v>44888</v>
          </cell>
        </row>
        <row r="1643">
          <cell r="L1643">
            <v>100</v>
          </cell>
          <cell r="N1643">
            <v>44888</v>
          </cell>
        </row>
        <row r="1644">
          <cell r="L1644">
            <v>100</v>
          </cell>
          <cell r="N1644">
            <v>44888</v>
          </cell>
        </row>
        <row r="1645">
          <cell r="L1645">
            <v>100</v>
          </cell>
          <cell r="N1645">
            <v>44888</v>
          </cell>
        </row>
        <row r="1646">
          <cell r="L1646">
            <v>100</v>
          </cell>
          <cell r="N1646">
            <v>44888</v>
          </cell>
        </row>
        <row r="1647">
          <cell r="L1647">
            <v>100</v>
          </cell>
          <cell r="N1647">
            <v>44888</v>
          </cell>
        </row>
        <row r="1648">
          <cell r="L1648">
            <v>100</v>
          </cell>
          <cell r="N1648">
            <v>44888</v>
          </cell>
        </row>
        <row r="1649">
          <cell r="L1649">
            <v>100</v>
          </cell>
          <cell r="N1649">
            <v>44888</v>
          </cell>
        </row>
        <row r="1650">
          <cell r="L1650">
            <v>100</v>
          </cell>
          <cell r="N1650">
            <v>44888</v>
          </cell>
        </row>
        <row r="1651">
          <cell r="L1651">
            <v>100</v>
          </cell>
          <cell r="N1651">
            <v>44888</v>
          </cell>
        </row>
        <row r="1652">
          <cell r="L1652">
            <v>100</v>
          </cell>
          <cell r="N1652">
            <v>44888</v>
          </cell>
        </row>
        <row r="1653">
          <cell r="L1653">
            <v>100</v>
          </cell>
          <cell r="N1653">
            <v>44888</v>
          </cell>
        </row>
        <row r="1654">
          <cell r="L1654">
            <v>100</v>
          </cell>
          <cell r="N1654">
            <v>44888</v>
          </cell>
        </row>
        <row r="1655">
          <cell r="L1655">
            <v>100</v>
          </cell>
          <cell r="N1655">
            <v>44888</v>
          </cell>
        </row>
        <row r="1656">
          <cell r="L1656">
            <v>100</v>
          </cell>
          <cell r="N1656">
            <v>44888</v>
          </cell>
        </row>
        <row r="1657">
          <cell r="L1657">
            <v>100</v>
          </cell>
          <cell r="N1657">
            <v>44888</v>
          </cell>
        </row>
        <row r="1658">
          <cell r="L1658">
            <v>100</v>
          </cell>
          <cell r="N1658">
            <v>44888</v>
          </cell>
        </row>
        <row r="1659">
          <cell r="L1659">
            <v>100</v>
          </cell>
          <cell r="N1659">
            <v>44888</v>
          </cell>
        </row>
        <row r="1660">
          <cell r="L1660">
            <v>100</v>
          </cell>
          <cell r="N1660">
            <v>44888</v>
          </cell>
        </row>
        <row r="1661">
          <cell r="L1661">
            <v>100</v>
          </cell>
          <cell r="N1661">
            <v>44888</v>
          </cell>
        </row>
        <row r="1662">
          <cell r="L1662">
            <v>100</v>
          </cell>
          <cell r="N1662">
            <v>44888</v>
          </cell>
        </row>
        <row r="1663">
          <cell r="L1663">
            <v>100</v>
          </cell>
          <cell r="N1663">
            <v>44888</v>
          </cell>
        </row>
        <row r="1664">
          <cell r="L1664">
            <v>100</v>
          </cell>
          <cell r="N1664">
            <v>44888</v>
          </cell>
        </row>
        <row r="1665">
          <cell r="L1665">
            <v>100</v>
          </cell>
          <cell r="N1665">
            <v>44888</v>
          </cell>
        </row>
        <row r="1666">
          <cell r="L1666">
            <v>100</v>
          </cell>
          <cell r="N1666">
            <v>44888</v>
          </cell>
        </row>
        <row r="1667">
          <cell r="L1667">
            <v>100</v>
          </cell>
          <cell r="N1667">
            <v>44888</v>
          </cell>
        </row>
        <row r="1668">
          <cell r="L1668">
            <v>100</v>
          </cell>
          <cell r="N1668">
            <v>44888</v>
          </cell>
        </row>
        <row r="1669">
          <cell r="L1669">
            <v>100</v>
          </cell>
          <cell r="N1669">
            <v>44888</v>
          </cell>
        </row>
        <row r="1670">
          <cell r="L1670">
            <v>100</v>
          </cell>
          <cell r="N1670">
            <v>44888</v>
          </cell>
        </row>
        <row r="1671">
          <cell r="L1671">
            <v>100</v>
          </cell>
          <cell r="N1671">
            <v>44888</v>
          </cell>
        </row>
        <row r="1672">
          <cell r="L1672">
            <v>100</v>
          </cell>
          <cell r="N1672">
            <v>44888</v>
          </cell>
        </row>
        <row r="1673">
          <cell r="L1673">
            <v>100</v>
          </cell>
          <cell r="N1673">
            <v>44888</v>
          </cell>
        </row>
        <row r="1674">
          <cell r="L1674">
            <v>100</v>
          </cell>
          <cell r="N1674">
            <v>44888</v>
          </cell>
        </row>
        <row r="1675">
          <cell r="L1675">
            <v>100</v>
          </cell>
          <cell r="N1675">
            <v>44888</v>
          </cell>
        </row>
        <row r="1676">
          <cell r="L1676">
            <v>100</v>
          </cell>
          <cell r="N1676">
            <v>44888</v>
          </cell>
        </row>
        <row r="1677">
          <cell r="L1677">
            <v>100</v>
          </cell>
          <cell r="N1677">
            <v>44888</v>
          </cell>
        </row>
        <row r="1678">
          <cell r="L1678">
            <v>100</v>
          </cell>
          <cell r="N1678">
            <v>44888</v>
          </cell>
        </row>
        <row r="1679">
          <cell r="L1679">
            <v>100</v>
          </cell>
          <cell r="N1679">
            <v>44888</v>
          </cell>
        </row>
        <row r="1680">
          <cell r="L1680">
            <v>100</v>
          </cell>
          <cell r="N1680">
            <v>44888</v>
          </cell>
        </row>
        <row r="1681">
          <cell r="L1681">
            <v>100</v>
          </cell>
          <cell r="N1681">
            <v>44888</v>
          </cell>
        </row>
        <row r="1682">
          <cell r="L1682">
            <v>100</v>
          </cell>
          <cell r="N1682">
            <v>44888</v>
          </cell>
        </row>
        <row r="1683">
          <cell r="L1683">
            <v>100</v>
          </cell>
          <cell r="N1683">
            <v>44888</v>
          </cell>
        </row>
        <row r="1684">
          <cell r="L1684">
            <v>100</v>
          </cell>
          <cell r="N1684">
            <v>44888</v>
          </cell>
        </row>
        <row r="1685">
          <cell r="L1685">
            <v>100</v>
          </cell>
          <cell r="N1685">
            <v>44888</v>
          </cell>
        </row>
        <row r="1686">
          <cell r="L1686">
            <v>100</v>
          </cell>
          <cell r="N1686">
            <v>44888</v>
          </cell>
        </row>
        <row r="1687">
          <cell r="L1687">
            <v>100</v>
          </cell>
          <cell r="N1687">
            <v>44888</v>
          </cell>
        </row>
        <row r="1688">
          <cell r="L1688">
            <v>100</v>
          </cell>
          <cell r="N1688">
            <v>44888</v>
          </cell>
        </row>
        <row r="1689">
          <cell r="L1689">
            <v>100</v>
          </cell>
          <cell r="N1689">
            <v>44888</v>
          </cell>
        </row>
        <row r="1690">
          <cell r="L1690">
            <v>100</v>
          </cell>
          <cell r="N1690">
            <v>44888</v>
          </cell>
        </row>
        <row r="1691">
          <cell r="L1691">
            <v>100</v>
          </cell>
          <cell r="N1691">
            <v>44917</v>
          </cell>
        </row>
        <row r="1692">
          <cell r="L1692">
            <v>100</v>
          </cell>
          <cell r="N1692">
            <v>44917</v>
          </cell>
        </row>
        <row r="1693">
          <cell r="L1693">
            <v>100</v>
          </cell>
          <cell r="N1693">
            <v>44820</v>
          </cell>
        </row>
        <row r="1694">
          <cell r="L1694">
            <v>100</v>
          </cell>
          <cell r="N1694">
            <v>44820</v>
          </cell>
        </row>
        <row r="1695">
          <cell r="L1695">
            <v>100</v>
          </cell>
          <cell r="N1695">
            <v>44820</v>
          </cell>
        </row>
        <row r="1696">
          <cell r="L1696">
            <v>100</v>
          </cell>
          <cell r="N1696">
            <v>44739</v>
          </cell>
        </row>
        <row r="1697">
          <cell r="L1697">
            <v>100</v>
          </cell>
          <cell r="N1697">
            <v>44739</v>
          </cell>
        </row>
        <row r="1698">
          <cell r="L1698">
            <v>100</v>
          </cell>
          <cell r="N1698">
            <v>44727</v>
          </cell>
        </row>
        <row r="1699">
          <cell r="L1699">
            <v>100</v>
          </cell>
          <cell r="N1699">
            <v>44729</v>
          </cell>
        </row>
        <row r="1700">
          <cell r="L1700">
            <v>100</v>
          </cell>
          <cell r="N1700">
            <v>44917</v>
          </cell>
        </row>
        <row r="1701">
          <cell r="L1701">
            <v>100</v>
          </cell>
          <cell r="N1701">
            <v>44917</v>
          </cell>
        </row>
        <row r="1702">
          <cell r="L1702">
            <v>100</v>
          </cell>
          <cell r="N1702">
            <v>44914</v>
          </cell>
        </row>
        <row r="1703">
          <cell r="L1703">
            <v>100</v>
          </cell>
          <cell r="N1703">
            <v>44914</v>
          </cell>
        </row>
        <row r="1704">
          <cell r="L1704">
            <v>100</v>
          </cell>
          <cell r="N1704">
            <v>44914</v>
          </cell>
        </row>
        <row r="1705">
          <cell r="L1705">
            <v>100</v>
          </cell>
          <cell r="N1705">
            <v>44914</v>
          </cell>
        </row>
        <row r="1706">
          <cell r="L1706">
            <v>100</v>
          </cell>
          <cell r="N1706">
            <v>44922</v>
          </cell>
        </row>
        <row r="1707">
          <cell r="L1707">
            <v>100</v>
          </cell>
          <cell r="N1707">
            <v>44922</v>
          </cell>
        </row>
        <row r="1708">
          <cell r="L1708">
            <v>100</v>
          </cell>
          <cell r="N1708">
            <v>44922</v>
          </cell>
        </row>
        <row r="1709">
          <cell r="L1709">
            <v>100</v>
          </cell>
          <cell r="N1709">
            <v>44922</v>
          </cell>
        </row>
        <row r="1710">
          <cell r="L1710">
            <v>100</v>
          </cell>
          <cell r="N1710">
            <v>44922</v>
          </cell>
        </row>
        <row r="1711">
          <cell r="L1711">
            <v>100</v>
          </cell>
          <cell r="N1711">
            <v>44898</v>
          </cell>
        </row>
        <row r="1712">
          <cell r="L1712">
            <v>100</v>
          </cell>
          <cell r="N1712">
            <v>44898</v>
          </cell>
        </row>
        <row r="1713">
          <cell r="L1713">
            <v>100</v>
          </cell>
          <cell r="N1713">
            <v>44917</v>
          </cell>
        </row>
        <row r="1714">
          <cell r="L1714">
            <v>100</v>
          </cell>
          <cell r="N1714">
            <v>44917</v>
          </cell>
        </row>
        <row r="1715">
          <cell r="L1715">
            <v>100</v>
          </cell>
          <cell r="N1715">
            <v>44922</v>
          </cell>
        </row>
        <row r="1716">
          <cell r="L1716">
            <v>100</v>
          </cell>
          <cell r="N1716">
            <v>44898</v>
          </cell>
        </row>
        <row r="1717">
          <cell r="L1717">
            <v>100</v>
          </cell>
          <cell r="N1717">
            <v>44917</v>
          </cell>
        </row>
        <row r="1718">
          <cell r="L1718">
            <v>100</v>
          </cell>
          <cell r="N1718">
            <v>44917</v>
          </cell>
        </row>
        <row r="1719">
          <cell r="L1719">
            <v>100</v>
          </cell>
          <cell r="N1719">
            <v>44922</v>
          </cell>
        </row>
        <row r="1720">
          <cell r="L1720">
            <v>100</v>
          </cell>
          <cell r="N1720">
            <v>44922</v>
          </cell>
        </row>
        <row r="1721">
          <cell r="L1721">
            <v>100</v>
          </cell>
          <cell r="N1721">
            <v>44917</v>
          </cell>
        </row>
        <row r="1722">
          <cell r="L1722">
            <v>100</v>
          </cell>
          <cell r="N1722">
            <v>44917</v>
          </cell>
        </row>
        <row r="1723">
          <cell r="L1723">
            <v>100</v>
          </cell>
          <cell r="N1723">
            <v>44826</v>
          </cell>
        </row>
        <row r="1724">
          <cell r="L1724">
            <v>100</v>
          </cell>
          <cell r="N1724">
            <v>44825</v>
          </cell>
        </row>
        <row r="1725">
          <cell r="L1725">
            <v>100</v>
          </cell>
          <cell r="N1725">
            <v>44901</v>
          </cell>
        </row>
        <row r="1726">
          <cell r="L1726">
            <v>100</v>
          </cell>
          <cell r="N1726">
            <v>44901</v>
          </cell>
        </row>
        <row r="1727">
          <cell r="L1727">
            <v>100</v>
          </cell>
          <cell r="N1727">
            <v>44901</v>
          </cell>
        </row>
        <row r="1728">
          <cell r="L1728">
            <v>100</v>
          </cell>
          <cell r="N1728">
            <v>44901</v>
          </cell>
        </row>
        <row r="1729">
          <cell r="L1729">
            <v>100</v>
          </cell>
          <cell r="N1729">
            <v>44901</v>
          </cell>
        </row>
        <row r="1730">
          <cell r="L1730">
            <v>100</v>
          </cell>
          <cell r="N1730">
            <v>44901</v>
          </cell>
        </row>
        <row r="1731">
          <cell r="L1731">
            <v>100</v>
          </cell>
          <cell r="N1731">
            <v>44901</v>
          </cell>
        </row>
        <row r="1732">
          <cell r="L1732">
            <v>100</v>
          </cell>
          <cell r="N1732">
            <v>44901</v>
          </cell>
        </row>
        <row r="1733">
          <cell r="L1733">
            <v>100</v>
          </cell>
          <cell r="N1733">
            <v>44901</v>
          </cell>
        </row>
        <row r="1734">
          <cell r="L1734">
            <v>100</v>
          </cell>
          <cell r="N1734">
            <v>44901</v>
          </cell>
        </row>
        <row r="1735">
          <cell r="L1735">
            <v>100</v>
          </cell>
          <cell r="N1735">
            <v>44901</v>
          </cell>
        </row>
        <row r="1736">
          <cell r="L1736">
            <v>100</v>
          </cell>
          <cell r="N1736">
            <v>44901</v>
          </cell>
        </row>
        <row r="1737">
          <cell r="L1737">
            <v>100</v>
          </cell>
          <cell r="N1737">
            <v>44901</v>
          </cell>
        </row>
        <row r="1738">
          <cell r="L1738">
            <v>100</v>
          </cell>
          <cell r="N1738">
            <v>44901</v>
          </cell>
        </row>
        <row r="1739">
          <cell r="L1739">
            <v>100</v>
          </cell>
          <cell r="N1739">
            <v>44901</v>
          </cell>
        </row>
        <row r="1740">
          <cell r="L1740">
            <v>100</v>
          </cell>
          <cell r="N1740">
            <v>44901</v>
          </cell>
        </row>
        <row r="1741">
          <cell r="L1741">
            <v>100</v>
          </cell>
          <cell r="N1741">
            <v>44901</v>
          </cell>
        </row>
        <row r="1742">
          <cell r="L1742">
            <v>100</v>
          </cell>
          <cell r="N1742">
            <v>44901</v>
          </cell>
        </row>
        <row r="1743">
          <cell r="L1743">
            <v>100</v>
          </cell>
          <cell r="N1743">
            <v>44901</v>
          </cell>
        </row>
        <row r="1744">
          <cell r="L1744">
            <v>100</v>
          </cell>
          <cell r="N1744">
            <v>44901</v>
          </cell>
        </row>
        <row r="1745">
          <cell r="L1745">
            <v>100</v>
          </cell>
          <cell r="N1745">
            <v>44901</v>
          </cell>
        </row>
        <row r="1746">
          <cell r="L1746">
            <v>100</v>
          </cell>
          <cell r="N1746">
            <v>44901</v>
          </cell>
        </row>
        <row r="1747">
          <cell r="L1747">
            <v>100</v>
          </cell>
          <cell r="N1747">
            <v>44901</v>
          </cell>
        </row>
        <row r="1748">
          <cell r="L1748">
            <v>100</v>
          </cell>
          <cell r="N1748">
            <v>44901</v>
          </cell>
        </row>
        <row r="1749">
          <cell r="L1749">
            <v>100</v>
          </cell>
          <cell r="N1749">
            <v>44765</v>
          </cell>
        </row>
        <row r="1750">
          <cell r="L1750">
            <v>100</v>
          </cell>
          <cell r="N1750">
            <v>44901</v>
          </cell>
        </row>
        <row r="1751">
          <cell r="L1751">
            <v>100</v>
          </cell>
          <cell r="N1751">
            <v>44880</v>
          </cell>
        </row>
        <row r="1752">
          <cell r="L1752">
            <v>100</v>
          </cell>
          <cell r="N1752">
            <v>44880</v>
          </cell>
        </row>
        <row r="1753">
          <cell r="L1753">
            <v>100</v>
          </cell>
          <cell r="N1753">
            <v>44880</v>
          </cell>
        </row>
        <row r="1754">
          <cell r="L1754">
            <v>100</v>
          </cell>
          <cell r="N1754">
            <v>44880</v>
          </cell>
        </row>
        <row r="1755">
          <cell r="L1755">
            <v>100</v>
          </cell>
          <cell r="N1755">
            <v>44880</v>
          </cell>
        </row>
        <row r="1756">
          <cell r="L1756">
            <v>100</v>
          </cell>
          <cell r="N1756">
            <v>44880</v>
          </cell>
        </row>
        <row r="1757">
          <cell r="L1757">
            <v>100</v>
          </cell>
          <cell r="N1757">
            <v>44880</v>
          </cell>
        </row>
        <row r="1758">
          <cell r="L1758">
            <v>100</v>
          </cell>
          <cell r="N1758">
            <v>44880</v>
          </cell>
        </row>
        <row r="1759">
          <cell r="L1759">
            <v>100</v>
          </cell>
          <cell r="N1759">
            <v>44880</v>
          </cell>
        </row>
        <row r="1760">
          <cell r="L1760">
            <v>100</v>
          </cell>
          <cell r="N1760">
            <v>44880</v>
          </cell>
        </row>
        <row r="1761">
          <cell r="L1761">
            <v>100</v>
          </cell>
          <cell r="N1761">
            <v>44880</v>
          </cell>
        </row>
        <row r="1762">
          <cell r="L1762">
            <v>100</v>
          </cell>
          <cell r="N1762">
            <v>44880</v>
          </cell>
        </row>
        <row r="1763">
          <cell r="L1763">
            <v>100</v>
          </cell>
          <cell r="N1763">
            <v>44880</v>
          </cell>
        </row>
        <row r="1764">
          <cell r="L1764">
            <v>100</v>
          </cell>
          <cell r="N1764">
            <v>44880</v>
          </cell>
        </row>
        <row r="1765">
          <cell r="L1765">
            <v>100</v>
          </cell>
          <cell r="N1765">
            <v>44880</v>
          </cell>
        </row>
        <row r="1766">
          <cell r="L1766">
            <v>100</v>
          </cell>
          <cell r="N1766">
            <v>44880</v>
          </cell>
        </row>
        <row r="1767">
          <cell r="L1767">
            <v>100</v>
          </cell>
          <cell r="N1767">
            <v>44880</v>
          </cell>
        </row>
        <row r="1768">
          <cell r="L1768">
            <v>100</v>
          </cell>
          <cell r="N1768">
            <v>44880</v>
          </cell>
        </row>
        <row r="1769">
          <cell r="L1769">
            <v>100</v>
          </cell>
          <cell r="N1769">
            <v>44880</v>
          </cell>
        </row>
        <row r="1770">
          <cell r="L1770">
            <v>100</v>
          </cell>
          <cell r="N1770">
            <v>44880</v>
          </cell>
        </row>
        <row r="1771">
          <cell r="L1771">
            <v>100</v>
          </cell>
          <cell r="N1771">
            <v>44880</v>
          </cell>
        </row>
        <row r="1772">
          <cell r="L1772">
            <v>100</v>
          </cell>
          <cell r="N1772">
            <v>44880</v>
          </cell>
        </row>
        <row r="1773">
          <cell r="L1773">
            <v>100</v>
          </cell>
          <cell r="N1773">
            <v>44880</v>
          </cell>
        </row>
        <row r="1774">
          <cell r="L1774">
            <v>100</v>
          </cell>
          <cell r="N1774">
            <v>44880</v>
          </cell>
        </row>
        <row r="1775">
          <cell r="L1775">
            <v>100</v>
          </cell>
          <cell r="N1775">
            <v>44680</v>
          </cell>
        </row>
        <row r="1776">
          <cell r="L1776">
            <v>100</v>
          </cell>
          <cell r="N1776">
            <v>44680</v>
          </cell>
        </row>
        <row r="1777">
          <cell r="L1777">
            <v>100</v>
          </cell>
          <cell r="N1777">
            <v>44680</v>
          </cell>
        </row>
        <row r="1778">
          <cell r="L1778">
            <v>100</v>
          </cell>
          <cell r="N1778">
            <v>44680</v>
          </cell>
        </row>
        <row r="1779">
          <cell r="L1779">
            <v>100</v>
          </cell>
          <cell r="N1779">
            <v>44680</v>
          </cell>
        </row>
        <row r="1780">
          <cell r="L1780">
            <v>100</v>
          </cell>
          <cell r="N1780">
            <v>44680</v>
          </cell>
        </row>
        <row r="1781">
          <cell r="L1781">
            <v>100</v>
          </cell>
          <cell r="N1781">
            <v>44680</v>
          </cell>
        </row>
        <row r="1782">
          <cell r="L1782">
            <v>100</v>
          </cell>
          <cell r="N1782">
            <v>44680</v>
          </cell>
        </row>
        <row r="1783">
          <cell r="L1783">
            <v>100</v>
          </cell>
          <cell r="N1783">
            <v>44680</v>
          </cell>
        </row>
        <row r="1784">
          <cell r="L1784">
            <v>100</v>
          </cell>
          <cell r="N1784">
            <v>44680</v>
          </cell>
        </row>
        <row r="1785">
          <cell r="L1785">
            <v>100</v>
          </cell>
          <cell r="N1785">
            <v>44680</v>
          </cell>
        </row>
        <row r="1786">
          <cell r="L1786">
            <v>100</v>
          </cell>
          <cell r="N1786">
            <v>44680</v>
          </cell>
        </row>
        <row r="1787">
          <cell r="L1787">
            <v>100</v>
          </cell>
          <cell r="N1787">
            <v>44680</v>
          </cell>
        </row>
        <row r="1788">
          <cell r="L1788">
            <v>100</v>
          </cell>
          <cell r="N1788">
            <v>44680</v>
          </cell>
        </row>
        <row r="1789">
          <cell r="L1789">
            <v>100</v>
          </cell>
          <cell r="N1789">
            <v>44680</v>
          </cell>
        </row>
        <row r="1790">
          <cell r="L1790">
            <v>100</v>
          </cell>
          <cell r="N1790">
            <v>44680</v>
          </cell>
        </row>
        <row r="1791">
          <cell r="L1791">
            <v>100</v>
          </cell>
          <cell r="N1791">
            <v>44680</v>
          </cell>
        </row>
        <row r="1792">
          <cell r="L1792">
            <v>100</v>
          </cell>
          <cell r="N1792">
            <v>44680</v>
          </cell>
        </row>
        <row r="1793">
          <cell r="L1793">
            <v>100</v>
          </cell>
          <cell r="N1793">
            <v>44680</v>
          </cell>
        </row>
        <row r="1794">
          <cell r="L1794">
            <v>100</v>
          </cell>
          <cell r="N1794">
            <v>44680</v>
          </cell>
        </row>
        <row r="1795">
          <cell r="L1795">
            <v>100</v>
          </cell>
          <cell r="N1795">
            <v>44680</v>
          </cell>
        </row>
        <row r="1796">
          <cell r="L1796">
            <v>100</v>
          </cell>
          <cell r="N1796">
            <v>44680</v>
          </cell>
        </row>
        <row r="1797">
          <cell r="L1797">
            <v>100</v>
          </cell>
          <cell r="N1797">
            <v>44680</v>
          </cell>
        </row>
        <row r="1798">
          <cell r="L1798">
            <v>100</v>
          </cell>
          <cell r="N1798">
            <v>44680</v>
          </cell>
        </row>
        <row r="1799">
          <cell r="L1799">
            <v>100</v>
          </cell>
          <cell r="N1799">
            <v>44680</v>
          </cell>
        </row>
        <row r="1800">
          <cell r="L1800">
            <v>100</v>
          </cell>
          <cell r="N1800">
            <v>44680</v>
          </cell>
        </row>
        <row r="1801">
          <cell r="L1801">
            <v>100</v>
          </cell>
          <cell r="N1801">
            <v>44680</v>
          </cell>
        </row>
        <row r="1802">
          <cell r="L1802">
            <v>100</v>
          </cell>
          <cell r="N1802">
            <v>44680</v>
          </cell>
        </row>
        <row r="1803">
          <cell r="L1803">
            <v>100</v>
          </cell>
          <cell r="N1803">
            <v>44680</v>
          </cell>
        </row>
        <row r="1804">
          <cell r="L1804">
            <v>100</v>
          </cell>
          <cell r="N1804">
            <v>44680</v>
          </cell>
        </row>
        <row r="1805">
          <cell r="L1805">
            <v>100</v>
          </cell>
          <cell r="N1805">
            <v>44680</v>
          </cell>
        </row>
        <row r="1806">
          <cell r="L1806">
            <v>100</v>
          </cell>
          <cell r="N1806">
            <v>44680</v>
          </cell>
        </row>
        <row r="1807">
          <cell r="L1807">
            <v>100</v>
          </cell>
          <cell r="N1807">
            <v>44680</v>
          </cell>
        </row>
        <row r="1808">
          <cell r="L1808">
            <v>100</v>
          </cell>
          <cell r="N1808">
            <v>44680</v>
          </cell>
        </row>
        <row r="1809">
          <cell r="L1809">
            <v>100</v>
          </cell>
          <cell r="N1809">
            <v>44680</v>
          </cell>
        </row>
        <row r="1810">
          <cell r="L1810">
            <v>100</v>
          </cell>
          <cell r="N1810">
            <v>44680</v>
          </cell>
        </row>
        <row r="1811">
          <cell r="L1811">
            <v>100</v>
          </cell>
          <cell r="N1811">
            <v>44680</v>
          </cell>
        </row>
        <row r="1812">
          <cell r="L1812">
            <v>100</v>
          </cell>
          <cell r="N1812">
            <v>44680</v>
          </cell>
        </row>
        <row r="1813">
          <cell r="L1813">
            <v>100</v>
          </cell>
          <cell r="N1813">
            <v>44680</v>
          </cell>
        </row>
        <row r="1814">
          <cell r="L1814">
            <v>100</v>
          </cell>
          <cell r="N1814">
            <v>44680</v>
          </cell>
        </row>
        <row r="1815">
          <cell r="L1815">
            <v>100</v>
          </cell>
          <cell r="N1815">
            <v>44680</v>
          </cell>
        </row>
        <row r="1816">
          <cell r="L1816">
            <v>100</v>
          </cell>
          <cell r="N1816">
            <v>44680</v>
          </cell>
        </row>
        <row r="1817">
          <cell r="L1817">
            <v>100</v>
          </cell>
          <cell r="N1817">
            <v>44680</v>
          </cell>
        </row>
        <row r="1818">
          <cell r="L1818">
            <v>100</v>
          </cell>
          <cell r="N1818">
            <v>44680</v>
          </cell>
        </row>
        <row r="1819">
          <cell r="L1819">
            <v>100</v>
          </cell>
          <cell r="N1819">
            <v>44680</v>
          </cell>
        </row>
        <row r="1820">
          <cell r="L1820">
            <v>100</v>
          </cell>
          <cell r="N1820">
            <v>44680</v>
          </cell>
        </row>
        <row r="1821">
          <cell r="L1821">
            <v>100</v>
          </cell>
          <cell r="N1821">
            <v>44680</v>
          </cell>
        </row>
        <row r="1822">
          <cell r="L1822">
            <v>100</v>
          </cell>
          <cell r="N1822">
            <v>44680</v>
          </cell>
        </row>
        <row r="1823">
          <cell r="L1823">
            <v>100</v>
          </cell>
          <cell r="N1823">
            <v>44680</v>
          </cell>
        </row>
        <row r="1824">
          <cell r="L1824">
            <v>100</v>
          </cell>
          <cell r="N1824">
            <v>44680</v>
          </cell>
        </row>
        <row r="1825">
          <cell r="L1825">
            <v>100</v>
          </cell>
          <cell r="N1825">
            <v>44680</v>
          </cell>
        </row>
        <row r="1826">
          <cell r="L1826">
            <v>100</v>
          </cell>
          <cell r="N1826">
            <v>44680</v>
          </cell>
        </row>
        <row r="1827">
          <cell r="L1827">
            <v>100</v>
          </cell>
          <cell r="N1827">
            <v>44680</v>
          </cell>
        </row>
        <row r="1828">
          <cell r="L1828">
            <v>100</v>
          </cell>
          <cell r="N1828">
            <v>44680</v>
          </cell>
        </row>
        <row r="1829">
          <cell r="L1829">
            <v>100</v>
          </cell>
          <cell r="N1829">
            <v>44680</v>
          </cell>
        </row>
        <row r="1830">
          <cell r="L1830">
            <v>100</v>
          </cell>
          <cell r="N1830">
            <v>44680</v>
          </cell>
        </row>
        <row r="1831">
          <cell r="L1831">
            <v>100</v>
          </cell>
          <cell r="N1831">
            <v>44680</v>
          </cell>
        </row>
        <row r="1832">
          <cell r="L1832">
            <v>100</v>
          </cell>
          <cell r="N1832">
            <v>44680</v>
          </cell>
        </row>
        <row r="1833">
          <cell r="L1833">
            <v>100</v>
          </cell>
          <cell r="N1833">
            <v>44680</v>
          </cell>
        </row>
        <row r="1834">
          <cell r="L1834">
            <v>100</v>
          </cell>
          <cell r="N1834">
            <v>44680</v>
          </cell>
        </row>
        <row r="1835">
          <cell r="L1835">
            <v>100</v>
          </cell>
          <cell r="N1835">
            <v>44680</v>
          </cell>
        </row>
        <row r="1836">
          <cell r="L1836">
            <v>100</v>
          </cell>
          <cell r="N1836">
            <v>44680</v>
          </cell>
        </row>
        <row r="1837">
          <cell r="L1837">
            <v>100</v>
          </cell>
          <cell r="N1837">
            <v>44680</v>
          </cell>
        </row>
        <row r="1838">
          <cell r="L1838">
            <v>100</v>
          </cell>
          <cell r="N1838">
            <v>44680</v>
          </cell>
        </row>
        <row r="1839">
          <cell r="L1839">
            <v>100</v>
          </cell>
          <cell r="N1839">
            <v>44680</v>
          </cell>
        </row>
        <row r="1840">
          <cell r="L1840">
            <v>100</v>
          </cell>
          <cell r="N1840">
            <v>44680</v>
          </cell>
        </row>
        <row r="1841">
          <cell r="L1841">
            <v>100</v>
          </cell>
          <cell r="N1841">
            <v>44765</v>
          </cell>
        </row>
        <row r="1842">
          <cell r="L1842">
            <v>100</v>
          </cell>
          <cell r="N1842">
            <v>44901</v>
          </cell>
        </row>
        <row r="1843">
          <cell r="L1843">
            <v>100</v>
          </cell>
          <cell r="N1843"/>
        </row>
        <row r="1844">
          <cell r="L1844">
            <v>100</v>
          </cell>
          <cell r="N1844"/>
        </row>
        <row r="1845">
          <cell r="L1845">
            <v>100</v>
          </cell>
          <cell r="N1845"/>
        </row>
        <row r="1846">
          <cell r="L1846">
            <v>100</v>
          </cell>
          <cell r="N1846">
            <v>44870</v>
          </cell>
        </row>
        <row r="1847">
          <cell r="L1847">
            <v>100</v>
          </cell>
          <cell r="N1847">
            <v>44870</v>
          </cell>
        </row>
        <row r="1848">
          <cell r="L1848">
            <v>100</v>
          </cell>
          <cell r="N1848">
            <v>44870</v>
          </cell>
        </row>
        <row r="1849">
          <cell r="L1849">
            <v>100</v>
          </cell>
          <cell r="N1849">
            <v>44831</v>
          </cell>
        </row>
        <row r="1850">
          <cell r="L1850">
            <v>100</v>
          </cell>
          <cell r="N1850">
            <v>44831</v>
          </cell>
        </row>
        <row r="1851">
          <cell r="L1851">
            <v>100</v>
          </cell>
          <cell r="N1851">
            <v>44661</v>
          </cell>
        </row>
        <row r="1852">
          <cell r="L1852">
            <v>100</v>
          </cell>
          <cell r="N1852">
            <v>44661</v>
          </cell>
        </row>
        <row r="1853">
          <cell r="L1853">
            <v>100</v>
          </cell>
          <cell r="N1853">
            <v>44661</v>
          </cell>
        </row>
        <row r="1854">
          <cell r="L1854">
            <v>100</v>
          </cell>
          <cell r="N1854">
            <v>44658</v>
          </cell>
        </row>
        <row r="1855">
          <cell r="L1855">
            <v>100</v>
          </cell>
          <cell r="N1855">
            <v>44659</v>
          </cell>
        </row>
        <row r="1856">
          <cell r="L1856">
            <v>100</v>
          </cell>
          <cell r="N1856">
            <v>44659</v>
          </cell>
        </row>
        <row r="1857">
          <cell r="L1857">
            <v>100</v>
          </cell>
          <cell r="N1857">
            <v>44659</v>
          </cell>
        </row>
        <row r="1858">
          <cell r="L1858">
            <v>100</v>
          </cell>
          <cell r="N1858">
            <v>44659</v>
          </cell>
        </row>
        <row r="1859">
          <cell r="L1859">
            <v>100</v>
          </cell>
          <cell r="N1859">
            <v>44659</v>
          </cell>
        </row>
        <row r="1860">
          <cell r="L1860">
            <v>100</v>
          </cell>
          <cell r="N1860">
            <v>44659</v>
          </cell>
        </row>
        <row r="1861">
          <cell r="L1861">
            <v>100</v>
          </cell>
          <cell r="N1861">
            <v>44659</v>
          </cell>
        </row>
        <row r="1862">
          <cell r="L1862">
            <v>100</v>
          </cell>
          <cell r="N1862">
            <v>44532</v>
          </cell>
        </row>
        <row r="1863">
          <cell r="L1863">
            <v>100</v>
          </cell>
          <cell r="N1863">
            <v>44532</v>
          </cell>
        </row>
        <row r="1864">
          <cell r="L1864">
            <v>100</v>
          </cell>
          <cell r="N1864">
            <v>44531</v>
          </cell>
        </row>
        <row r="1865">
          <cell r="L1865">
            <v>100</v>
          </cell>
          <cell r="N1865">
            <v>44531</v>
          </cell>
        </row>
        <row r="1866">
          <cell r="L1866">
            <v>100</v>
          </cell>
          <cell r="N1866">
            <v>44531</v>
          </cell>
        </row>
        <row r="1867">
          <cell r="L1867">
            <v>100</v>
          </cell>
          <cell r="N1867">
            <v>44531</v>
          </cell>
        </row>
        <row r="1868">
          <cell r="L1868">
            <v>100</v>
          </cell>
          <cell r="N1868">
            <v>44531</v>
          </cell>
        </row>
        <row r="1869">
          <cell r="L1869">
            <v>100</v>
          </cell>
          <cell r="N1869">
            <v>44785</v>
          </cell>
        </row>
        <row r="1870">
          <cell r="L1870">
            <v>100</v>
          </cell>
          <cell r="N1870">
            <v>44785</v>
          </cell>
        </row>
        <row r="1871">
          <cell r="L1871">
            <v>100</v>
          </cell>
          <cell r="N1871">
            <v>44785</v>
          </cell>
        </row>
        <row r="1872">
          <cell r="L1872">
            <v>100</v>
          </cell>
          <cell r="N1872">
            <v>44656</v>
          </cell>
        </row>
        <row r="1873">
          <cell r="L1873">
            <v>100</v>
          </cell>
          <cell r="N1873">
            <v>44531</v>
          </cell>
        </row>
        <row r="1874">
          <cell r="L1874">
            <v>100</v>
          </cell>
          <cell r="N1874">
            <v>44656</v>
          </cell>
        </row>
        <row r="1875">
          <cell r="L1875">
            <v>100</v>
          </cell>
          <cell r="N1875">
            <v>44656</v>
          </cell>
        </row>
        <row r="1876">
          <cell r="L1876">
            <v>100</v>
          </cell>
          <cell r="N1876">
            <v>44531</v>
          </cell>
        </row>
        <row r="1877">
          <cell r="L1877">
            <v>100</v>
          </cell>
          <cell r="N1877">
            <v>44813</v>
          </cell>
        </row>
        <row r="1878">
          <cell r="L1878">
            <v>100</v>
          </cell>
          <cell r="N1878">
            <v>44813</v>
          </cell>
        </row>
        <row r="1879">
          <cell r="L1879">
            <v>100</v>
          </cell>
          <cell r="N1879">
            <v>44813</v>
          </cell>
        </row>
        <row r="1880">
          <cell r="L1880">
            <v>100</v>
          </cell>
          <cell r="N1880">
            <v>44831</v>
          </cell>
        </row>
        <row r="1881">
          <cell r="L1881">
            <v>100</v>
          </cell>
          <cell r="N1881">
            <v>44820</v>
          </cell>
        </row>
        <row r="1882">
          <cell r="L1882">
            <v>100</v>
          </cell>
          <cell r="N1882">
            <v>44830</v>
          </cell>
        </row>
        <row r="1883">
          <cell r="L1883">
            <v>100</v>
          </cell>
          <cell r="N1883">
            <v>44830</v>
          </cell>
        </row>
        <row r="1884">
          <cell r="L1884">
            <v>100</v>
          </cell>
          <cell r="N1884">
            <v>44830</v>
          </cell>
        </row>
        <row r="1885">
          <cell r="L1885">
            <v>100</v>
          </cell>
          <cell r="N1885">
            <v>44635</v>
          </cell>
        </row>
        <row r="1886">
          <cell r="L1886">
            <v>100</v>
          </cell>
          <cell r="N1886">
            <v>44635</v>
          </cell>
        </row>
        <row r="1887">
          <cell r="L1887">
            <v>100</v>
          </cell>
          <cell r="N1887">
            <v>44656</v>
          </cell>
        </row>
        <row r="1888">
          <cell r="L1888">
            <v>100</v>
          </cell>
          <cell r="N1888">
            <v>44656</v>
          </cell>
        </row>
        <row r="1889">
          <cell r="L1889">
            <v>100</v>
          </cell>
          <cell r="N1889">
            <v>44831</v>
          </cell>
        </row>
        <row r="1890">
          <cell r="L1890">
            <v>100</v>
          </cell>
          <cell r="N1890"/>
        </row>
        <row r="1891">
          <cell r="L1891">
            <v>100</v>
          </cell>
          <cell r="N1891"/>
        </row>
        <row r="1892">
          <cell r="L1892">
            <v>100</v>
          </cell>
          <cell r="N1892"/>
        </row>
        <row r="1893">
          <cell r="L1893">
            <v>100</v>
          </cell>
          <cell r="N1893"/>
        </row>
        <row r="1894">
          <cell r="L1894">
            <v>100</v>
          </cell>
          <cell r="N1894"/>
        </row>
        <row r="1895">
          <cell r="L1895">
            <v>100</v>
          </cell>
          <cell r="N1895">
            <v>44661</v>
          </cell>
        </row>
        <row r="1896">
          <cell r="L1896">
            <v>100</v>
          </cell>
          <cell r="N1896">
            <v>44661</v>
          </cell>
        </row>
        <row r="1897">
          <cell r="L1897">
            <v>100</v>
          </cell>
          <cell r="N1897">
            <v>44661</v>
          </cell>
        </row>
        <row r="1898">
          <cell r="L1898">
            <v>100</v>
          </cell>
          <cell r="N1898"/>
        </row>
        <row r="1899">
          <cell r="L1899">
            <v>100</v>
          </cell>
          <cell r="N1899"/>
        </row>
        <row r="1900">
          <cell r="L1900">
            <v>100</v>
          </cell>
          <cell r="N1900"/>
        </row>
        <row r="1901">
          <cell r="L1901">
            <v>100</v>
          </cell>
          <cell r="N1901"/>
        </row>
        <row r="1902">
          <cell r="L1902">
            <v>100</v>
          </cell>
          <cell r="N1902"/>
        </row>
        <row r="1903">
          <cell r="L1903">
            <v>100</v>
          </cell>
          <cell r="N1903">
            <v>44831</v>
          </cell>
        </row>
        <row r="1904">
          <cell r="L1904">
            <v>100</v>
          </cell>
          <cell r="N1904">
            <v>44772</v>
          </cell>
        </row>
        <row r="1905">
          <cell r="L1905">
            <v>100</v>
          </cell>
          <cell r="N1905">
            <v>44772</v>
          </cell>
        </row>
        <row r="1906">
          <cell r="L1906">
            <v>100</v>
          </cell>
          <cell r="N1906"/>
        </row>
        <row r="1907">
          <cell r="L1907">
            <v>100</v>
          </cell>
          <cell r="N1907"/>
        </row>
        <row r="1908">
          <cell r="L1908">
            <v>100</v>
          </cell>
          <cell r="N1908"/>
        </row>
        <row r="1909">
          <cell r="L1909">
            <v>100</v>
          </cell>
          <cell r="N1909"/>
        </row>
        <row r="1910">
          <cell r="L1910">
            <v>100</v>
          </cell>
          <cell r="N1910">
            <v>44661</v>
          </cell>
        </row>
        <row r="1911">
          <cell r="L1911">
            <v>100</v>
          </cell>
          <cell r="N1911">
            <v>44661</v>
          </cell>
        </row>
        <row r="1912">
          <cell r="L1912">
            <v>100</v>
          </cell>
          <cell r="N1912">
            <v>44661</v>
          </cell>
        </row>
        <row r="1913">
          <cell r="L1913">
            <v>100</v>
          </cell>
          <cell r="N1913"/>
        </row>
        <row r="1914">
          <cell r="L1914">
            <v>100</v>
          </cell>
          <cell r="N1914"/>
        </row>
        <row r="1915">
          <cell r="L1915">
            <v>100</v>
          </cell>
          <cell r="N1915">
            <v>44662</v>
          </cell>
        </row>
        <row r="1916">
          <cell r="L1916">
            <v>100</v>
          </cell>
          <cell r="N1916">
            <v>44662</v>
          </cell>
        </row>
        <row r="1917">
          <cell r="L1917">
            <v>100</v>
          </cell>
          <cell r="N1917">
            <v>44653</v>
          </cell>
        </row>
        <row r="1918">
          <cell r="L1918">
            <v>100</v>
          </cell>
          <cell r="N1918">
            <v>44653</v>
          </cell>
        </row>
        <row r="1919">
          <cell r="L1919">
            <v>100</v>
          </cell>
          <cell r="N1919">
            <v>44653</v>
          </cell>
        </row>
        <row r="1920">
          <cell r="L1920">
            <v>100</v>
          </cell>
          <cell r="N1920">
            <v>44653</v>
          </cell>
        </row>
        <row r="1921">
          <cell r="L1921">
            <v>100</v>
          </cell>
          <cell r="N1921"/>
        </row>
        <row r="1922">
          <cell r="L1922">
            <v>100</v>
          </cell>
          <cell r="N1922"/>
        </row>
        <row r="1923">
          <cell r="L1923">
            <v>100</v>
          </cell>
          <cell r="N1923"/>
        </row>
        <row r="1924">
          <cell r="L1924">
            <v>100</v>
          </cell>
          <cell r="N1924"/>
        </row>
        <row r="1925">
          <cell r="L1925">
            <v>100</v>
          </cell>
          <cell r="N1925"/>
        </row>
        <row r="1926">
          <cell r="L1926">
            <v>100</v>
          </cell>
          <cell r="N1926">
            <v>44817</v>
          </cell>
        </row>
        <row r="1927">
          <cell r="L1927">
            <v>100</v>
          </cell>
          <cell r="N1927">
            <v>44817</v>
          </cell>
        </row>
        <row r="1928">
          <cell r="L1928">
            <v>100</v>
          </cell>
          <cell r="N1928">
            <v>44749</v>
          </cell>
        </row>
        <row r="1929">
          <cell r="L1929">
            <v>100</v>
          </cell>
          <cell r="N1929">
            <v>44749</v>
          </cell>
        </row>
        <row r="1930">
          <cell r="L1930">
            <v>100</v>
          </cell>
          <cell r="N1930">
            <v>44749</v>
          </cell>
        </row>
        <row r="1931">
          <cell r="L1931">
            <v>100</v>
          </cell>
          <cell r="N1931">
            <v>44749</v>
          </cell>
        </row>
        <row r="1932">
          <cell r="L1932">
            <v>100</v>
          </cell>
          <cell r="N1932">
            <v>44749</v>
          </cell>
        </row>
        <row r="1933">
          <cell r="L1933">
            <v>100</v>
          </cell>
          <cell r="N1933">
            <v>44721</v>
          </cell>
        </row>
        <row r="1934">
          <cell r="L1934">
            <v>100</v>
          </cell>
          <cell r="N1934">
            <v>44721</v>
          </cell>
        </row>
        <row r="1935">
          <cell r="L1935">
            <v>100</v>
          </cell>
          <cell r="N1935">
            <v>44739</v>
          </cell>
        </row>
        <row r="1936">
          <cell r="L1936">
            <v>100</v>
          </cell>
          <cell r="N1936">
            <v>44739</v>
          </cell>
        </row>
        <row r="1937">
          <cell r="L1937">
            <v>100</v>
          </cell>
          <cell r="N1937">
            <v>44870</v>
          </cell>
        </row>
        <row r="1938">
          <cell r="L1938">
            <v>100</v>
          </cell>
          <cell r="N1938">
            <v>44870</v>
          </cell>
        </row>
        <row r="1939">
          <cell r="L1939">
            <v>100</v>
          </cell>
          <cell r="N1939">
            <v>44870</v>
          </cell>
        </row>
        <row r="1940">
          <cell r="L1940">
            <v>100</v>
          </cell>
          <cell r="N1940">
            <v>44870</v>
          </cell>
        </row>
        <row r="1941">
          <cell r="L1941">
            <v>100</v>
          </cell>
          <cell r="N1941">
            <v>44870</v>
          </cell>
        </row>
        <row r="1942">
          <cell r="L1942">
            <v>100</v>
          </cell>
          <cell r="N1942"/>
        </row>
        <row r="1943">
          <cell r="L1943">
            <v>100</v>
          </cell>
          <cell r="N1943">
            <v>44870</v>
          </cell>
        </row>
        <row r="1944">
          <cell r="L1944">
            <v>100</v>
          </cell>
          <cell r="N1944">
            <v>44777</v>
          </cell>
        </row>
        <row r="1945">
          <cell r="L1945">
            <v>100</v>
          </cell>
          <cell r="N1945">
            <v>44777</v>
          </cell>
        </row>
        <row r="1946">
          <cell r="L1946">
            <v>100</v>
          </cell>
          <cell r="N1946"/>
        </row>
        <row r="1947">
          <cell r="L1947">
            <v>100</v>
          </cell>
          <cell r="N1947"/>
        </row>
        <row r="1948">
          <cell r="L1948">
            <v>100</v>
          </cell>
          <cell r="N1948">
            <v>44806</v>
          </cell>
        </row>
        <row r="1949">
          <cell r="L1949">
            <v>100</v>
          </cell>
          <cell r="N1949">
            <v>44831</v>
          </cell>
        </row>
        <row r="1950">
          <cell r="L1950">
            <v>100</v>
          </cell>
          <cell r="N1950">
            <v>44831</v>
          </cell>
        </row>
        <row r="1951">
          <cell r="L1951">
            <v>100</v>
          </cell>
          <cell r="N1951">
            <v>44831</v>
          </cell>
        </row>
        <row r="1952">
          <cell r="L1952">
            <v>100</v>
          </cell>
          <cell r="N1952">
            <v>44659</v>
          </cell>
        </row>
        <row r="1953">
          <cell r="L1953">
            <v>100</v>
          </cell>
          <cell r="N1953">
            <v>44659</v>
          </cell>
        </row>
        <row r="1954">
          <cell r="L1954">
            <v>100</v>
          </cell>
          <cell r="N1954">
            <v>44813</v>
          </cell>
        </row>
        <row r="1955">
          <cell r="L1955">
            <v>100</v>
          </cell>
          <cell r="N1955">
            <v>44813</v>
          </cell>
        </row>
        <row r="1956">
          <cell r="L1956">
            <v>100</v>
          </cell>
          <cell r="N1956">
            <v>44813</v>
          </cell>
        </row>
        <row r="1957">
          <cell r="L1957">
            <v>100</v>
          </cell>
          <cell r="N1957">
            <v>44813</v>
          </cell>
        </row>
        <row r="1958">
          <cell r="L1958">
            <v>100</v>
          </cell>
          <cell r="N1958">
            <v>44813</v>
          </cell>
        </row>
        <row r="1959">
          <cell r="L1959">
            <v>100</v>
          </cell>
          <cell r="N1959">
            <v>44813</v>
          </cell>
        </row>
        <row r="1960">
          <cell r="L1960">
            <v>100</v>
          </cell>
          <cell r="N1960">
            <v>44831</v>
          </cell>
        </row>
        <row r="1961">
          <cell r="L1961">
            <v>100</v>
          </cell>
          <cell r="N1961">
            <v>44831</v>
          </cell>
        </row>
        <row r="1962">
          <cell r="L1962">
            <v>100</v>
          </cell>
          <cell r="N1962">
            <v>44831</v>
          </cell>
        </row>
        <row r="1963">
          <cell r="L1963">
            <v>100</v>
          </cell>
          <cell r="N1963">
            <v>44820</v>
          </cell>
        </row>
        <row r="1964">
          <cell r="L1964">
            <v>100</v>
          </cell>
          <cell r="N1964">
            <v>44820</v>
          </cell>
        </row>
        <row r="1965">
          <cell r="L1965">
            <v>100</v>
          </cell>
          <cell r="N1965">
            <v>44820</v>
          </cell>
        </row>
        <row r="1966">
          <cell r="L1966">
            <v>100</v>
          </cell>
          <cell r="N1966">
            <v>44806</v>
          </cell>
        </row>
        <row r="1967">
          <cell r="L1967">
            <v>100</v>
          </cell>
          <cell r="N1967">
            <v>44806</v>
          </cell>
        </row>
        <row r="1968">
          <cell r="L1968">
            <v>100</v>
          </cell>
          <cell r="N1968">
            <v>44806</v>
          </cell>
        </row>
        <row r="1969">
          <cell r="L1969">
            <v>100</v>
          </cell>
          <cell r="N1969">
            <v>44806</v>
          </cell>
        </row>
        <row r="1970">
          <cell r="L1970">
            <v>100</v>
          </cell>
          <cell r="N1970"/>
        </row>
        <row r="1971">
          <cell r="L1971">
            <v>100</v>
          </cell>
          <cell r="N1971"/>
        </row>
        <row r="1972">
          <cell r="L1972">
            <v>100</v>
          </cell>
          <cell r="N1972">
            <v>44661</v>
          </cell>
        </row>
        <row r="1973">
          <cell r="L1973">
            <v>100</v>
          </cell>
          <cell r="N1973"/>
        </row>
        <row r="1974">
          <cell r="L1974">
            <v>100</v>
          </cell>
          <cell r="N1974"/>
        </row>
        <row r="1975">
          <cell r="L1975">
            <v>100</v>
          </cell>
          <cell r="N1975"/>
        </row>
        <row r="1976">
          <cell r="L1976">
            <v>100</v>
          </cell>
          <cell r="N1976">
            <v>44661</v>
          </cell>
        </row>
        <row r="1977">
          <cell r="L1977">
            <v>100</v>
          </cell>
          <cell r="N1977"/>
        </row>
        <row r="1978">
          <cell r="L1978">
            <v>100</v>
          </cell>
          <cell r="N1978"/>
        </row>
        <row r="1979">
          <cell r="L1979">
            <v>100</v>
          </cell>
          <cell r="N1979"/>
        </row>
        <row r="1980">
          <cell r="L1980">
            <v>100</v>
          </cell>
          <cell r="N1980"/>
        </row>
        <row r="1981">
          <cell r="L1981">
            <v>100</v>
          </cell>
          <cell r="N1981"/>
        </row>
        <row r="1982">
          <cell r="L1982">
            <v>100</v>
          </cell>
          <cell r="N1982"/>
        </row>
        <row r="1983">
          <cell r="L1983">
            <v>100</v>
          </cell>
          <cell r="N1983">
            <v>44870</v>
          </cell>
        </row>
        <row r="1984">
          <cell r="L1984">
            <v>100</v>
          </cell>
          <cell r="N1984">
            <v>44870</v>
          </cell>
        </row>
        <row r="1985">
          <cell r="L1985">
            <v>100</v>
          </cell>
          <cell r="N1985">
            <v>44804</v>
          </cell>
        </row>
        <row r="1986">
          <cell r="L1986">
            <v>100</v>
          </cell>
          <cell r="N1986">
            <v>44804</v>
          </cell>
        </row>
        <row r="1987">
          <cell r="L1987">
            <v>100</v>
          </cell>
          <cell r="N1987">
            <v>44804</v>
          </cell>
        </row>
        <row r="1988">
          <cell r="L1988">
            <v>100</v>
          </cell>
          <cell r="N1988">
            <v>44804</v>
          </cell>
        </row>
        <row r="1989">
          <cell r="L1989">
            <v>100</v>
          </cell>
          <cell r="N1989">
            <v>44661</v>
          </cell>
        </row>
        <row r="1990">
          <cell r="L1990">
            <v>100</v>
          </cell>
          <cell r="N1990">
            <v>44661</v>
          </cell>
        </row>
        <row r="1991">
          <cell r="L1991">
            <v>100</v>
          </cell>
          <cell r="N1991">
            <v>44661</v>
          </cell>
        </row>
        <row r="1992">
          <cell r="L1992">
            <v>100</v>
          </cell>
          <cell r="N1992">
            <v>44661</v>
          </cell>
        </row>
        <row r="1993">
          <cell r="L1993">
            <v>100</v>
          </cell>
          <cell r="N1993"/>
        </row>
        <row r="1994">
          <cell r="L1994">
            <v>100</v>
          </cell>
          <cell r="N1994"/>
        </row>
        <row r="1995">
          <cell r="L1995">
            <v>100</v>
          </cell>
          <cell r="N1995"/>
        </row>
        <row r="1996">
          <cell r="L1996">
            <v>100</v>
          </cell>
          <cell r="N1996"/>
        </row>
        <row r="1997">
          <cell r="L1997">
            <v>100</v>
          </cell>
          <cell r="N1997">
            <v>44870</v>
          </cell>
        </row>
        <row r="1998">
          <cell r="L1998">
            <v>100</v>
          </cell>
          <cell r="N1998">
            <v>44870</v>
          </cell>
        </row>
        <row r="1999">
          <cell r="L1999">
            <v>100</v>
          </cell>
          <cell r="N1999">
            <v>44806</v>
          </cell>
        </row>
        <row r="2000">
          <cell r="L2000">
            <v>100</v>
          </cell>
          <cell r="N2000">
            <v>44806</v>
          </cell>
        </row>
        <row r="2001">
          <cell r="L2001">
            <v>100</v>
          </cell>
          <cell r="N2001">
            <v>44806</v>
          </cell>
        </row>
        <row r="2002">
          <cell r="L2002">
            <v>100</v>
          </cell>
          <cell r="N2002">
            <v>44870</v>
          </cell>
        </row>
        <row r="2003">
          <cell r="L2003">
            <v>100</v>
          </cell>
          <cell r="N2003">
            <v>45008</v>
          </cell>
        </row>
        <row r="2004">
          <cell r="L2004">
            <v>100</v>
          </cell>
          <cell r="N2004">
            <v>45008</v>
          </cell>
        </row>
        <row r="2005">
          <cell r="L2005">
            <v>100</v>
          </cell>
          <cell r="N2005">
            <v>44659</v>
          </cell>
        </row>
        <row r="2006">
          <cell r="L2006">
            <v>100</v>
          </cell>
          <cell r="N2006">
            <v>44659</v>
          </cell>
        </row>
        <row r="2007">
          <cell r="L2007">
            <v>100</v>
          </cell>
          <cell r="N2007">
            <v>44607</v>
          </cell>
        </row>
        <row r="2008">
          <cell r="L2008">
            <v>100</v>
          </cell>
          <cell r="N2008">
            <v>44607</v>
          </cell>
        </row>
        <row r="2009">
          <cell r="L2009">
            <v>100</v>
          </cell>
          <cell r="N2009">
            <v>44607</v>
          </cell>
        </row>
        <row r="2010">
          <cell r="L2010">
            <v>100</v>
          </cell>
          <cell r="N2010">
            <v>44607</v>
          </cell>
        </row>
        <row r="2011">
          <cell r="L2011">
            <v>100</v>
          </cell>
          <cell r="N2011">
            <v>44788</v>
          </cell>
        </row>
        <row r="2012">
          <cell r="L2012">
            <v>100</v>
          </cell>
          <cell r="N2012">
            <v>44659</v>
          </cell>
        </row>
        <row r="2013">
          <cell r="L2013">
            <v>100</v>
          </cell>
          <cell r="N2013">
            <v>44659</v>
          </cell>
        </row>
        <row r="2014">
          <cell r="L2014">
            <v>100</v>
          </cell>
          <cell r="N2014">
            <v>44659</v>
          </cell>
        </row>
        <row r="2015">
          <cell r="L2015">
            <v>100</v>
          </cell>
          <cell r="N2015">
            <v>44788</v>
          </cell>
        </row>
        <row r="2016">
          <cell r="L2016">
            <v>100</v>
          </cell>
          <cell r="N2016">
            <v>44788</v>
          </cell>
        </row>
        <row r="2017">
          <cell r="L2017">
            <v>100</v>
          </cell>
          <cell r="N2017">
            <v>44788</v>
          </cell>
        </row>
        <row r="2018">
          <cell r="L2018">
            <v>100</v>
          </cell>
          <cell r="N2018">
            <v>44788</v>
          </cell>
        </row>
        <row r="2019">
          <cell r="L2019">
            <v>100</v>
          </cell>
          <cell r="N2019">
            <v>44788</v>
          </cell>
        </row>
        <row r="2020">
          <cell r="L2020">
            <v>100</v>
          </cell>
          <cell r="N2020">
            <v>44788</v>
          </cell>
        </row>
        <row r="2021">
          <cell r="L2021">
            <v>100</v>
          </cell>
          <cell r="N2021">
            <v>44788</v>
          </cell>
        </row>
        <row r="2022">
          <cell r="L2022">
            <v>100</v>
          </cell>
          <cell r="N2022">
            <v>44788</v>
          </cell>
        </row>
        <row r="2023">
          <cell r="L2023">
            <v>100</v>
          </cell>
          <cell r="N2023">
            <v>44757</v>
          </cell>
        </row>
        <row r="2024">
          <cell r="L2024">
            <v>100</v>
          </cell>
          <cell r="N2024">
            <v>45008</v>
          </cell>
        </row>
        <row r="2025">
          <cell r="L2025">
            <v>100</v>
          </cell>
          <cell r="N2025">
            <v>44659</v>
          </cell>
        </row>
        <row r="2026">
          <cell r="L2026">
            <v>100</v>
          </cell>
          <cell r="N2026">
            <v>44659</v>
          </cell>
        </row>
        <row r="2027">
          <cell r="L2027">
            <v>100</v>
          </cell>
          <cell r="N2027">
            <v>44659</v>
          </cell>
        </row>
        <row r="2028">
          <cell r="L2028">
            <v>100</v>
          </cell>
          <cell r="N2028">
            <v>44659</v>
          </cell>
        </row>
        <row r="2029">
          <cell r="L2029">
            <v>100</v>
          </cell>
          <cell r="N2029">
            <v>45008</v>
          </cell>
        </row>
        <row r="2030">
          <cell r="L2030">
            <v>100</v>
          </cell>
          <cell r="N2030">
            <v>45008</v>
          </cell>
        </row>
        <row r="2031">
          <cell r="L2031">
            <v>100</v>
          </cell>
          <cell r="N2031">
            <v>44788</v>
          </cell>
        </row>
        <row r="2032">
          <cell r="L2032">
            <v>100</v>
          </cell>
          <cell r="N2032">
            <v>44659</v>
          </cell>
        </row>
        <row r="2033">
          <cell r="L2033">
            <v>100</v>
          </cell>
          <cell r="N2033">
            <v>44659</v>
          </cell>
        </row>
        <row r="2034">
          <cell r="L2034">
            <v>100</v>
          </cell>
          <cell r="N2034">
            <v>44707</v>
          </cell>
        </row>
        <row r="2035">
          <cell r="L2035">
            <v>100</v>
          </cell>
          <cell r="N2035">
            <v>44707</v>
          </cell>
        </row>
        <row r="2036">
          <cell r="L2036">
            <v>100</v>
          </cell>
          <cell r="N2036">
            <v>44707</v>
          </cell>
        </row>
        <row r="2037">
          <cell r="L2037">
            <v>100</v>
          </cell>
          <cell r="N2037">
            <v>44707</v>
          </cell>
        </row>
        <row r="2038">
          <cell r="L2038">
            <v>100</v>
          </cell>
          <cell r="N2038">
            <v>44707</v>
          </cell>
        </row>
        <row r="2039">
          <cell r="L2039">
            <v>100</v>
          </cell>
          <cell r="N2039">
            <v>44659</v>
          </cell>
        </row>
        <row r="2040">
          <cell r="L2040">
            <v>100</v>
          </cell>
          <cell r="N2040">
            <v>44659</v>
          </cell>
        </row>
        <row r="2041">
          <cell r="L2041">
            <v>100</v>
          </cell>
          <cell r="N2041">
            <v>44658</v>
          </cell>
        </row>
        <row r="2042">
          <cell r="L2042">
            <v>100</v>
          </cell>
          <cell r="N2042">
            <v>44788</v>
          </cell>
        </row>
        <row r="2043">
          <cell r="L2043">
            <v>100</v>
          </cell>
          <cell r="N2043">
            <v>44788</v>
          </cell>
        </row>
        <row r="2044">
          <cell r="L2044">
            <v>100</v>
          </cell>
          <cell r="N2044">
            <v>44788</v>
          </cell>
        </row>
        <row r="2045">
          <cell r="L2045">
            <v>100</v>
          </cell>
          <cell r="N2045">
            <v>44788</v>
          </cell>
        </row>
        <row r="2046">
          <cell r="L2046">
            <v>100</v>
          </cell>
          <cell r="N2046">
            <v>44788</v>
          </cell>
        </row>
        <row r="2047">
          <cell r="L2047">
            <v>100</v>
          </cell>
          <cell r="N2047">
            <v>44788</v>
          </cell>
        </row>
        <row r="2048">
          <cell r="L2048">
            <v>100</v>
          </cell>
          <cell r="N2048">
            <v>44788</v>
          </cell>
        </row>
        <row r="2049">
          <cell r="L2049">
            <v>100</v>
          </cell>
          <cell r="N2049">
            <v>44788</v>
          </cell>
        </row>
        <row r="2050">
          <cell r="L2050">
            <v>100</v>
          </cell>
          <cell r="N2050"/>
        </row>
        <row r="2051">
          <cell r="L2051">
            <v>100</v>
          </cell>
          <cell r="N2051">
            <v>44594</v>
          </cell>
        </row>
        <row r="2052">
          <cell r="L2052">
            <v>100</v>
          </cell>
          <cell r="N2052"/>
        </row>
        <row r="2053">
          <cell r="L2053">
            <v>100</v>
          </cell>
          <cell r="N2053"/>
        </row>
        <row r="2054">
          <cell r="L2054">
            <v>100</v>
          </cell>
          <cell r="N2054"/>
        </row>
        <row r="2055">
          <cell r="L2055">
            <v>100</v>
          </cell>
          <cell r="N2055"/>
        </row>
        <row r="2056">
          <cell r="L2056">
            <v>100</v>
          </cell>
          <cell r="N2056"/>
        </row>
        <row r="2057">
          <cell r="L2057">
            <v>100</v>
          </cell>
          <cell r="N2057"/>
        </row>
        <row r="2058">
          <cell r="L2058">
            <v>100</v>
          </cell>
          <cell r="N2058">
            <v>44594</v>
          </cell>
        </row>
        <row r="2059">
          <cell r="L2059">
            <v>100</v>
          </cell>
          <cell r="N2059">
            <v>44803</v>
          </cell>
        </row>
        <row r="2060">
          <cell r="L2060">
            <v>100</v>
          </cell>
          <cell r="N2060">
            <v>44803</v>
          </cell>
        </row>
        <row r="2061">
          <cell r="L2061">
            <v>100</v>
          </cell>
          <cell r="N2061">
            <v>44803</v>
          </cell>
        </row>
        <row r="2062">
          <cell r="L2062">
            <v>100</v>
          </cell>
          <cell r="N2062">
            <v>44803</v>
          </cell>
        </row>
        <row r="2063">
          <cell r="L2063">
            <v>100</v>
          </cell>
          <cell r="N2063">
            <v>44803</v>
          </cell>
        </row>
        <row r="2064">
          <cell r="L2064">
            <v>100</v>
          </cell>
          <cell r="N2064">
            <v>44830</v>
          </cell>
        </row>
        <row r="2065">
          <cell r="L2065">
            <v>100</v>
          </cell>
          <cell r="N2065">
            <v>44830</v>
          </cell>
        </row>
        <row r="2066">
          <cell r="L2066">
            <v>100</v>
          </cell>
          <cell r="N2066">
            <v>44830</v>
          </cell>
        </row>
        <row r="2067">
          <cell r="L2067">
            <v>100</v>
          </cell>
          <cell r="N2067">
            <v>44830</v>
          </cell>
        </row>
        <row r="2068">
          <cell r="L2068">
            <v>100</v>
          </cell>
          <cell r="N2068">
            <v>44830</v>
          </cell>
        </row>
        <row r="2069">
          <cell r="L2069">
            <v>100</v>
          </cell>
          <cell r="N2069"/>
        </row>
        <row r="2070">
          <cell r="L2070">
            <v>100</v>
          </cell>
          <cell r="N2070"/>
        </row>
        <row r="2071">
          <cell r="L2071">
            <v>100</v>
          </cell>
          <cell r="N2071"/>
        </row>
        <row r="2072">
          <cell r="L2072">
            <v>100</v>
          </cell>
          <cell r="N2072"/>
        </row>
        <row r="2073">
          <cell r="L2073">
            <v>100</v>
          </cell>
          <cell r="N2073"/>
        </row>
        <row r="2074">
          <cell r="L2074">
            <v>100</v>
          </cell>
          <cell r="N2074"/>
        </row>
        <row r="2075">
          <cell r="L2075">
            <v>100</v>
          </cell>
          <cell r="N2075"/>
        </row>
        <row r="2076">
          <cell r="L2076">
            <v>100</v>
          </cell>
          <cell r="N2076"/>
        </row>
        <row r="2077">
          <cell r="L2077">
            <v>100</v>
          </cell>
          <cell r="N2077"/>
        </row>
        <row r="2078">
          <cell r="L2078">
            <v>100</v>
          </cell>
          <cell r="N2078"/>
        </row>
        <row r="2079">
          <cell r="L2079">
            <v>100</v>
          </cell>
          <cell r="N2079"/>
        </row>
        <row r="2080">
          <cell r="L2080">
            <v>100</v>
          </cell>
          <cell r="N2080">
            <v>44722</v>
          </cell>
        </row>
        <row r="2081">
          <cell r="L2081">
            <v>100</v>
          </cell>
          <cell r="N2081">
            <v>44722</v>
          </cell>
        </row>
        <row r="2082">
          <cell r="L2082">
            <v>100</v>
          </cell>
          <cell r="N2082">
            <v>44720</v>
          </cell>
        </row>
        <row r="2083">
          <cell r="L2083">
            <v>100</v>
          </cell>
          <cell r="N2083">
            <v>44720</v>
          </cell>
        </row>
        <row r="2084">
          <cell r="L2084">
            <v>100</v>
          </cell>
          <cell r="N2084"/>
        </row>
        <row r="2085">
          <cell r="L2085">
            <v>100</v>
          </cell>
          <cell r="N2085">
            <v>44901</v>
          </cell>
        </row>
        <row r="2086">
          <cell r="L2086">
            <v>100</v>
          </cell>
          <cell r="N2086">
            <v>44901</v>
          </cell>
        </row>
        <row r="2087">
          <cell r="L2087">
            <v>100</v>
          </cell>
          <cell r="N2087">
            <v>44909</v>
          </cell>
        </row>
        <row r="2088">
          <cell r="L2088">
            <v>100</v>
          </cell>
          <cell r="N2088">
            <v>44909</v>
          </cell>
        </row>
        <row r="2089">
          <cell r="L2089">
            <v>100</v>
          </cell>
          <cell r="N2089">
            <v>44909</v>
          </cell>
        </row>
        <row r="2090">
          <cell r="L2090">
            <v>100</v>
          </cell>
          <cell r="N2090"/>
        </row>
        <row r="2091">
          <cell r="L2091">
            <v>100</v>
          </cell>
          <cell r="N2091">
            <v>44828</v>
          </cell>
        </row>
        <row r="2092">
          <cell r="L2092">
            <v>100</v>
          </cell>
          <cell r="N2092">
            <v>44828</v>
          </cell>
        </row>
        <row r="2093">
          <cell r="L2093">
            <v>100</v>
          </cell>
          <cell r="N2093">
            <v>44901</v>
          </cell>
        </row>
        <row r="2094">
          <cell r="L2094">
            <v>100</v>
          </cell>
          <cell r="N2094">
            <v>44901</v>
          </cell>
        </row>
        <row r="2095">
          <cell r="L2095">
            <v>100</v>
          </cell>
          <cell r="N2095">
            <v>44901</v>
          </cell>
        </row>
        <row r="2096">
          <cell r="L2096">
            <v>100</v>
          </cell>
          <cell r="N2096"/>
        </row>
        <row r="2097">
          <cell r="L2097">
            <v>100</v>
          </cell>
          <cell r="N2097">
            <v>44897</v>
          </cell>
        </row>
        <row r="2098">
          <cell r="L2098">
            <v>100</v>
          </cell>
          <cell r="N2098">
            <v>44897</v>
          </cell>
        </row>
        <row r="2099">
          <cell r="L2099">
            <v>100</v>
          </cell>
          <cell r="N2099">
            <v>44897</v>
          </cell>
        </row>
        <row r="2100">
          <cell r="L2100">
            <v>100</v>
          </cell>
          <cell r="N2100">
            <v>44897</v>
          </cell>
        </row>
        <row r="2101">
          <cell r="L2101">
            <v>100</v>
          </cell>
          <cell r="N2101">
            <v>44803</v>
          </cell>
        </row>
        <row r="2102">
          <cell r="L2102">
            <v>100</v>
          </cell>
          <cell r="N2102">
            <v>44897</v>
          </cell>
        </row>
        <row r="2103">
          <cell r="L2103">
            <v>100</v>
          </cell>
          <cell r="N2103">
            <v>44897</v>
          </cell>
        </row>
        <row r="2104">
          <cell r="L2104">
            <v>100</v>
          </cell>
          <cell r="N2104">
            <v>44819</v>
          </cell>
        </row>
        <row r="2105">
          <cell r="L2105">
            <v>100</v>
          </cell>
          <cell r="N2105">
            <v>44897</v>
          </cell>
        </row>
        <row r="2106">
          <cell r="L2106">
            <v>100</v>
          </cell>
          <cell r="N2106">
            <v>44897</v>
          </cell>
        </row>
        <row r="2107">
          <cell r="L2107">
            <v>100</v>
          </cell>
          <cell r="N2107">
            <v>44897</v>
          </cell>
        </row>
        <row r="2108">
          <cell r="L2108">
            <v>100</v>
          </cell>
          <cell r="N2108">
            <v>44897</v>
          </cell>
        </row>
        <row r="2109">
          <cell r="L2109">
            <v>100</v>
          </cell>
          <cell r="N2109">
            <v>44897</v>
          </cell>
        </row>
        <row r="2110">
          <cell r="L2110">
            <v>100</v>
          </cell>
          <cell r="N2110">
            <v>44897</v>
          </cell>
        </row>
        <row r="2111">
          <cell r="L2111">
            <v>100</v>
          </cell>
          <cell r="N2111">
            <v>44897</v>
          </cell>
        </row>
        <row r="2112">
          <cell r="L2112">
            <v>100</v>
          </cell>
          <cell r="N2112"/>
        </row>
        <row r="2113">
          <cell r="L2113">
            <v>100</v>
          </cell>
          <cell r="N2113"/>
        </row>
        <row r="2114">
          <cell r="L2114">
            <v>100</v>
          </cell>
          <cell r="N2114"/>
        </row>
        <row r="2115">
          <cell r="L2115">
            <v>100</v>
          </cell>
          <cell r="N2115"/>
        </row>
        <row r="2116">
          <cell r="L2116">
            <v>100</v>
          </cell>
          <cell r="N2116"/>
        </row>
        <row r="2117">
          <cell r="L2117">
            <v>100</v>
          </cell>
          <cell r="N2117"/>
        </row>
        <row r="2118">
          <cell r="L2118">
            <v>100</v>
          </cell>
          <cell r="N2118"/>
        </row>
        <row r="2119">
          <cell r="L2119">
            <v>100</v>
          </cell>
          <cell r="N2119">
            <v>44799</v>
          </cell>
        </row>
        <row r="2120">
          <cell r="L2120">
            <v>100</v>
          </cell>
          <cell r="N2120">
            <v>44806</v>
          </cell>
        </row>
        <row r="2121">
          <cell r="L2121">
            <v>100</v>
          </cell>
          <cell r="N2121"/>
        </row>
        <row r="2122">
          <cell r="L2122">
            <v>100</v>
          </cell>
          <cell r="N2122"/>
        </row>
        <row r="2123">
          <cell r="L2123">
            <v>100</v>
          </cell>
          <cell r="N2123"/>
        </row>
        <row r="2124">
          <cell r="L2124">
            <v>100</v>
          </cell>
          <cell r="N2124"/>
        </row>
        <row r="2125">
          <cell r="L2125">
            <v>100</v>
          </cell>
          <cell r="N2125"/>
        </row>
        <row r="2126">
          <cell r="L2126">
            <v>100</v>
          </cell>
          <cell r="N2126"/>
        </row>
        <row r="2127">
          <cell r="L2127">
            <v>100</v>
          </cell>
          <cell r="N2127"/>
        </row>
        <row r="2128">
          <cell r="L2128">
            <v>100</v>
          </cell>
          <cell r="N2128"/>
        </row>
        <row r="2129">
          <cell r="L2129">
            <v>100</v>
          </cell>
          <cell r="N2129"/>
        </row>
        <row r="2130">
          <cell r="L2130">
            <v>100</v>
          </cell>
          <cell r="N2130"/>
        </row>
        <row r="2131">
          <cell r="L2131">
            <v>100</v>
          </cell>
          <cell r="N2131"/>
        </row>
        <row r="2132">
          <cell r="L2132">
            <v>100</v>
          </cell>
          <cell r="N2132"/>
        </row>
        <row r="2133">
          <cell r="L2133">
            <v>100</v>
          </cell>
          <cell r="N2133">
            <v>44799</v>
          </cell>
        </row>
        <row r="2134">
          <cell r="L2134">
            <v>100</v>
          </cell>
          <cell r="N2134">
            <v>44804</v>
          </cell>
        </row>
        <row r="2135">
          <cell r="L2135">
            <v>100</v>
          </cell>
          <cell r="N2135">
            <v>44804</v>
          </cell>
        </row>
        <row r="2136">
          <cell r="L2136">
            <v>100</v>
          </cell>
          <cell r="N2136"/>
        </row>
        <row r="2137">
          <cell r="L2137">
            <v>100</v>
          </cell>
          <cell r="N2137"/>
        </row>
        <row r="2138">
          <cell r="L2138">
            <v>100</v>
          </cell>
          <cell r="N2138"/>
        </row>
        <row r="2139">
          <cell r="L2139">
            <v>100</v>
          </cell>
          <cell r="N2139">
            <v>44826</v>
          </cell>
        </row>
        <row r="2140">
          <cell r="L2140">
            <v>100</v>
          </cell>
          <cell r="N2140"/>
        </row>
        <row r="2141">
          <cell r="L2141">
            <v>100</v>
          </cell>
          <cell r="N2141"/>
        </row>
        <row r="2142">
          <cell r="L2142">
            <v>100</v>
          </cell>
          <cell r="N2142"/>
        </row>
        <row r="2143">
          <cell r="L2143">
            <v>100</v>
          </cell>
          <cell r="N2143">
            <v>44826</v>
          </cell>
        </row>
        <row r="2144">
          <cell r="L2144">
            <v>100</v>
          </cell>
          <cell r="N2144">
            <v>44826</v>
          </cell>
        </row>
        <row r="2145">
          <cell r="L2145">
            <v>100</v>
          </cell>
          <cell r="N2145"/>
        </row>
        <row r="2146">
          <cell r="L2146">
            <v>100</v>
          </cell>
          <cell r="N2146"/>
        </row>
        <row r="2147">
          <cell r="L2147">
            <v>100</v>
          </cell>
          <cell r="N2147"/>
        </row>
        <row r="2148">
          <cell r="L2148">
            <v>100</v>
          </cell>
          <cell r="N2148"/>
        </row>
        <row r="2149">
          <cell r="L2149">
            <v>100</v>
          </cell>
          <cell r="N2149"/>
        </row>
        <row r="2150">
          <cell r="L2150">
            <v>100</v>
          </cell>
          <cell r="N2150">
            <v>44799</v>
          </cell>
        </row>
        <row r="2151">
          <cell r="L2151">
            <v>100</v>
          </cell>
          <cell r="N2151"/>
        </row>
        <row r="2152">
          <cell r="L2152">
            <v>100</v>
          </cell>
          <cell r="N2152"/>
        </row>
        <row r="2153">
          <cell r="L2153">
            <v>100</v>
          </cell>
          <cell r="N2153"/>
        </row>
        <row r="2154">
          <cell r="L2154">
            <v>100</v>
          </cell>
          <cell r="N2154"/>
        </row>
        <row r="2155">
          <cell r="L2155">
            <v>100</v>
          </cell>
          <cell r="N2155"/>
        </row>
        <row r="2156">
          <cell r="L2156">
            <v>100</v>
          </cell>
          <cell r="N2156"/>
        </row>
        <row r="2157">
          <cell r="L2157">
            <v>100</v>
          </cell>
          <cell r="N2157"/>
        </row>
        <row r="2158">
          <cell r="L2158">
            <v>100</v>
          </cell>
          <cell r="N2158"/>
        </row>
        <row r="2159">
          <cell r="L2159">
            <v>100</v>
          </cell>
          <cell r="N2159"/>
        </row>
        <row r="2160">
          <cell r="L2160">
            <v>100</v>
          </cell>
          <cell r="N2160"/>
        </row>
        <row r="2161">
          <cell r="L2161">
            <v>100</v>
          </cell>
          <cell r="N2161"/>
        </row>
        <row r="2162">
          <cell r="L2162">
            <v>100</v>
          </cell>
          <cell r="N2162"/>
        </row>
        <row r="2163">
          <cell r="L2163">
            <v>100</v>
          </cell>
          <cell r="N2163"/>
        </row>
        <row r="2164">
          <cell r="L2164">
            <v>100</v>
          </cell>
          <cell r="N2164"/>
        </row>
        <row r="2165">
          <cell r="L2165">
            <v>100</v>
          </cell>
          <cell r="N2165"/>
        </row>
        <row r="2166">
          <cell r="L2166">
            <v>100</v>
          </cell>
          <cell r="N2166"/>
        </row>
        <row r="2167">
          <cell r="L2167">
            <v>100</v>
          </cell>
          <cell r="N2167"/>
        </row>
        <row r="2168">
          <cell r="L2168">
            <v>100</v>
          </cell>
          <cell r="N2168"/>
        </row>
        <row r="2169">
          <cell r="L2169">
            <v>100</v>
          </cell>
          <cell r="N2169"/>
        </row>
        <row r="2170">
          <cell r="L2170">
            <v>100</v>
          </cell>
          <cell r="N2170"/>
        </row>
        <row r="2171">
          <cell r="L2171">
            <v>100</v>
          </cell>
          <cell r="N2171"/>
        </row>
        <row r="2172">
          <cell r="L2172">
            <v>100</v>
          </cell>
          <cell r="N2172"/>
        </row>
        <row r="2173">
          <cell r="L2173">
            <v>100</v>
          </cell>
          <cell r="N2173"/>
        </row>
        <row r="2174">
          <cell r="L2174">
            <v>100</v>
          </cell>
          <cell r="N2174"/>
        </row>
        <row r="2175">
          <cell r="L2175">
            <v>100</v>
          </cell>
          <cell r="N2175"/>
        </row>
        <row r="2176">
          <cell r="L2176">
            <v>100</v>
          </cell>
          <cell r="N2176"/>
        </row>
        <row r="2177">
          <cell r="L2177">
            <v>100</v>
          </cell>
          <cell r="N2177">
            <v>44599</v>
          </cell>
        </row>
        <row r="2178">
          <cell r="L2178">
            <v>100</v>
          </cell>
          <cell r="N2178">
            <v>44599</v>
          </cell>
        </row>
        <row r="2179">
          <cell r="L2179">
            <v>100</v>
          </cell>
          <cell r="N2179">
            <v>44670</v>
          </cell>
        </row>
        <row r="2180">
          <cell r="L2180">
            <v>100</v>
          </cell>
          <cell r="N2180">
            <v>44670</v>
          </cell>
        </row>
        <row r="2181">
          <cell r="L2181">
            <v>100</v>
          </cell>
          <cell r="N2181"/>
        </row>
        <row r="2182">
          <cell r="L2182">
            <v>100</v>
          </cell>
          <cell r="N2182"/>
        </row>
        <row r="2183">
          <cell r="L2183">
            <v>100</v>
          </cell>
          <cell r="N2183"/>
        </row>
        <row r="2184">
          <cell r="L2184">
            <v>100</v>
          </cell>
          <cell r="N2184">
            <v>44798</v>
          </cell>
        </row>
        <row r="2185">
          <cell r="L2185">
            <v>100</v>
          </cell>
          <cell r="N2185">
            <v>44678</v>
          </cell>
        </row>
        <row r="2186">
          <cell r="L2186">
            <v>100</v>
          </cell>
          <cell r="N2186">
            <v>44699</v>
          </cell>
        </row>
        <row r="2187">
          <cell r="L2187">
            <v>100</v>
          </cell>
          <cell r="N2187">
            <v>44599</v>
          </cell>
        </row>
        <row r="2188">
          <cell r="L2188">
            <v>100</v>
          </cell>
          <cell r="N2188">
            <v>44599</v>
          </cell>
        </row>
        <row r="2189">
          <cell r="L2189">
            <v>100</v>
          </cell>
          <cell r="N2189">
            <v>44669</v>
          </cell>
        </row>
        <row r="2190">
          <cell r="L2190">
            <v>100</v>
          </cell>
          <cell r="N2190">
            <v>44798</v>
          </cell>
        </row>
        <row r="2191">
          <cell r="L2191">
            <v>100</v>
          </cell>
          <cell r="N2191">
            <v>44599</v>
          </cell>
        </row>
        <row r="2192">
          <cell r="L2192">
            <v>100</v>
          </cell>
          <cell r="N2192">
            <v>44599</v>
          </cell>
        </row>
        <row r="2193">
          <cell r="L2193">
            <v>100</v>
          </cell>
          <cell r="N2193"/>
        </row>
        <row r="2194">
          <cell r="L2194">
            <v>100</v>
          </cell>
          <cell r="N2194"/>
        </row>
        <row r="2195">
          <cell r="L2195">
            <v>100</v>
          </cell>
          <cell r="N2195"/>
        </row>
        <row r="2196">
          <cell r="L2196">
            <v>100</v>
          </cell>
          <cell r="N2196"/>
        </row>
        <row r="2197">
          <cell r="L2197">
            <v>100</v>
          </cell>
          <cell r="N2197"/>
        </row>
        <row r="2198">
          <cell r="L2198">
            <v>100</v>
          </cell>
          <cell r="N2198"/>
        </row>
        <row r="2199">
          <cell r="L2199">
            <v>100</v>
          </cell>
          <cell r="N2199"/>
        </row>
        <row r="2200">
          <cell r="L2200">
            <v>100</v>
          </cell>
          <cell r="N2200"/>
        </row>
        <row r="2201">
          <cell r="L2201">
            <v>100</v>
          </cell>
          <cell r="N2201"/>
        </row>
        <row r="2202">
          <cell r="L2202">
            <v>100</v>
          </cell>
          <cell r="N2202"/>
        </row>
        <row r="2203">
          <cell r="L2203">
            <v>100</v>
          </cell>
          <cell r="N2203"/>
        </row>
        <row r="2204">
          <cell r="L2204">
            <v>100</v>
          </cell>
          <cell r="N2204"/>
        </row>
        <row r="2205">
          <cell r="L2205">
            <v>100</v>
          </cell>
          <cell r="N2205"/>
        </row>
        <row r="2206">
          <cell r="L2206">
            <v>100</v>
          </cell>
          <cell r="N2206"/>
        </row>
        <row r="2207">
          <cell r="L2207">
            <v>100</v>
          </cell>
          <cell r="N2207"/>
        </row>
        <row r="2208">
          <cell r="L2208">
            <v>100</v>
          </cell>
          <cell r="N2208"/>
        </row>
        <row r="2209">
          <cell r="L2209">
            <v>100</v>
          </cell>
          <cell r="N2209"/>
        </row>
        <row r="2210">
          <cell r="L2210">
            <v>100</v>
          </cell>
          <cell r="N2210"/>
        </row>
        <row r="2211">
          <cell r="L2211">
            <v>100</v>
          </cell>
          <cell r="N2211"/>
        </row>
        <row r="2212">
          <cell r="L2212">
            <v>100</v>
          </cell>
          <cell r="N2212"/>
        </row>
        <row r="2213">
          <cell r="L2213">
            <v>100</v>
          </cell>
          <cell r="N2213"/>
        </row>
        <row r="2214">
          <cell r="L2214">
            <v>100</v>
          </cell>
          <cell r="N2214"/>
        </row>
        <row r="2215">
          <cell r="L2215">
            <v>100</v>
          </cell>
          <cell r="N2215"/>
        </row>
        <row r="2216">
          <cell r="L2216">
            <v>100</v>
          </cell>
          <cell r="N2216"/>
        </row>
        <row r="2217">
          <cell r="L2217">
            <v>100</v>
          </cell>
          <cell r="N2217"/>
        </row>
        <row r="2218">
          <cell r="L2218">
            <v>100</v>
          </cell>
          <cell r="N2218"/>
        </row>
        <row r="2219">
          <cell r="L2219">
            <v>100</v>
          </cell>
          <cell r="N2219"/>
        </row>
        <row r="2220">
          <cell r="L2220">
            <v>100</v>
          </cell>
          <cell r="N2220"/>
        </row>
        <row r="2221">
          <cell r="L2221">
            <v>100</v>
          </cell>
          <cell r="N2221"/>
        </row>
        <row r="2222">
          <cell r="L2222">
            <v>100</v>
          </cell>
          <cell r="N2222"/>
        </row>
        <row r="2223">
          <cell r="L2223">
            <v>100</v>
          </cell>
          <cell r="N2223"/>
        </row>
        <row r="2224">
          <cell r="L2224">
            <v>100</v>
          </cell>
          <cell r="N2224"/>
        </row>
        <row r="2225">
          <cell r="L2225">
            <v>100</v>
          </cell>
          <cell r="N2225"/>
        </row>
        <row r="2226">
          <cell r="L2226">
            <v>100</v>
          </cell>
          <cell r="N2226"/>
        </row>
        <row r="2227">
          <cell r="L2227">
            <v>100</v>
          </cell>
          <cell r="N2227"/>
        </row>
        <row r="2228">
          <cell r="L2228">
            <v>100</v>
          </cell>
          <cell r="N2228"/>
        </row>
        <row r="2229">
          <cell r="L2229">
            <v>100</v>
          </cell>
          <cell r="N2229"/>
        </row>
        <row r="2230">
          <cell r="L2230">
            <v>100</v>
          </cell>
          <cell r="N2230">
            <v>44817</v>
          </cell>
        </row>
        <row r="2231">
          <cell r="L2231">
            <v>100</v>
          </cell>
          <cell r="N2231">
            <v>44817</v>
          </cell>
        </row>
        <row r="2232">
          <cell r="L2232">
            <v>100</v>
          </cell>
          <cell r="N2232">
            <v>44697</v>
          </cell>
        </row>
        <row r="2233">
          <cell r="L2233">
            <v>100</v>
          </cell>
          <cell r="N2233">
            <v>44800</v>
          </cell>
        </row>
        <row r="2234">
          <cell r="L2234">
            <v>100</v>
          </cell>
          <cell r="N2234">
            <v>44800</v>
          </cell>
        </row>
        <row r="2235">
          <cell r="L2235">
            <v>100</v>
          </cell>
          <cell r="N2235">
            <v>44697</v>
          </cell>
        </row>
        <row r="2236">
          <cell r="L2236">
            <v>100</v>
          </cell>
          <cell r="N2236">
            <v>44817</v>
          </cell>
        </row>
        <row r="2237">
          <cell r="L2237">
            <v>100</v>
          </cell>
          <cell r="N2237">
            <v>44817</v>
          </cell>
        </row>
        <row r="2238">
          <cell r="L2238">
            <v>100</v>
          </cell>
          <cell r="N2238">
            <v>44968</v>
          </cell>
        </row>
        <row r="2239">
          <cell r="L2239">
            <v>100</v>
          </cell>
          <cell r="N2239"/>
        </row>
        <row r="2240">
          <cell r="L2240">
            <v>100</v>
          </cell>
          <cell r="N2240"/>
        </row>
        <row r="2241">
          <cell r="L2241">
            <v>100</v>
          </cell>
          <cell r="N2241">
            <v>44916</v>
          </cell>
        </row>
        <row r="2242">
          <cell r="L2242">
            <v>100</v>
          </cell>
          <cell r="N2242">
            <v>44785</v>
          </cell>
        </row>
        <row r="2243">
          <cell r="L2243">
            <v>100</v>
          </cell>
          <cell r="N2243"/>
        </row>
        <row r="2244">
          <cell r="L2244">
            <v>100</v>
          </cell>
          <cell r="N2244">
            <v>44812</v>
          </cell>
        </row>
        <row r="2245">
          <cell r="L2245">
            <v>100</v>
          </cell>
          <cell r="N2245">
            <v>44812</v>
          </cell>
        </row>
        <row r="2246">
          <cell r="L2246">
            <v>100</v>
          </cell>
          <cell r="N2246">
            <v>44812</v>
          </cell>
        </row>
        <row r="2247">
          <cell r="L2247">
            <v>100</v>
          </cell>
          <cell r="N2247">
            <v>44970</v>
          </cell>
        </row>
        <row r="2248">
          <cell r="L2248">
            <v>100</v>
          </cell>
          <cell r="N2248">
            <v>44812</v>
          </cell>
        </row>
        <row r="2249">
          <cell r="L2249">
            <v>100</v>
          </cell>
          <cell r="N2249">
            <v>44812</v>
          </cell>
        </row>
        <row r="2250">
          <cell r="L2250">
            <v>100</v>
          </cell>
          <cell r="N2250">
            <v>44812</v>
          </cell>
        </row>
        <row r="2251">
          <cell r="L2251">
            <v>100</v>
          </cell>
          <cell r="N2251">
            <v>44812</v>
          </cell>
        </row>
        <row r="2252">
          <cell r="L2252">
            <v>100</v>
          </cell>
          <cell r="N2252">
            <v>44812</v>
          </cell>
        </row>
        <row r="2253">
          <cell r="L2253">
            <v>100</v>
          </cell>
          <cell r="N2253">
            <v>44812</v>
          </cell>
        </row>
        <row r="2254">
          <cell r="L2254">
            <v>100</v>
          </cell>
          <cell r="N2254">
            <v>44812</v>
          </cell>
        </row>
        <row r="2255">
          <cell r="L2255">
            <v>100</v>
          </cell>
          <cell r="N2255">
            <v>44812</v>
          </cell>
        </row>
        <row r="2256">
          <cell r="L2256">
            <v>100</v>
          </cell>
          <cell r="N2256">
            <v>44812</v>
          </cell>
        </row>
        <row r="2257">
          <cell r="L2257">
            <v>100</v>
          </cell>
          <cell r="N2257">
            <v>44812</v>
          </cell>
        </row>
        <row r="2258">
          <cell r="L2258">
            <v>100</v>
          </cell>
          <cell r="N2258">
            <v>44970</v>
          </cell>
        </row>
        <row r="2259">
          <cell r="L2259">
            <v>100</v>
          </cell>
          <cell r="N2259">
            <v>44812</v>
          </cell>
        </row>
        <row r="2260">
          <cell r="L2260">
            <v>100</v>
          </cell>
          <cell r="N2260">
            <v>44812</v>
          </cell>
        </row>
        <row r="2261">
          <cell r="L2261">
            <v>100</v>
          </cell>
          <cell r="N2261">
            <v>44812</v>
          </cell>
        </row>
        <row r="2262">
          <cell r="L2262">
            <v>100</v>
          </cell>
          <cell r="N2262">
            <v>44812</v>
          </cell>
        </row>
        <row r="2263">
          <cell r="L2263">
            <v>100</v>
          </cell>
          <cell r="N2263">
            <v>44812</v>
          </cell>
        </row>
        <row r="2264">
          <cell r="L2264">
            <v>100</v>
          </cell>
          <cell r="N2264">
            <v>44812</v>
          </cell>
        </row>
        <row r="2265">
          <cell r="L2265">
            <v>100</v>
          </cell>
          <cell r="N2265">
            <v>44812</v>
          </cell>
        </row>
        <row r="2266">
          <cell r="L2266">
            <v>100</v>
          </cell>
          <cell r="N2266">
            <v>44968</v>
          </cell>
        </row>
        <row r="2267">
          <cell r="L2267">
            <v>100</v>
          </cell>
          <cell r="N2267">
            <v>44968</v>
          </cell>
        </row>
        <row r="2268">
          <cell r="L2268">
            <v>100</v>
          </cell>
          <cell r="N2268">
            <v>44968</v>
          </cell>
        </row>
        <row r="2269">
          <cell r="L2269">
            <v>100</v>
          </cell>
          <cell r="N2269">
            <v>44968</v>
          </cell>
        </row>
        <row r="2270">
          <cell r="L2270">
            <v>100</v>
          </cell>
          <cell r="N2270">
            <v>44968</v>
          </cell>
        </row>
        <row r="2271">
          <cell r="L2271">
            <v>100</v>
          </cell>
          <cell r="N2271">
            <v>44968</v>
          </cell>
        </row>
        <row r="2272">
          <cell r="L2272">
            <v>100</v>
          </cell>
          <cell r="N2272">
            <v>44914</v>
          </cell>
        </row>
        <row r="2273">
          <cell r="L2273">
            <v>100</v>
          </cell>
          <cell r="N2273">
            <v>44914</v>
          </cell>
        </row>
        <row r="2274">
          <cell r="L2274">
            <v>100</v>
          </cell>
          <cell r="N2274">
            <v>44914</v>
          </cell>
        </row>
        <row r="2275">
          <cell r="L2275">
            <v>100</v>
          </cell>
          <cell r="N2275">
            <v>44914</v>
          </cell>
        </row>
        <row r="2276">
          <cell r="L2276">
            <v>100</v>
          </cell>
          <cell r="N2276">
            <v>44914</v>
          </cell>
        </row>
        <row r="2277">
          <cell r="L2277">
            <v>100</v>
          </cell>
          <cell r="N2277">
            <v>44725</v>
          </cell>
        </row>
        <row r="2278">
          <cell r="L2278">
            <v>100</v>
          </cell>
          <cell r="N2278">
            <v>44968</v>
          </cell>
        </row>
        <row r="2279">
          <cell r="L2279">
            <v>100</v>
          </cell>
          <cell r="N2279">
            <v>44777</v>
          </cell>
        </row>
        <row r="2280">
          <cell r="L2280">
            <v>100</v>
          </cell>
          <cell r="N2280">
            <v>44664</v>
          </cell>
        </row>
        <row r="2281">
          <cell r="L2281">
            <v>100</v>
          </cell>
          <cell r="N2281">
            <v>44777</v>
          </cell>
        </row>
        <row r="2282">
          <cell r="L2282">
            <v>100</v>
          </cell>
          <cell r="N2282"/>
        </row>
        <row r="2283">
          <cell r="L2283">
            <v>100</v>
          </cell>
          <cell r="N2283"/>
        </row>
        <row r="2284">
          <cell r="L2284">
            <v>100</v>
          </cell>
          <cell r="N2284"/>
        </row>
        <row r="2285">
          <cell r="L2285">
            <v>100</v>
          </cell>
          <cell r="N2285"/>
        </row>
        <row r="2286">
          <cell r="L2286">
            <v>100</v>
          </cell>
          <cell r="N2286"/>
        </row>
        <row r="2287">
          <cell r="L2287">
            <v>100</v>
          </cell>
          <cell r="N2287">
            <v>44756</v>
          </cell>
        </row>
        <row r="2288">
          <cell r="L2288">
            <v>100</v>
          </cell>
          <cell r="N2288">
            <v>44756</v>
          </cell>
        </row>
        <row r="2289">
          <cell r="L2289">
            <v>100</v>
          </cell>
          <cell r="N2289"/>
        </row>
        <row r="2290">
          <cell r="L2290">
            <v>100</v>
          </cell>
          <cell r="N2290"/>
        </row>
        <row r="2291">
          <cell r="L2291">
            <v>100</v>
          </cell>
          <cell r="N2291"/>
        </row>
        <row r="2292">
          <cell r="L2292">
            <v>100</v>
          </cell>
          <cell r="N2292">
            <v>44968</v>
          </cell>
        </row>
        <row r="2293">
          <cell r="L2293">
            <v>100</v>
          </cell>
          <cell r="N2293">
            <v>44968</v>
          </cell>
        </row>
        <row r="2294">
          <cell r="L2294">
            <v>100</v>
          </cell>
          <cell r="N2294">
            <v>44968</v>
          </cell>
        </row>
        <row r="2295">
          <cell r="L2295">
            <v>100</v>
          </cell>
          <cell r="N2295"/>
        </row>
        <row r="2296">
          <cell r="L2296">
            <v>100</v>
          </cell>
          <cell r="N2296">
            <v>44929</v>
          </cell>
        </row>
        <row r="2297">
          <cell r="L2297">
            <v>100</v>
          </cell>
          <cell r="N2297">
            <v>44929</v>
          </cell>
        </row>
        <row r="2298">
          <cell r="L2298">
            <v>100</v>
          </cell>
          <cell r="N2298">
            <v>44929</v>
          </cell>
        </row>
        <row r="2299">
          <cell r="L2299">
            <v>100</v>
          </cell>
          <cell r="N2299">
            <v>44914</v>
          </cell>
        </row>
        <row r="2300">
          <cell r="L2300">
            <v>100</v>
          </cell>
          <cell r="N2300">
            <v>44777</v>
          </cell>
        </row>
        <row r="2301">
          <cell r="L2301">
            <v>100</v>
          </cell>
          <cell r="N2301">
            <v>44664</v>
          </cell>
        </row>
        <row r="2302">
          <cell r="L2302">
            <v>100</v>
          </cell>
          <cell r="N2302">
            <v>44777</v>
          </cell>
        </row>
        <row r="2303">
          <cell r="L2303">
            <v>100</v>
          </cell>
          <cell r="N2303"/>
        </row>
        <row r="2304">
          <cell r="L2304">
            <v>100</v>
          </cell>
          <cell r="N2304">
            <v>44601</v>
          </cell>
        </row>
        <row r="2305">
          <cell r="L2305">
            <v>100</v>
          </cell>
          <cell r="N2305">
            <v>44601</v>
          </cell>
        </row>
        <row r="2306">
          <cell r="L2306">
            <v>100</v>
          </cell>
          <cell r="N2306">
            <v>44601</v>
          </cell>
        </row>
        <row r="2307">
          <cell r="L2307">
            <v>100</v>
          </cell>
          <cell r="N2307">
            <v>44601</v>
          </cell>
        </row>
        <row r="2308">
          <cell r="L2308">
            <v>100</v>
          </cell>
          <cell r="N2308">
            <v>44910</v>
          </cell>
        </row>
        <row r="2309">
          <cell r="L2309">
            <v>100</v>
          </cell>
          <cell r="N2309">
            <v>44929</v>
          </cell>
        </row>
        <row r="2310">
          <cell r="L2310">
            <v>100</v>
          </cell>
          <cell r="N2310">
            <v>44929</v>
          </cell>
        </row>
        <row r="2311">
          <cell r="L2311">
            <v>100</v>
          </cell>
          <cell r="N2311">
            <v>44910</v>
          </cell>
        </row>
        <row r="2312">
          <cell r="L2312">
            <v>100</v>
          </cell>
          <cell r="N2312">
            <v>44910</v>
          </cell>
        </row>
        <row r="2313">
          <cell r="L2313">
            <v>100</v>
          </cell>
          <cell r="N2313">
            <v>44910</v>
          </cell>
        </row>
        <row r="2314">
          <cell r="L2314">
            <v>100</v>
          </cell>
          <cell r="N2314">
            <v>44910</v>
          </cell>
        </row>
        <row r="2315">
          <cell r="L2315">
            <v>100</v>
          </cell>
          <cell r="N2315">
            <v>44910</v>
          </cell>
        </row>
        <row r="2316">
          <cell r="L2316">
            <v>100</v>
          </cell>
          <cell r="N2316">
            <v>44910</v>
          </cell>
        </row>
        <row r="2317">
          <cell r="L2317">
            <v>100</v>
          </cell>
          <cell r="N2317">
            <v>44929</v>
          </cell>
        </row>
        <row r="2318">
          <cell r="L2318">
            <v>100</v>
          </cell>
          <cell r="N2318">
            <v>44914</v>
          </cell>
        </row>
        <row r="2319">
          <cell r="L2319">
            <v>100</v>
          </cell>
          <cell r="N2319">
            <v>44914</v>
          </cell>
        </row>
        <row r="2320">
          <cell r="L2320">
            <v>100</v>
          </cell>
          <cell r="N2320">
            <v>44917</v>
          </cell>
        </row>
        <row r="2321">
          <cell r="L2321">
            <v>100</v>
          </cell>
          <cell r="N2321">
            <v>44916</v>
          </cell>
        </row>
        <row r="2322">
          <cell r="L2322">
            <v>100</v>
          </cell>
          <cell r="N2322">
            <v>44914</v>
          </cell>
        </row>
        <row r="2323">
          <cell r="L2323">
            <v>100</v>
          </cell>
          <cell r="N2323">
            <v>44914</v>
          </cell>
        </row>
        <row r="2324">
          <cell r="L2324">
            <v>100</v>
          </cell>
          <cell r="N2324">
            <v>44914</v>
          </cell>
        </row>
        <row r="2325">
          <cell r="L2325">
            <v>100</v>
          </cell>
          <cell r="N2325">
            <v>44914</v>
          </cell>
        </row>
        <row r="2326">
          <cell r="L2326">
            <v>100</v>
          </cell>
          <cell r="N2326">
            <v>44917</v>
          </cell>
        </row>
        <row r="2327">
          <cell r="L2327">
            <v>100</v>
          </cell>
          <cell r="N2327">
            <v>44916</v>
          </cell>
        </row>
        <row r="2328">
          <cell r="L2328">
            <v>100</v>
          </cell>
          <cell r="N2328">
            <v>44887</v>
          </cell>
        </row>
        <row r="2329">
          <cell r="L2329">
            <v>100</v>
          </cell>
          <cell r="N2329">
            <v>44655</v>
          </cell>
        </row>
        <row r="2330">
          <cell r="L2330">
            <v>100</v>
          </cell>
          <cell r="N2330">
            <v>44655</v>
          </cell>
        </row>
        <row r="2331">
          <cell r="L2331">
            <v>100</v>
          </cell>
          <cell r="N2331">
            <v>44655</v>
          </cell>
        </row>
        <row r="2332">
          <cell r="L2332">
            <v>100</v>
          </cell>
          <cell r="N2332">
            <v>44750</v>
          </cell>
        </row>
        <row r="2333">
          <cell r="L2333">
            <v>100</v>
          </cell>
          <cell r="N2333">
            <v>44914</v>
          </cell>
        </row>
        <row r="2334">
          <cell r="L2334">
            <v>100</v>
          </cell>
          <cell r="N2334"/>
        </row>
        <row r="2335">
          <cell r="L2335">
            <v>100</v>
          </cell>
          <cell r="N2335"/>
        </row>
        <row r="2336">
          <cell r="L2336">
            <v>100</v>
          </cell>
          <cell r="N2336"/>
        </row>
        <row r="2337">
          <cell r="L2337">
            <v>100</v>
          </cell>
          <cell r="N2337">
            <v>44655</v>
          </cell>
        </row>
        <row r="2338">
          <cell r="L2338">
            <v>100</v>
          </cell>
          <cell r="N2338">
            <v>44655</v>
          </cell>
        </row>
        <row r="2339">
          <cell r="L2339">
            <v>100</v>
          </cell>
          <cell r="N2339">
            <v>44655</v>
          </cell>
        </row>
        <row r="2340">
          <cell r="L2340">
            <v>100</v>
          </cell>
          <cell r="N2340">
            <v>44750</v>
          </cell>
        </row>
        <row r="2341">
          <cell r="L2341">
            <v>100</v>
          </cell>
          <cell r="N2341"/>
        </row>
        <row r="2342">
          <cell r="L2342">
            <v>100</v>
          </cell>
          <cell r="N2342"/>
        </row>
        <row r="2343">
          <cell r="L2343">
            <v>100</v>
          </cell>
          <cell r="N2343"/>
        </row>
        <row r="2344">
          <cell r="L2344">
            <v>100</v>
          </cell>
          <cell r="N2344">
            <v>44887</v>
          </cell>
        </row>
        <row r="2345">
          <cell r="L2345">
            <v>100</v>
          </cell>
          <cell r="N2345">
            <v>44887</v>
          </cell>
        </row>
        <row r="2346">
          <cell r="L2346">
            <v>100</v>
          </cell>
          <cell r="N2346">
            <v>44887</v>
          </cell>
        </row>
        <row r="2347">
          <cell r="L2347">
            <v>100</v>
          </cell>
          <cell r="N2347">
            <v>44954</v>
          </cell>
        </row>
        <row r="2348">
          <cell r="L2348">
            <v>100</v>
          </cell>
          <cell r="N2348">
            <v>44954</v>
          </cell>
        </row>
        <row r="2349">
          <cell r="L2349">
            <v>100</v>
          </cell>
          <cell r="N2349">
            <v>44954</v>
          </cell>
        </row>
        <row r="2350">
          <cell r="L2350">
            <v>100</v>
          </cell>
          <cell r="N2350">
            <v>44968</v>
          </cell>
        </row>
        <row r="2351">
          <cell r="L2351">
            <v>100</v>
          </cell>
          <cell r="N2351">
            <v>44968</v>
          </cell>
        </row>
        <row r="2352">
          <cell r="L2352">
            <v>100</v>
          </cell>
          <cell r="N2352">
            <v>44968</v>
          </cell>
        </row>
        <row r="2353">
          <cell r="L2353">
            <v>100</v>
          </cell>
          <cell r="N2353">
            <v>44968</v>
          </cell>
        </row>
        <row r="2354">
          <cell r="L2354">
            <v>100</v>
          </cell>
          <cell r="N2354">
            <v>44968</v>
          </cell>
        </row>
        <row r="2355">
          <cell r="L2355">
            <v>100</v>
          </cell>
          <cell r="N2355">
            <v>44968</v>
          </cell>
        </row>
        <row r="2356">
          <cell r="L2356">
            <v>100</v>
          </cell>
          <cell r="N2356">
            <v>44968</v>
          </cell>
        </row>
        <row r="2357">
          <cell r="L2357">
            <v>100</v>
          </cell>
          <cell r="N2357">
            <v>44968</v>
          </cell>
        </row>
        <row r="2358">
          <cell r="L2358">
            <v>100</v>
          </cell>
          <cell r="N2358">
            <v>44946</v>
          </cell>
        </row>
        <row r="2359">
          <cell r="L2359">
            <v>100</v>
          </cell>
          <cell r="N2359">
            <v>44946</v>
          </cell>
        </row>
        <row r="2360">
          <cell r="L2360">
            <v>100</v>
          </cell>
          <cell r="N2360">
            <v>44946</v>
          </cell>
        </row>
        <row r="2361">
          <cell r="L2361">
            <v>100</v>
          </cell>
          <cell r="N2361">
            <v>44916</v>
          </cell>
        </row>
        <row r="2362">
          <cell r="L2362">
            <v>100</v>
          </cell>
          <cell r="N2362"/>
        </row>
        <row r="2363">
          <cell r="L2363">
            <v>100</v>
          </cell>
          <cell r="N2363">
            <v>44916</v>
          </cell>
        </row>
        <row r="2364">
          <cell r="L2364">
            <v>100</v>
          </cell>
          <cell r="N2364">
            <v>44946</v>
          </cell>
        </row>
        <row r="2365">
          <cell r="L2365">
            <v>100</v>
          </cell>
          <cell r="N2365">
            <v>44946</v>
          </cell>
        </row>
        <row r="2366">
          <cell r="L2366">
            <v>100</v>
          </cell>
          <cell r="N2366">
            <v>44946</v>
          </cell>
        </row>
        <row r="2367">
          <cell r="L2367">
            <v>100</v>
          </cell>
          <cell r="N2367">
            <v>44916</v>
          </cell>
        </row>
        <row r="2368">
          <cell r="L2368">
            <v>100</v>
          </cell>
          <cell r="N2368">
            <v>44916</v>
          </cell>
        </row>
        <row r="2369">
          <cell r="L2369">
            <v>100</v>
          </cell>
          <cell r="N2369">
            <v>44916</v>
          </cell>
        </row>
        <row r="2370">
          <cell r="L2370">
            <v>100</v>
          </cell>
          <cell r="N2370">
            <v>44916</v>
          </cell>
        </row>
        <row r="2371">
          <cell r="L2371">
            <v>100</v>
          </cell>
          <cell r="N2371">
            <v>44916</v>
          </cell>
        </row>
        <row r="2372">
          <cell r="L2372">
            <v>100</v>
          </cell>
          <cell r="N2372">
            <v>44916</v>
          </cell>
        </row>
        <row r="2373">
          <cell r="L2373">
            <v>100</v>
          </cell>
          <cell r="N2373">
            <v>44916</v>
          </cell>
        </row>
        <row r="2374">
          <cell r="L2374">
            <v>100</v>
          </cell>
          <cell r="N2374">
            <v>44916</v>
          </cell>
        </row>
        <row r="2375">
          <cell r="L2375">
            <v>100</v>
          </cell>
          <cell r="N2375">
            <v>44916</v>
          </cell>
        </row>
        <row r="2376">
          <cell r="L2376">
            <v>100</v>
          </cell>
          <cell r="N2376">
            <v>44946</v>
          </cell>
        </row>
        <row r="2377">
          <cell r="L2377">
            <v>100</v>
          </cell>
          <cell r="N2377">
            <v>44929</v>
          </cell>
        </row>
        <row r="2378">
          <cell r="L2378">
            <v>100</v>
          </cell>
          <cell r="N2378">
            <v>44914</v>
          </cell>
        </row>
        <row r="2379">
          <cell r="L2379">
            <v>100</v>
          </cell>
          <cell r="N2379">
            <v>44968</v>
          </cell>
        </row>
        <row r="2380">
          <cell r="L2380">
            <v>100</v>
          </cell>
          <cell r="N2380">
            <v>44968</v>
          </cell>
        </row>
        <row r="2381">
          <cell r="L2381">
            <v>100</v>
          </cell>
          <cell r="N2381"/>
        </row>
        <row r="2382">
          <cell r="L2382">
            <v>100</v>
          </cell>
          <cell r="N2382"/>
        </row>
        <row r="2383">
          <cell r="L2383">
            <v>100</v>
          </cell>
          <cell r="N2383"/>
        </row>
        <row r="2384">
          <cell r="L2384">
            <v>100</v>
          </cell>
          <cell r="N2384"/>
        </row>
        <row r="2385">
          <cell r="L2385">
            <v>100</v>
          </cell>
          <cell r="N2385"/>
        </row>
        <row r="2386">
          <cell r="L2386">
            <v>100</v>
          </cell>
          <cell r="N2386"/>
        </row>
        <row r="2387">
          <cell r="L2387">
            <v>100</v>
          </cell>
          <cell r="N2387">
            <v>44931</v>
          </cell>
        </row>
        <row r="2388">
          <cell r="L2388">
            <v>100</v>
          </cell>
          <cell r="N2388">
            <v>44931</v>
          </cell>
        </row>
        <row r="2389">
          <cell r="L2389">
            <v>100</v>
          </cell>
          <cell r="N2389">
            <v>44931</v>
          </cell>
        </row>
        <row r="2390">
          <cell r="L2390">
            <v>100</v>
          </cell>
          <cell r="N2390">
            <v>44931</v>
          </cell>
        </row>
        <row r="2391">
          <cell r="L2391">
            <v>100</v>
          </cell>
          <cell r="N2391">
            <v>44832</v>
          </cell>
        </row>
        <row r="2392">
          <cell r="L2392">
            <v>100</v>
          </cell>
          <cell r="N2392">
            <v>44931</v>
          </cell>
        </row>
        <row r="2393">
          <cell r="L2393">
            <v>100</v>
          </cell>
          <cell r="N2393">
            <v>44931</v>
          </cell>
        </row>
        <row r="2394">
          <cell r="L2394">
            <v>100</v>
          </cell>
          <cell r="N2394">
            <v>44931</v>
          </cell>
        </row>
        <row r="2395">
          <cell r="L2395">
            <v>100</v>
          </cell>
          <cell r="N2395">
            <v>44931</v>
          </cell>
        </row>
        <row r="2396">
          <cell r="L2396">
            <v>100</v>
          </cell>
          <cell r="N2396">
            <v>44931</v>
          </cell>
        </row>
        <row r="2397">
          <cell r="L2397">
            <v>100</v>
          </cell>
          <cell r="N2397">
            <v>44931</v>
          </cell>
        </row>
        <row r="2398">
          <cell r="L2398">
            <v>100</v>
          </cell>
          <cell r="N2398">
            <v>44931</v>
          </cell>
        </row>
        <row r="2399">
          <cell r="L2399">
            <v>100</v>
          </cell>
          <cell r="N2399">
            <v>44931</v>
          </cell>
        </row>
        <row r="2400">
          <cell r="L2400">
            <v>100</v>
          </cell>
          <cell r="N2400">
            <v>44931</v>
          </cell>
        </row>
        <row r="2401">
          <cell r="L2401">
            <v>100</v>
          </cell>
          <cell r="N2401">
            <v>44931</v>
          </cell>
        </row>
        <row r="2402">
          <cell r="L2402">
            <v>100</v>
          </cell>
          <cell r="N2402">
            <v>44931</v>
          </cell>
        </row>
        <row r="2403">
          <cell r="L2403">
            <v>100</v>
          </cell>
          <cell r="N2403">
            <v>44931</v>
          </cell>
        </row>
        <row r="2404">
          <cell r="L2404">
            <v>100</v>
          </cell>
          <cell r="N2404">
            <v>44931</v>
          </cell>
        </row>
        <row r="2405">
          <cell r="L2405">
            <v>100</v>
          </cell>
          <cell r="N2405">
            <v>44931</v>
          </cell>
        </row>
        <row r="2406">
          <cell r="L2406">
            <v>100</v>
          </cell>
          <cell r="N2406">
            <v>44931</v>
          </cell>
        </row>
        <row r="2407">
          <cell r="L2407">
            <v>100</v>
          </cell>
          <cell r="N2407">
            <v>44931</v>
          </cell>
        </row>
        <row r="2408">
          <cell r="L2408">
            <v>100</v>
          </cell>
          <cell r="N2408">
            <v>44931</v>
          </cell>
        </row>
        <row r="2409">
          <cell r="L2409">
            <v>100</v>
          </cell>
          <cell r="N2409">
            <v>44931</v>
          </cell>
        </row>
        <row r="2410">
          <cell r="L2410">
            <v>100</v>
          </cell>
          <cell r="N2410">
            <v>44931</v>
          </cell>
        </row>
        <row r="2411">
          <cell r="L2411">
            <v>100</v>
          </cell>
          <cell r="N2411">
            <v>44931</v>
          </cell>
        </row>
        <row r="2412">
          <cell r="L2412">
            <v>100</v>
          </cell>
          <cell r="N2412">
            <v>44832</v>
          </cell>
        </row>
        <row r="2413">
          <cell r="L2413">
            <v>100</v>
          </cell>
          <cell r="N2413">
            <v>44832</v>
          </cell>
        </row>
        <row r="2414">
          <cell r="L2414">
            <v>100</v>
          </cell>
          <cell r="N2414">
            <v>44832</v>
          </cell>
        </row>
        <row r="2415">
          <cell r="L2415">
            <v>100</v>
          </cell>
          <cell r="N2415">
            <v>44832</v>
          </cell>
        </row>
        <row r="2416">
          <cell r="L2416">
            <v>100</v>
          </cell>
          <cell r="N2416">
            <v>44832</v>
          </cell>
        </row>
        <row r="2417">
          <cell r="L2417">
            <v>100</v>
          </cell>
          <cell r="N2417">
            <v>44832</v>
          </cell>
        </row>
        <row r="2418">
          <cell r="L2418">
            <v>100</v>
          </cell>
          <cell r="N2418">
            <v>44931</v>
          </cell>
        </row>
        <row r="2419">
          <cell r="L2419">
            <v>100</v>
          </cell>
          <cell r="N2419">
            <v>44931</v>
          </cell>
        </row>
        <row r="2420">
          <cell r="L2420">
            <v>100</v>
          </cell>
          <cell r="N2420">
            <v>44832</v>
          </cell>
        </row>
        <row r="2421">
          <cell r="L2421">
            <v>100</v>
          </cell>
          <cell r="N2421">
            <v>44832</v>
          </cell>
        </row>
        <row r="2422">
          <cell r="L2422">
            <v>100</v>
          </cell>
          <cell r="N2422">
            <v>44832</v>
          </cell>
        </row>
        <row r="2423">
          <cell r="L2423">
            <v>100</v>
          </cell>
          <cell r="N2423">
            <v>44832</v>
          </cell>
        </row>
        <row r="2424">
          <cell r="L2424">
            <v>100</v>
          </cell>
          <cell r="N2424">
            <v>44832</v>
          </cell>
        </row>
        <row r="2425">
          <cell r="L2425">
            <v>100</v>
          </cell>
          <cell r="N2425">
            <v>44832</v>
          </cell>
        </row>
        <row r="2426">
          <cell r="L2426">
            <v>100</v>
          </cell>
          <cell r="N2426">
            <v>44832</v>
          </cell>
        </row>
        <row r="2427">
          <cell r="L2427">
            <v>100</v>
          </cell>
          <cell r="N2427">
            <v>44832</v>
          </cell>
        </row>
        <row r="2428">
          <cell r="L2428">
            <v>100</v>
          </cell>
          <cell r="N2428">
            <v>44931</v>
          </cell>
        </row>
        <row r="2429">
          <cell r="L2429">
            <v>100</v>
          </cell>
          <cell r="N2429">
            <v>44931</v>
          </cell>
        </row>
        <row r="2430">
          <cell r="L2430">
            <v>100</v>
          </cell>
          <cell r="N2430">
            <v>44931</v>
          </cell>
        </row>
        <row r="2431">
          <cell r="L2431">
            <v>100</v>
          </cell>
          <cell r="N2431">
            <v>44931</v>
          </cell>
        </row>
        <row r="2432">
          <cell r="L2432">
            <v>100</v>
          </cell>
          <cell r="N2432">
            <v>44931</v>
          </cell>
        </row>
        <row r="2433">
          <cell r="L2433">
            <v>100</v>
          </cell>
          <cell r="N2433">
            <v>44832</v>
          </cell>
        </row>
        <row r="2434">
          <cell r="L2434">
            <v>100</v>
          </cell>
          <cell r="N2434">
            <v>44832</v>
          </cell>
        </row>
        <row r="2435">
          <cell r="L2435">
            <v>100</v>
          </cell>
          <cell r="N2435">
            <v>44975</v>
          </cell>
        </row>
        <row r="2436">
          <cell r="L2436">
            <v>100</v>
          </cell>
          <cell r="N2436">
            <v>44832</v>
          </cell>
        </row>
        <row r="2437">
          <cell r="L2437">
            <v>100</v>
          </cell>
          <cell r="N2437">
            <v>44832</v>
          </cell>
        </row>
        <row r="2438">
          <cell r="L2438">
            <v>100</v>
          </cell>
          <cell r="N2438">
            <v>44832</v>
          </cell>
        </row>
        <row r="2439">
          <cell r="L2439">
            <v>100</v>
          </cell>
          <cell r="N2439">
            <v>44931</v>
          </cell>
        </row>
        <row r="2440">
          <cell r="L2440">
            <v>100</v>
          </cell>
          <cell r="N2440">
            <v>44931</v>
          </cell>
        </row>
        <row r="2441">
          <cell r="L2441">
            <v>100</v>
          </cell>
          <cell r="N2441">
            <v>44931</v>
          </cell>
        </row>
        <row r="2442">
          <cell r="L2442">
            <v>100</v>
          </cell>
          <cell r="N2442">
            <v>44931</v>
          </cell>
        </row>
        <row r="2443">
          <cell r="L2443">
            <v>100</v>
          </cell>
          <cell r="N2443">
            <v>44931</v>
          </cell>
        </row>
        <row r="2444">
          <cell r="L2444">
            <v>100</v>
          </cell>
          <cell r="N2444">
            <v>44832</v>
          </cell>
        </row>
        <row r="2445">
          <cell r="L2445">
            <v>100</v>
          </cell>
          <cell r="N2445">
            <v>44832</v>
          </cell>
        </row>
        <row r="2446">
          <cell r="L2446">
            <v>100</v>
          </cell>
          <cell r="N2446">
            <v>44832</v>
          </cell>
        </row>
        <row r="2447">
          <cell r="L2447">
            <v>100</v>
          </cell>
          <cell r="N2447">
            <v>44931</v>
          </cell>
        </row>
        <row r="2448">
          <cell r="L2448">
            <v>100</v>
          </cell>
          <cell r="N2448">
            <v>44931</v>
          </cell>
        </row>
        <row r="2449">
          <cell r="L2449">
            <v>100</v>
          </cell>
          <cell r="N2449">
            <v>44931</v>
          </cell>
        </row>
        <row r="2450">
          <cell r="L2450">
            <v>100</v>
          </cell>
          <cell r="N2450">
            <v>44832</v>
          </cell>
        </row>
        <row r="2451">
          <cell r="L2451">
            <v>100</v>
          </cell>
          <cell r="N2451">
            <v>44832</v>
          </cell>
        </row>
        <row r="2452">
          <cell r="L2452">
            <v>100</v>
          </cell>
          <cell r="N2452">
            <v>44832</v>
          </cell>
        </row>
        <row r="2453">
          <cell r="L2453">
            <v>100</v>
          </cell>
          <cell r="N2453"/>
        </row>
        <row r="2454">
          <cell r="L2454">
            <v>100</v>
          </cell>
          <cell r="N2454">
            <v>44931</v>
          </cell>
        </row>
        <row r="2455">
          <cell r="L2455">
            <v>100</v>
          </cell>
          <cell r="N2455">
            <v>44931</v>
          </cell>
        </row>
        <row r="2456">
          <cell r="L2456">
            <v>100</v>
          </cell>
          <cell r="N2456">
            <v>44931</v>
          </cell>
        </row>
        <row r="2457">
          <cell r="L2457">
            <v>100</v>
          </cell>
          <cell r="N2457">
            <v>44953</v>
          </cell>
        </row>
        <row r="2458">
          <cell r="L2458">
            <v>100</v>
          </cell>
          <cell r="N2458">
            <v>44953</v>
          </cell>
        </row>
        <row r="2459">
          <cell r="L2459">
            <v>100</v>
          </cell>
          <cell r="N2459"/>
        </row>
        <row r="2460">
          <cell r="L2460">
            <v>100</v>
          </cell>
          <cell r="N2460"/>
        </row>
        <row r="2461">
          <cell r="L2461">
            <v>100</v>
          </cell>
          <cell r="N2461"/>
        </row>
        <row r="2462">
          <cell r="L2462">
            <v>100</v>
          </cell>
          <cell r="N2462"/>
        </row>
        <row r="2463">
          <cell r="L2463">
            <v>100</v>
          </cell>
          <cell r="N2463">
            <v>44953</v>
          </cell>
        </row>
        <row r="2464">
          <cell r="L2464">
            <v>100</v>
          </cell>
          <cell r="N2464"/>
        </row>
        <row r="2465">
          <cell r="L2465">
            <v>100</v>
          </cell>
          <cell r="N2465"/>
        </row>
        <row r="2466">
          <cell r="L2466">
            <v>100</v>
          </cell>
          <cell r="N2466"/>
        </row>
        <row r="2467">
          <cell r="L2467">
            <v>100</v>
          </cell>
          <cell r="N2467"/>
        </row>
        <row r="2468">
          <cell r="L2468">
            <v>100</v>
          </cell>
          <cell r="N2468"/>
        </row>
        <row r="2469">
          <cell r="L2469">
            <v>100</v>
          </cell>
          <cell r="N2469"/>
        </row>
        <row r="2470">
          <cell r="L2470">
            <v>100</v>
          </cell>
          <cell r="N2470">
            <v>44953</v>
          </cell>
        </row>
        <row r="2471">
          <cell r="L2471">
            <v>100</v>
          </cell>
          <cell r="N2471">
            <v>44953</v>
          </cell>
        </row>
        <row r="2472">
          <cell r="L2472">
            <v>100</v>
          </cell>
          <cell r="N2472"/>
        </row>
        <row r="2473">
          <cell r="L2473">
            <v>100</v>
          </cell>
          <cell r="N2473"/>
        </row>
        <row r="2474">
          <cell r="L2474">
            <v>100</v>
          </cell>
          <cell r="N2474"/>
        </row>
        <row r="2475">
          <cell r="L2475">
            <v>100</v>
          </cell>
          <cell r="N2475">
            <v>44756</v>
          </cell>
        </row>
        <row r="2476">
          <cell r="L2476">
            <v>100</v>
          </cell>
          <cell r="N2476">
            <v>44756</v>
          </cell>
        </row>
        <row r="2477">
          <cell r="L2477">
            <v>100</v>
          </cell>
          <cell r="N2477">
            <v>44756</v>
          </cell>
        </row>
        <row r="2478">
          <cell r="L2478">
            <v>100</v>
          </cell>
          <cell r="N2478">
            <v>44912</v>
          </cell>
        </row>
        <row r="2479">
          <cell r="L2479">
            <v>100</v>
          </cell>
          <cell r="N2479">
            <v>44912</v>
          </cell>
        </row>
        <row r="2480">
          <cell r="L2480">
            <v>100</v>
          </cell>
          <cell r="N2480">
            <v>44590</v>
          </cell>
        </row>
        <row r="2481">
          <cell r="L2481">
            <v>100</v>
          </cell>
          <cell r="N2481">
            <v>44590</v>
          </cell>
        </row>
        <row r="2482">
          <cell r="L2482">
            <v>100</v>
          </cell>
          <cell r="N2482">
            <v>44587</v>
          </cell>
        </row>
        <row r="2483">
          <cell r="L2483">
            <v>100</v>
          </cell>
          <cell r="N2483">
            <v>44587</v>
          </cell>
        </row>
        <row r="2484">
          <cell r="L2484">
            <v>100</v>
          </cell>
          <cell r="N2484">
            <v>44587</v>
          </cell>
        </row>
        <row r="2485">
          <cell r="L2485">
            <v>100</v>
          </cell>
          <cell r="N2485">
            <v>44587</v>
          </cell>
        </row>
        <row r="2486">
          <cell r="L2486">
            <v>100</v>
          </cell>
          <cell r="N2486">
            <v>44756</v>
          </cell>
        </row>
        <row r="2487">
          <cell r="L2487">
            <v>100</v>
          </cell>
          <cell r="N2487"/>
        </row>
        <row r="2488">
          <cell r="L2488">
            <v>100</v>
          </cell>
          <cell r="N2488"/>
        </row>
        <row r="2489">
          <cell r="L2489">
            <v>100</v>
          </cell>
          <cell r="N2489"/>
        </row>
        <row r="2490">
          <cell r="L2490">
            <v>100</v>
          </cell>
          <cell r="N2490"/>
        </row>
        <row r="2491">
          <cell r="L2491">
            <v>100</v>
          </cell>
          <cell r="N2491">
            <v>44917</v>
          </cell>
        </row>
        <row r="2492">
          <cell r="L2492">
            <v>100</v>
          </cell>
          <cell r="N2492">
            <v>44756</v>
          </cell>
        </row>
        <row r="2493">
          <cell r="L2493">
            <v>100</v>
          </cell>
          <cell r="N2493">
            <v>44756</v>
          </cell>
        </row>
        <row r="2494">
          <cell r="L2494">
            <v>100</v>
          </cell>
          <cell r="N2494"/>
        </row>
        <row r="2495">
          <cell r="L2495">
            <v>100</v>
          </cell>
          <cell r="N2495"/>
        </row>
        <row r="2496">
          <cell r="L2496">
            <v>100</v>
          </cell>
          <cell r="N2496">
            <v>44935</v>
          </cell>
        </row>
        <row r="2497">
          <cell r="L2497">
            <v>100</v>
          </cell>
          <cell r="N2497">
            <v>44953</v>
          </cell>
        </row>
        <row r="2498">
          <cell r="L2498">
            <v>100</v>
          </cell>
          <cell r="N2498">
            <v>44953</v>
          </cell>
        </row>
        <row r="2499">
          <cell r="L2499">
            <v>100</v>
          </cell>
          <cell r="N2499"/>
        </row>
        <row r="2500">
          <cell r="L2500">
            <v>100</v>
          </cell>
          <cell r="N2500">
            <v>44791</v>
          </cell>
        </row>
        <row r="2501">
          <cell r="L2501">
            <v>100</v>
          </cell>
          <cell r="N2501">
            <v>44791</v>
          </cell>
        </row>
        <row r="2502">
          <cell r="L2502">
            <v>100</v>
          </cell>
          <cell r="N2502">
            <v>44953</v>
          </cell>
        </row>
        <row r="2503">
          <cell r="L2503">
            <v>100</v>
          </cell>
          <cell r="N2503">
            <v>44953</v>
          </cell>
        </row>
        <row r="2504">
          <cell r="L2504">
            <v>100</v>
          </cell>
          <cell r="N2504">
            <v>44953</v>
          </cell>
        </row>
        <row r="2505">
          <cell r="L2505">
            <v>100</v>
          </cell>
          <cell r="N2505"/>
        </row>
        <row r="2506">
          <cell r="L2506">
            <v>100</v>
          </cell>
          <cell r="N2506"/>
        </row>
        <row r="2507">
          <cell r="L2507">
            <v>100</v>
          </cell>
          <cell r="N2507"/>
        </row>
        <row r="2508">
          <cell r="L2508">
            <v>100</v>
          </cell>
          <cell r="N2508"/>
        </row>
        <row r="2509">
          <cell r="L2509">
            <v>100</v>
          </cell>
          <cell r="N2509"/>
        </row>
        <row r="2510">
          <cell r="L2510">
            <v>100</v>
          </cell>
          <cell r="N2510"/>
        </row>
        <row r="2511">
          <cell r="L2511">
            <v>100</v>
          </cell>
          <cell r="N2511"/>
        </row>
        <row r="2512">
          <cell r="L2512">
            <v>100</v>
          </cell>
          <cell r="N2512"/>
        </row>
        <row r="2513">
          <cell r="L2513">
            <v>100</v>
          </cell>
          <cell r="N2513"/>
        </row>
        <row r="2514">
          <cell r="L2514">
            <v>100</v>
          </cell>
          <cell r="N2514"/>
        </row>
        <row r="2515">
          <cell r="L2515">
            <v>100</v>
          </cell>
          <cell r="N2515"/>
        </row>
        <row r="2516">
          <cell r="L2516">
            <v>100</v>
          </cell>
          <cell r="N2516"/>
        </row>
        <row r="2517">
          <cell r="L2517">
            <v>100</v>
          </cell>
          <cell r="N2517"/>
        </row>
        <row r="2518">
          <cell r="L2518">
            <v>100</v>
          </cell>
          <cell r="N2518"/>
        </row>
        <row r="2519">
          <cell r="L2519">
            <v>100</v>
          </cell>
          <cell r="N2519"/>
        </row>
        <row r="2520">
          <cell r="L2520">
            <v>100</v>
          </cell>
          <cell r="N2520"/>
        </row>
        <row r="2521">
          <cell r="L2521">
            <v>100</v>
          </cell>
          <cell r="N2521"/>
        </row>
        <row r="2522">
          <cell r="L2522">
            <v>100</v>
          </cell>
          <cell r="N2522">
            <v>44923</v>
          </cell>
        </row>
        <row r="2523">
          <cell r="L2523">
            <v>100</v>
          </cell>
          <cell r="N2523"/>
        </row>
        <row r="2524">
          <cell r="L2524">
            <v>100</v>
          </cell>
          <cell r="N2524"/>
        </row>
        <row r="2525">
          <cell r="L2525">
            <v>100</v>
          </cell>
          <cell r="N2525"/>
        </row>
        <row r="2526">
          <cell r="L2526">
            <v>100</v>
          </cell>
          <cell r="N2526"/>
        </row>
        <row r="2527">
          <cell r="L2527">
            <v>100</v>
          </cell>
          <cell r="N2527"/>
        </row>
        <row r="2528">
          <cell r="L2528">
            <v>100</v>
          </cell>
          <cell r="N2528"/>
        </row>
        <row r="2529">
          <cell r="L2529">
            <v>100</v>
          </cell>
          <cell r="N2529">
            <v>44789</v>
          </cell>
        </row>
        <row r="2530">
          <cell r="L2530">
            <v>100</v>
          </cell>
          <cell r="N2530">
            <v>44789</v>
          </cell>
        </row>
        <row r="2531">
          <cell r="L2531">
            <v>100</v>
          </cell>
          <cell r="N2531">
            <v>44789</v>
          </cell>
        </row>
        <row r="2532">
          <cell r="L2532">
            <v>100</v>
          </cell>
          <cell r="N2532">
            <v>44789</v>
          </cell>
        </row>
        <row r="2533">
          <cell r="L2533">
            <v>100</v>
          </cell>
          <cell r="N2533">
            <v>44881</v>
          </cell>
        </row>
        <row r="2534">
          <cell r="L2534">
            <v>100</v>
          </cell>
          <cell r="N2534">
            <v>44942</v>
          </cell>
        </row>
        <row r="2535">
          <cell r="L2535">
            <v>100</v>
          </cell>
          <cell r="N2535"/>
        </row>
        <row r="2536">
          <cell r="L2536">
            <v>100</v>
          </cell>
          <cell r="N2536"/>
        </row>
        <row r="2537">
          <cell r="L2537">
            <v>100</v>
          </cell>
          <cell r="N2537">
            <v>44726</v>
          </cell>
        </row>
        <row r="2538">
          <cell r="L2538">
            <v>100</v>
          </cell>
          <cell r="N2538">
            <v>44726</v>
          </cell>
        </row>
        <row r="2539">
          <cell r="L2539">
            <v>100</v>
          </cell>
          <cell r="N2539">
            <v>44658</v>
          </cell>
        </row>
        <row r="2540">
          <cell r="L2540">
            <v>100</v>
          </cell>
          <cell r="N2540">
            <v>44658</v>
          </cell>
        </row>
        <row r="2541">
          <cell r="L2541">
            <v>100</v>
          </cell>
          <cell r="N2541"/>
        </row>
        <row r="2542">
          <cell r="L2542">
            <v>100</v>
          </cell>
          <cell r="N2542"/>
        </row>
        <row r="2543">
          <cell r="L2543">
            <v>100</v>
          </cell>
          <cell r="N2543">
            <v>44953</v>
          </cell>
        </row>
        <row r="2544">
          <cell r="L2544">
            <v>100</v>
          </cell>
          <cell r="N2544">
            <v>44898</v>
          </cell>
        </row>
        <row r="2545">
          <cell r="L2545">
            <v>100</v>
          </cell>
          <cell r="N2545">
            <v>44898</v>
          </cell>
        </row>
        <row r="2546">
          <cell r="L2546">
            <v>100</v>
          </cell>
          <cell r="N2546">
            <v>44898</v>
          </cell>
        </row>
        <row r="2547">
          <cell r="L2547">
            <v>100</v>
          </cell>
          <cell r="N2547"/>
        </row>
        <row r="2548">
          <cell r="L2548">
            <v>100</v>
          </cell>
          <cell r="N2548"/>
        </row>
        <row r="2549">
          <cell r="L2549">
            <v>100</v>
          </cell>
          <cell r="N2549"/>
        </row>
        <row r="2550">
          <cell r="L2550">
            <v>100</v>
          </cell>
          <cell r="N2550">
            <v>44898</v>
          </cell>
        </row>
        <row r="2551">
          <cell r="L2551">
            <v>100</v>
          </cell>
          <cell r="N2551">
            <v>44898</v>
          </cell>
        </row>
        <row r="2552">
          <cell r="L2552">
            <v>100</v>
          </cell>
          <cell r="N2552">
            <v>44898</v>
          </cell>
        </row>
        <row r="2553">
          <cell r="L2553">
            <v>100</v>
          </cell>
          <cell r="N2553">
            <v>44898</v>
          </cell>
        </row>
        <row r="2554">
          <cell r="L2554">
            <v>100</v>
          </cell>
          <cell r="N2554"/>
        </row>
        <row r="2555">
          <cell r="L2555">
            <v>100</v>
          </cell>
          <cell r="N2555"/>
        </row>
        <row r="2556">
          <cell r="L2556">
            <v>100</v>
          </cell>
          <cell r="N2556"/>
        </row>
        <row r="2557">
          <cell r="L2557">
            <v>100</v>
          </cell>
          <cell r="N2557"/>
        </row>
        <row r="2558">
          <cell r="L2558">
            <v>100</v>
          </cell>
          <cell r="N2558"/>
        </row>
        <row r="2559">
          <cell r="L2559">
            <v>100</v>
          </cell>
          <cell r="N2559"/>
        </row>
        <row r="2560">
          <cell r="L2560">
            <v>100</v>
          </cell>
          <cell r="N2560"/>
        </row>
        <row r="2561">
          <cell r="L2561">
            <v>100</v>
          </cell>
          <cell r="N2561"/>
        </row>
        <row r="2562">
          <cell r="L2562">
            <v>100</v>
          </cell>
          <cell r="N2562"/>
        </row>
        <row r="2563">
          <cell r="L2563">
            <v>100</v>
          </cell>
          <cell r="N2563"/>
        </row>
        <row r="2564">
          <cell r="L2564">
            <v>100</v>
          </cell>
          <cell r="N2564"/>
        </row>
        <row r="2565">
          <cell r="L2565">
            <v>100</v>
          </cell>
          <cell r="N2565">
            <v>44953</v>
          </cell>
        </row>
        <row r="2566">
          <cell r="L2566">
            <v>100</v>
          </cell>
          <cell r="N2566">
            <v>44953</v>
          </cell>
        </row>
        <row r="2567">
          <cell r="L2567">
            <v>100</v>
          </cell>
          <cell r="N2567">
            <v>44953</v>
          </cell>
        </row>
        <row r="2568">
          <cell r="L2568">
            <v>100</v>
          </cell>
          <cell r="N2568"/>
        </row>
        <row r="2569">
          <cell r="L2569">
            <v>100</v>
          </cell>
          <cell r="N2569"/>
        </row>
        <row r="2570">
          <cell r="L2570">
            <v>100</v>
          </cell>
          <cell r="N2570"/>
        </row>
        <row r="2571">
          <cell r="L2571">
            <v>100</v>
          </cell>
          <cell r="N2571"/>
        </row>
        <row r="2572">
          <cell r="L2572">
            <v>100</v>
          </cell>
          <cell r="N2572"/>
        </row>
        <row r="2573">
          <cell r="L2573">
            <v>100</v>
          </cell>
          <cell r="N2573"/>
        </row>
        <row r="2574">
          <cell r="L2574">
            <v>100</v>
          </cell>
          <cell r="N2574"/>
        </row>
        <row r="2575">
          <cell r="L2575">
            <v>100</v>
          </cell>
          <cell r="N2575"/>
        </row>
        <row r="2576">
          <cell r="L2576">
            <v>100</v>
          </cell>
          <cell r="N2576"/>
        </row>
        <row r="2577">
          <cell r="L2577">
            <v>100</v>
          </cell>
          <cell r="N2577"/>
        </row>
        <row r="2578">
          <cell r="L2578">
            <v>100</v>
          </cell>
          <cell r="N2578"/>
        </row>
        <row r="2579">
          <cell r="L2579">
            <v>100</v>
          </cell>
          <cell r="N2579"/>
        </row>
        <row r="2580">
          <cell r="L2580">
            <v>100</v>
          </cell>
          <cell r="N2580"/>
        </row>
        <row r="2581">
          <cell r="L2581">
            <v>100</v>
          </cell>
          <cell r="N2581"/>
        </row>
        <row r="2582">
          <cell r="L2582">
            <v>100</v>
          </cell>
          <cell r="N2582">
            <v>44953</v>
          </cell>
        </row>
        <row r="2583">
          <cell r="L2583">
            <v>100</v>
          </cell>
          <cell r="N2583">
            <v>44953</v>
          </cell>
        </row>
        <row r="2584">
          <cell r="L2584">
            <v>100</v>
          </cell>
          <cell r="N2584">
            <v>44953</v>
          </cell>
        </row>
        <row r="2585">
          <cell r="L2585">
            <v>100</v>
          </cell>
          <cell r="N2585">
            <v>44953</v>
          </cell>
        </row>
        <row r="2586">
          <cell r="L2586">
            <v>100</v>
          </cell>
          <cell r="N2586"/>
        </row>
        <row r="2587">
          <cell r="L2587">
            <v>100</v>
          </cell>
          <cell r="N2587"/>
        </row>
        <row r="2588">
          <cell r="L2588">
            <v>100</v>
          </cell>
          <cell r="N2588">
            <v>44953</v>
          </cell>
        </row>
        <row r="2589">
          <cell r="L2589">
            <v>100</v>
          </cell>
          <cell r="N2589">
            <v>44953</v>
          </cell>
        </row>
        <row r="2590">
          <cell r="L2590">
            <v>100</v>
          </cell>
          <cell r="N2590">
            <v>44953</v>
          </cell>
        </row>
        <row r="2591">
          <cell r="L2591">
            <v>100</v>
          </cell>
          <cell r="N2591">
            <v>44953</v>
          </cell>
        </row>
        <row r="2592">
          <cell r="L2592">
            <v>100</v>
          </cell>
          <cell r="N2592"/>
        </row>
        <row r="2593">
          <cell r="L2593">
            <v>100</v>
          </cell>
          <cell r="N2593">
            <v>44953</v>
          </cell>
        </row>
        <row r="2594">
          <cell r="L2594">
            <v>100</v>
          </cell>
          <cell r="N2594"/>
        </row>
        <row r="2595">
          <cell r="L2595">
            <v>100</v>
          </cell>
          <cell r="N2595"/>
        </row>
        <row r="2596">
          <cell r="L2596">
            <v>100</v>
          </cell>
          <cell r="N2596"/>
        </row>
        <row r="2597">
          <cell r="L2597">
            <v>100</v>
          </cell>
          <cell r="N2597"/>
        </row>
        <row r="2598">
          <cell r="L2598">
            <v>100</v>
          </cell>
          <cell r="N2598">
            <v>44953</v>
          </cell>
        </row>
        <row r="2599">
          <cell r="L2599">
            <v>100</v>
          </cell>
          <cell r="N2599"/>
        </row>
        <row r="2600">
          <cell r="L2600">
            <v>100</v>
          </cell>
          <cell r="N2600"/>
        </row>
        <row r="2601">
          <cell r="L2601">
            <v>100</v>
          </cell>
          <cell r="N2601"/>
        </row>
        <row r="2602">
          <cell r="L2602">
            <v>100</v>
          </cell>
          <cell r="N2602"/>
        </row>
        <row r="2603">
          <cell r="L2603">
            <v>100</v>
          </cell>
          <cell r="N2603"/>
        </row>
        <row r="2604">
          <cell r="L2604">
            <v>100</v>
          </cell>
          <cell r="N2604">
            <v>44953</v>
          </cell>
        </row>
        <row r="2605">
          <cell r="L2605">
            <v>100</v>
          </cell>
          <cell r="N2605">
            <v>44953</v>
          </cell>
        </row>
        <row r="2606">
          <cell r="L2606">
            <v>100</v>
          </cell>
          <cell r="N2606">
            <v>44953</v>
          </cell>
        </row>
        <row r="2607">
          <cell r="L2607">
            <v>100</v>
          </cell>
          <cell r="N2607">
            <v>44953</v>
          </cell>
        </row>
        <row r="2608">
          <cell r="L2608">
            <v>100</v>
          </cell>
          <cell r="N2608">
            <v>44953</v>
          </cell>
        </row>
        <row r="2609">
          <cell r="L2609">
            <v>100</v>
          </cell>
          <cell r="N2609">
            <v>44953</v>
          </cell>
        </row>
        <row r="2610">
          <cell r="L2610">
            <v>100</v>
          </cell>
          <cell r="N2610"/>
        </row>
        <row r="2611">
          <cell r="L2611">
            <v>100</v>
          </cell>
          <cell r="N2611"/>
        </row>
        <row r="2612">
          <cell r="L2612">
            <v>100</v>
          </cell>
          <cell r="N2612"/>
        </row>
        <row r="2613">
          <cell r="L2613">
            <v>100</v>
          </cell>
          <cell r="N2613"/>
        </row>
        <row r="2614">
          <cell r="L2614">
            <v>100</v>
          </cell>
          <cell r="N2614"/>
        </row>
        <row r="2615">
          <cell r="L2615">
            <v>100</v>
          </cell>
          <cell r="N2615">
            <v>44959</v>
          </cell>
        </row>
        <row r="2616">
          <cell r="L2616">
            <v>100</v>
          </cell>
          <cell r="N2616">
            <v>44959</v>
          </cell>
        </row>
        <row r="2617">
          <cell r="L2617">
            <v>100</v>
          </cell>
          <cell r="N2617">
            <v>44959</v>
          </cell>
        </row>
        <row r="2618">
          <cell r="L2618">
            <v>100</v>
          </cell>
          <cell r="N2618">
            <v>44959</v>
          </cell>
        </row>
        <row r="2619">
          <cell r="L2619">
            <v>100</v>
          </cell>
          <cell r="N2619">
            <v>44959</v>
          </cell>
        </row>
        <row r="2620">
          <cell r="L2620">
            <v>100</v>
          </cell>
          <cell r="N2620">
            <v>44695</v>
          </cell>
        </row>
        <row r="2621">
          <cell r="L2621">
            <v>100</v>
          </cell>
          <cell r="N2621">
            <v>44695</v>
          </cell>
        </row>
        <row r="2622">
          <cell r="L2622">
            <v>100</v>
          </cell>
          <cell r="N2622">
            <v>44695</v>
          </cell>
        </row>
        <row r="2623">
          <cell r="L2623">
            <v>100</v>
          </cell>
          <cell r="N2623">
            <v>44695</v>
          </cell>
        </row>
        <row r="2624">
          <cell r="L2624">
            <v>100</v>
          </cell>
          <cell r="N2624">
            <v>44695</v>
          </cell>
        </row>
        <row r="2625">
          <cell r="L2625">
            <v>100</v>
          </cell>
          <cell r="N2625">
            <v>44695</v>
          </cell>
        </row>
        <row r="2626">
          <cell r="L2626">
            <v>100</v>
          </cell>
          <cell r="N2626">
            <v>44832</v>
          </cell>
        </row>
        <row r="2627">
          <cell r="L2627">
            <v>100</v>
          </cell>
          <cell r="N2627">
            <v>44832</v>
          </cell>
        </row>
        <row r="2628">
          <cell r="L2628">
            <v>100</v>
          </cell>
          <cell r="N2628">
            <v>44832</v>
          </cell>
        </row>
        <row r="2629">
          <cell r="L2629">
            <v>100</v>
          </cell>
          <cell r="N2629">
            <v>44953</v>
          </cell>
        </row>
        <row r="2630">
          <cell r="L2630">
            <v>100</v>
          </cell>
          <cell r="N2630">
            <v>44953</v>
          </cell>
        </row>
        <row r="2631">
          <cell r="L2631">
            <v>100</v>
          </cell>
          <cell r="N2631">
            <v>44953</v>
          </cell>
        </row>
        <row r="2632">
          <cell r="L2632">
            <v>100</v>
          </cell>
          <cell r="N2632">
            <v>44953</v>
          </cell>
        </row>
        <row r="2633">
          <cell r="L2633">
            <v>100</v>
          </cell>
          <cell r="N2633">
            <v>44953</v>
          </cell>
        </row>
        <row r="2634">
          <cell r="L2634">
            <v>100</v>
          </cell>
          <cell r="N2634"/>
        </row>
        <row r="2635">
          <cell r="L2635">
            <v>100</v>
          </cell>
          <cell r="N2635"/>
        </row>
        <row r="2636">
          <cell r="L2636">
            <v>100</v>
          </cell>
          <cell r="N2636">
            <v>44953</v>
          </cell>
        </row>
        <row r="2637">
          <cell r="L2637">
            <v>100</v>
          </cell>
          <cell r="N2637"/>
        </row>
        <row r="2638">
          <cell r="L2638">
            <v>100</v>
          </cell>
          <cell r="N2638"/>
        </row>
        <row r="2639">
          <cell r="L2639">
            <v>100</v>
          </cell>
          <cell r="N2639"/>
        </row>
        <row r="2640">
          <cell r="L2640">
            <v>100</v>
          </cell>
          <cell r="N2640"/>
        </row>
        <row r="2641">
          <cell r="L2641">
            <v>100</v>
          </cell>
          <cell r="N2641"/>
        </row>
        <row r="2642">
          <cell r="L2642">
            <v>100</v>
          </cell>
          <cell r="N2642"/>
        </row>
        <row r="2643">
          <cell r="L2643">
            <v>100</v>
          </cell>
          <cell r="N2643"/>
        </row>
        <row r="2644">
          <cell r="L2644">
            <v>100</v>
          </cell>
          <cell r="N2644"/>
        </row>
        <row r="2645">
          <cell r="L2645">
            <v>100</v>
          </cell>
          <cell r="N2645"/>
        </row>
        <row r="2646">
          <cell r="L2646">
            <v>100</v>
          </cell>
          <cell r="N2646"/>
        </row>
        <row r="2647">
          <cell r="L2647">
            <v>100</v>
          </cell>
          <cell r="N2647"/>
        </row>
        <row r="2648">
          <cell r="L2648">
            <v>100</v>
          </cell>
          <cell r="N2648"/>
        </row>
        <row r="2649">
          <cell r="L2649">
            <v>100</v>
          </cell>
          <cell r="N2649">
            <v>44832</v>
          </cell>
        </row>
        <row r="2650">
          <cell r="L2650">
            <v>100</v>
          </cell>
          <cell r="N2650">
            <v>44832</v>
          </cell>
        </row>
        <row r="2651">
          <cell r="L2651">
            <v>100</v>
          </cell>
          <cell r="N2651"/>
        </row>
        <row r="2652">
          <cell r="L2652">
            <v>100</v>
          </cell>
          <cell r="N2652">
            <v>44935</v>
          </cell>
        </row>
        <row r="2653">
          <cell r="L2653">
            <v>100</v>
          </cell>
          <cell r="N2653"/>
        </row>
        <row r="2654">
          <cell r="L2654">
            <v>100</v>
          </cell>
          <cell r="N2654">
            <v>44933</v>
          </cell>
        </row>
        <row r="2655">
          <cell r="L2655">
            <v>100</v>
          </cell>
          <cell r="N2655">
            <v>44953</v>
          </cell>
        </row>
        <row r="2656">
          <cell r="L2656">
            <v>100</v>
          </cell>
          <cell r="N2656">
            <v>44953</v>
          </cell>
        </row>
        <row r="2657">
          <cell r="L2657">
            <v>100</v>
          </cell>
          <cell r="N2657">
            <v>44953</v>
          </cell>
        </row>
        <row r="2658">
          <cell r="L2658">
            <v>100</v>
          </cell>
          <cell r="N2658">
            <v>44953</v>
          </cell>
        </row>
        <row r="2659">
          <cell r="L2659">
            <v>100</v>
          </cell>
          <cell r="N2659">
            <v>44953</v>
          </cell>
        </row>
        <row r="2660">
          <cell r="L2660">
            <v>100</v>
          </cell>
          <cell r="N2660">
            <v>44953</v>
          </cell>
        </row>
        <row r="2661">
          <cell r="L2661">
            <v>100</v>
          </cell>
          <cell r="N2661">
            <v>44953</v>
          </cell>
        </row>
        <row r="2662">
          <cell r="L2662">
            <v>100</v>
          </cell>
          <cell r="N2662">
            <v>44953</v>
          </cell>
        </row>
        <row r="2663">
          <cell r="L2663">
            <v>100</v>
          </cell>
          <cell r="N2663">
            <v>44953</v>
          </cell>
        </row>
        <row r="2664">
          <cell r="L2664">
            <v>100</v>
          </cell>
          <cell r="N2664">
            <v>44953</v>
          </cell>
        </row>
        <row r="2665">
          <cell r="L2665">
            <v>100</v>
          </cell>
          <cell r="N2665">
            <v>44953</v>
          </cell>
        </row>
        <row r="2666">
          <cell r="L2666">
            <v>100</v>
          </cell>
          <cell r="N2666">
            <v>44953</v>
          </cell>
        </row>
        <row r="2667">
          <cell r="L2667">
            <v>100</v>
          </cell>
          <cell r="N2667">
            <v>44953</v>
          </cell>
        </row>
        <row r="2668">
          <cell r="L2668">
            <v>100</v>
          </cell>
          <cell r="N2668">
            <v>44953</v>
          </cell>
        </row>
        <row r="2669">
          <cell r="L2669">
            <v>100</v>
          </cell>
          <cell r="N2669">
            <v>44953</v>
          </cell>
        </row>
        <row r="2670">
          <cell r="L2670">
            <v>100</v>
          </cell>
          <cell r="N2670">
            <v>44953</v>
          </cell>
        </row>
        <row r="2671">
          <cell r="L2671">
            <v>100</v>
          </cell>
          <cell r="N2671">
            <v>44953</v>
          </cell>
        </row>
        <row r="2672">
          <cell r="L2672">
            <v>100</v>
          </cell>
          <cell r="N2672">
            <v>44953</v>
          </cell>
        </row>
        <row r="2673">
          <cell r="L2673">
            <v>100</v>
          </cell>
          <cell r="N2673">
            <v>44953</v>
          </cell>
        </row>
        <row r="2674">
          <cell r="L2674">
            <v>100</v>
          </cell>
          <cell r="N2674">
            <v>44953</v>
          </cell>
        </row>
        <row r="2675">
          <cell r="L2675">
            <v>100</v>
          </cell>
          <cell r="N2675">
            <v>44953</v>
          </cell>
        </row>
        <row r="2676">
          <cell r="L2676">
            <v>100</v>
          </cell>
          <cell r="N2676">
            <v>44953</v>
          </cell>
        </row>
        <row r="2677">
          <cell r="L2677">
            <v>100</v>
          </cell>
          <cell r="N2677">
            <v>44953</v>
          </cell>
        </row>
        <row r="2678">
          <cell r="L2678">
            <v>100</v>
          </cell>
          <cell r="N2678"/>
        </row>
        <row r="2679">
          <cell r="L2679">
            <v>100</v>
          </cell>
          <cell r="N2679">
            <v>44736</v>
          </cell>
        </row>
        <row r="2680">
          <cell r="L2680">
            <v>100</v>
          </cell>
          <cell r="N2680">
            <v>44953</v>
          </cell>
        </row>
        <row r="2681">
          <cell r="L2681">
            <v>100</v>
          </cell>
          <cell r="N2681">
            <v>44953</v>
          </cell>
        </row>
        <row r="2682">
          <cell r="L2682">
            <v>100</v>
          </cell>
          <cell r="N2682"/>
        </row>
        <row r="2683">
          <cell r="L2683">
            <v>100</v>
          </cell>
          <cell r="N2683">
            <v>44832</v>
          </cell>
        </row>
        <row r="2684">
          <cell r="L2684">
            <v>100</v>
          </cell>
          <cell r="N2684">
            <v>44953</v>
          </cell>
        </row>
        <row r="2685">
          <cell r="L2685">
            <v>100</v>
          </cell>
          <cell r="N2685">
            <v>44953</v>
          </cell>
        </row>
        <row r="2686">
          <cell r="L2686">
            <v>100</v>
          </cell>
          <cell r="N2686">
            <v>44953</v>
          </cell>
        </row>
        <row r="2687">
          <cell r="L2687">
            <v>100</v>
          </cell>
          <cell r="N2687"/>
        </row>
        <row r="2688">
          <cell r="L2688">
            <v>100</v>
          </cell>
          <cell r="N2688"/>
        </row>
        <row r="2689">
          <cell r="L2689">
            <v>100</v>
          </cell>
          <cell r="N2689"/>
        </row>
        <row r="2690">
          <cell r="L2690">
            <v>100</v>
          </cell>
          <cell r="N2690"/>
        </row>
        <row r="2691">
          <cell r="L2691">
            <v>100</v>
          </cell>
          <cell r="N2691">
            <v>44953</v>
          </cell>
        </row>
        <row r="2692">
          <cell r="L2692">
            <v>100</v>
          </cell>
          <cell r="N2692"/>
        </row>
        <row r="2693">
          <cell r="L2693">
            <v>100</v>
          </cell>
          <cell r="N2693">
            <v>44953</v>
          </cell>
        </row>
        <row r="2694">
          <cell r="L2694">
            <v>100</v>
          </cell>
          <cell r="N2694">
            <v>44953</v>
          </cell>
        </row>
        <row r="2695">
          <cell r="L2695">
            <v>100</v>
          </cell>
          <cell r="N2695">
            <v>44953</v>
          </cell>
        </row>
        <row r="2696">
          <cell r="L2696">
            <v>100</v>
          </cell>
          <cell r="N2696">
            <v>44953</v>
          </cell>
        </row>
        <row r="2697">
          <cell r="L2697">
            <v>100</v>
          </cell>
          <cell r="N2697">
            <v>44953</v>
          </cell>
        </row>
        <row r="2698">
          <cell r="L2698">
            <v>100</v>
          </cell>
          <cell r="N2698">
            <v>44953</v>
          </cell>
        </row>
        <row r="2699">
          <cell r="L2699">
            <v>100</v>
          </cell>
          <cell r="N2699"/>
        </row>
        <row r="2700">
          <cell r="L2700">
            <v>100</v>
          </cell>
          <cell r="N2700"/>
        </row>
        <row r="2701">
          <cell r="L2701">
            <v>100</v>
          </cell>
          <cell r="N2701"/>
        </row>
        <row r="2702">
          <cell r="L2702">
            <v>100</v>
          </cell>
          <cell r="N2702"/>
        </row>
        <row r="2703">
          <cell r="L2703">
            <v>100</v>
          </cell>
          <cell r="N2703"/>
        </row>
        <row r="2704">
          <cell r="L2704">
            <v>100</v>
          </cell>
          <cell r="N2704">
            <v>44953</v>
          </cell>
        </row>
        <row r="2705">
          <cell r="L2705">
            <v>100</v>
          </cell>
          <cell r="N2705">
            <v>44953</v>
          </cell>
        </row>
        <row r="2706">
          <cell r="L2706">
            <v>100</v>
          </cell>
          <cell r="N2706">
            <v>44953</v>
          </cell>
        </row>
        <row r="2707">
          <cell r="L2707">
            <v>100</v>
          </cell>
          <cell r="N2707">
            <v>44953</v>
          </cell>
        </row>
        <row r="2708">
          <cell r="L2708">
            <v>100</v>
          </cell>
          <cell r="N2708"/>
        </row>
        <row r="2709">
          <cell r="L2709">
            <v>100</v>
          </cell>
          <cell r="N2709"/>
        </row>
        <row r="2710">
          <cell r="L2710">
            <v>100</v>
          </cell>
          <cell r="N2710"/>
        </row>
        <row r="2711">
          <cell r="L2711">
            <v>100</v>
          </cell>
          <cell r="N2711"/>
        </row>
        <row r="2712">
          <cell r="L2712">
            <v>100</v>
          </cell>
          <cell r="N2712">
            <v>44953</v>
          </cell>
        </row>
        <row r="2713">
          <cell r="L2713">
            <v>100</v>
          </cell>
          <cell r="N2713">
            <v>44953</v>
          </cell>
        </row>
        <row r="2714">
          <cell r="L2714">
            <v>100</v>
          </cell>
          <cell r="N2714">
            <v>44953</v>
          </cell>
        </row>
        <row r="2715">
          <cell r="L2715">
            <v>100</v>
          </cell>
          <cell r="N2715">
            <v>44953</v>
          </cell>
        </row>
        <row r="2716">
          <cell r="L2716">
            <v>100</v>
          </cell>
          <cell r="N2716"/>
        </row>
        <row r="2717">
          <cell r="L2717">
            <v>100</v>
          </cell>
          <cell r="N2717"/>
        </row>
        <row r="2718">
          <cell r="L2718">
            <v>100</v>
          </cell>
          <cell r="N2718"/>
        </row>
        <row r="2719">
          <cell r="L2719">
            <v>100</v>
          </cell>
          <cell r="N2719"/>
        </row>
        <row r="2720">
          <cell r="L2720">
            <v>100</v>
          </cell>
          <cell r="N2720"/>
        </row>
        <row r="2721">
          <cell r="L2721">
            <v>100</v>
          </cell>
          <cell r="N2721"/>
        </row>
        <row r="2722">
          <cell r="L2722">
            <v>100</v>
          </cell>
          <cell r="N2722"/>
        </row>
        <row r="2723">
          <cell r="L2723">
            <v>100</v>
          </cell>
          <cell r="N2723"/>
        </row>
        <row r="2724">
          <cell r="L2724">
            <v>100</v>
          </cell>
          <cell r="N2724"/>
        </row>
        <row r="2725">
          <cell r="L2725">
            <v>100</v>
          </cell>
          <cell r="N2725"/>
        </row>
        <row r="2726">
          <cell r="L2726">
            <v>100</v>
          </cell>
          <cell r="N2726"/>
        </row>
        <row r="2727">
          <cell r="L2727">
            <v>100</v>
          </cell>
          <cell r="N2727"/>
        </row>
        <row r="2728">
          <cell r="L2728">
            <v>100</v>
          </cell>
          <cell r="N2728"/>
        </row>
        <row r="2729">
          <cell r="L2729">
            <v>100</v>
          </cell>
          <cell r="N2729"/>
        </row>
        <row r="2730">
          <cell r="L2730">
            <v>100</v>
          </cell>
          <cell r="N2730"/>
        </row>
        <row r="2731">
          <cell r="L2731">
            <v>100</v>
          </cell>
          <cell r="N2731"/>
        </row>
        <row r="2732">
          <cell r="L2732">
            <v>100</v>
          </cell>
          <cell r="N2732"/>
        </row>
        <row r="2733">
          <cell r="L2733">
            <v>100</v>
          </cell>
          <cell r="N2733"/>
        </row>
        <row r="2734">
          <cell r="L2734">
            <v>100</v>
          </cell>
          <cell r="N2734"/>
        </row>
        <row r="2735">
          <cell r="L2735">
            <v>100</v>
          </cell>
          <cell r="N2735"/>
        </row>
        <row r="2736">
          <cell r="L2736">
            <v>100</v>
          </cell>
          <cell r="N2736"/>
        </row>
        <row r="2737">
          <cell r="L2737">
            <v>100</v>
          </cell>
          <cell r="N2737"/>
        </row>
        <row r="2738">
          <cell r="L2738">
            <v>100</v>
          </cell>
          <cell r="N2738"/>
        </row>
        <row r="2739">
          <cell r="L2739">
            <v>100</v>
          </cell>
          <cell r="N2739"/>
        </row>
        <row r="2740">
          <cell r="L2740">
            <v>100</v>
          </cell>
          <cell r="N2740"/>
        </row>
        <row r="2741">
          <cell r="L2741">
            <v>100</v>
          </cell>
          <cell r="N2741"/>
        </row>
        <row r="2742">
          <cell r="L2742">
            <v>100</v>
          </cell>
          <cell r="N2742"/>
        </row>
        <row r="2743">
          <cell r="L2743">
            <v>100</v>
          </cell>
          <cell r="N2743"/>
        </row>
        <row r="2744">
          <cell r="L2744">
            <v>100</v>
          </cell>
          <cell r="N2744"/>
        </row>
        <row r="2745">
          <cell r="L2745">
            <v>100</v>
          </cell>
          <cell r="N2745"/>
        </row>
        <row r="2746">
          <cell r="L2746">
            <v>100</v>
          </cell>
          <cell r="N2746"/>
        </row>
        <row r="2747">
          <cell r="L2747">
            <v>100</v>
          </cell>
          <cell r="N2747"/>
        </row>
        <row r="2748">
          <cell r="L2748">
            <v>100</v>
          </cell>
          <cell r="N2748"/>
        </row>
        <row r="2749">
          <cell r="L2749">
            <v>100</v>
          </cell>
          <cell r="N2749"/>
        </row>
        <row r="2750">
          <cell r="L2750">
            <v>100</v>
          </cell>
          <cell r="N2750"/>
        </row>
        <row r="2751">
          <cell r="L2751">
            <v>100</v>
          </cell>
          <cell r="N2751"/>
        </row>
        <row r="2752">
          <cell r="L2752">
            <v>100</v>
          </cell>
          <cell r="N2752"/>
        </row>
        <row r="2753">
          <cell r="L2753">
            <v>100</v>
          </cell>
          <cell r="N2753"/>
        </row>
        <row r="2754">
          <cell r="L2754">
            <v>100</v>
          </cell>
          <cell r="N2754"/>
        </row>
        <row r="2755">
          <cell r="L2755">
            <v>100</v>
          </cell>
          <cell r="N2755"/>
        </row>
        <row r="2756">
          <cell r="L2756">
            <v>100</v>
          </cell>
          <cell r="N2756"/>
        </row>
        <row r="2757">
          <cell r="L2757">
            <v>100</v>
          </cell>
          <cell r="N2757"/>
        </row>
        <row r="2758">
          <cell r="L2758">
            <v>100</v>
          </cell>
          <cell r="N2758">
            <v>44953</v>
          </cell>
        </row>
        <row r="2759">
          <cell r="L2759">
            <v>100</v>
          </cell>
          <cell r="N2759">
            <v>44953</v>
          </cell>
        </row>
        <row r="2760">
          <cell r="L2760">
            <v>100</v>
          </cell>
          <cell r="N2760"/>
        </row>
        <row r="2761">
          <cell r="L2761">
            <v>100</v>
          </cell>
          <cell r="N2761"/>
        </row>
        <row r="2762">
          <cell r="L2762">
            <v>100</v>
          </cell>
          <cell r="N2762"/>
        </row>
        <row r="2763">
          <cell r="L2763">
            <v>100</v>
          </cell>
          <cell r="N2763"/>
        </row>
        <row r="2764">
          <cell r="L2764">
            <v>100</v>
          </cell>
          <cell r="N2764">
            <v>44953</v>
          </cell>
        </row>
        <row r="2765">
          <cell r="L2765">
            <v>100</v>
          </cell>
          <cell r="N2765">
            <v>44953</v>
          </cell>
        </row>
        <row r="2766">
          <cell r="L2766">
            <v>100</v>
          </cell>
          <cell r="N2766"/>
        </row>
        <row r="2767">
          <cell r="L2767">
            <v>100</v>
          </cell>
          <cell r="N2767"/>
        </row>
        <row r="2768">
          <cell r="L2768">
            <v>100</v>
          </cell>
          <cell r="N2768">
            <v>44953</v>
          </cell>
        </row>
        <row r="2769">
          <cell r="L2769">
            <v>100</v>
          </cell>
          <cell r="N2769"/>
        </row>
        <row r="2770">
          <cell r="L2770">
            <v>100</v>
          </cell>
          <cell r="N2770"/>
        </row>
        <row r="2771">
          <cell r="L2771">
            <v>100</v>
          </cell>
          <cell r="N2771"/>
        </row>
        <row r="2772">
          <cell r="L2772">
            <v>100</v>
          </cell>
          <cell r="N2772">
            <v>44953</v>
          </cell>
        </row>
        <row r="2773">
          <cell r="L2773">
            <v>100</v>
          </cell>
          <cell r="N2773">
            <v>44953</v>
          </cell>
        </row>
        <row r="2774">
          <cell r="L2774">
            <v>100</v>
          </cell>
          <cell r="N2774">
            <v>44953</v>
          </cell>
        </row>
        <row r="2775">
          <cell r="L2775">
            <v>100</v>
          </cell>
          <cell r="N2775"/>
        </row>
        <row r="2776">
          <cell r="L2776">
            <v>100</v>
          </cell>
          <cell r="N2776"/>
        </row>
        <row r="2777">
          <cell r="L2777">
            <v>100</v>
          </cell>
          <cell r="N2777"/>
        </row>
        <row r="2778">
          <cell r="L2778">
            <v>100</v>
          </cell>
          <cell r="N2778"/>
        </row>
        <row r="2779">
          <cell r="L2779">
            <v>100</v>
          </cell>
          <cell r="N2779"/>
        </row>
        <row r="2780">
          <cell r="L2780">
            <v>100</v>
          </cell>
          <cell r="N2780"/>
        </row>
        <row r="2781">
          <cell r="L2781">
            <v>100</v>
          </cell>
          <cell r="N2781"/>
        </row>
        <row r="2782">
          <cell r="L2782">
            <v>100</v>
          </cell>
          <cell r="N2782"/>
        </row>
        <row r="2783">
          <cell r="L2783">
            <v>100</v>
          </cell>
          <cell r="N2783">
            <v>44953</v>
          </cell>
        </row>
        <row r="2784">
          <cell r="L2784">
            <v>100</v>
          </cell>
          <cell r="N2784">
            <v>44953</v>
          </cell>
        </row>
        <row r="2785">
          <cell r="L2785">
            <v>100</v>
          </cell>
          <cell r="N2785">
            <v>44953</v>
          </cell>
        </row>
        <row r="2786">
          <cell r="L2786">
            <v>100</v>
          </cell>
          <cell r="N2786">
            <v>44953</v>
          </cell>
        </row>
        <row r="2787">
          <cell r="L2787">
            <v>100</v>
          </cell>
          <cell r="N2787">
            <v>44953</v>
          </cell>
        </row>
        <row r="2788">
          <cell r="L2788">
            <v>100</v>
          </cell>
          <cell r="N2788">
            <v>44953</v>
          </cell>
        </row>
        <row r="2789">
          <cell r="L2789">
            <v>100</v>
          </cell>
          <cell r="N2789">
            <v>44953</v>
          </cell>
        </row>
        <row r="2790">
          <cell r="L2790">
            <v>100</v>
          </cell>
          <cell r="N2790">
            <v>44953</v>
          </cell>
        </row>
        <row r="2791">
          <cell r="L2791">
            <v>100</v>
          </cell>
          <cell r="N2791">
            <v>44953</v>
          </cell>
        </row>
        <row r="2792">
          <cell r="L2792">
            <v>100</v>
          </cell>
          <cell r="N2792"/>
        </row>
        <row r="2793">
          <cell r="L2793">
            <v>100</v>
          </cell>
          <cell r="N2793"/>
        </row>
        <row r="2794">
          <cell r="L2794">
            <v>100</v>
          </cell>
          <cell r="N2794"/>
        </row>
        <row r="2795">
          <cell r="L2795">
            <v>100</v>
          </cell>
          <cell r="N2795"/>
        </row>
        <row r="2796">
          <cell r="L2796">
            <v>100</v>
          </cell>
          <cell r="N2796"/>
        </row>
        <row r="2797">
          <cell r="L2797">
            <v>100</v>
          </cell>
          <cell r="N2797"/>
        </row>
        <row r="2798">
          <cell r="L2798">
            <v>100</v>
          </cell>
          <cell r="N2798">
            <v>44953</v>
          </cell>
        </row>
        <row r="2799">
          <cell r="L2799">
            <v>100</v>
          </cell>
          <cell r="N2799"/>
        </row>
        <row r="2800">
          <cell r="L2800">
            <v>100</v>
          </cell>
          <cell r="N2800">
            <v>44953</v>
          </cell>
        </row>
        <row r="2801">
          <cell r="L2801">
            <v>100</v>
          </cell>
          <cell r="N2801">
            <v>44953</v>
          </cell>
        </row>
        <row r="2802">
          <cell r="L2802">
            <v>100</v>
          </cell>
          <cell r="N2802">
            <v>44953</v>
          </cell>
        </row>
        <row r="2803">
          <cell r="L2803">
            <v>100</v>
          </cell>
          <cell r="N2803"/>
        </row>
        <row r="2804">
          <cell r="L2804">
            <v>100</v>
          </cell>
          <cell r="N2804"/>
        </row>
        <row r="2805">
          <cell r="L2805">
            <v>100</v>
          </cell>
          <cell r="N2805"/>
        </row>
        <row r="2806">
          <cell r="L2806">
            <v>100</v>
          </cell>
          <cell r="N2806">
            <v>44959</v>
          </cell>
        </row>
        <row r="2807">
          <cell r="L2807">
            <v>100</v>
          </cell>
          <cell r="N2807">
            <v>44959</v>
          </cell>
        </row>
        <row r="2808">
          <cell r="L2808">
            <v>100</v>
          </cell>
          <cell r="N2808">
            <v>44959</v>
          </cell>
        </row>
        <row r="2809">
          <cell r="L2809">
            <v>100</v>
          </cell>
          <cell r="N2809">
            <v>44959</v>
          </cell>
        </row>
        <row r="2810">
          <cell r="L2810">
            <v>100</v>
          </cell>
          <cell r="N2810">
            <v>44959</v>
          </cell>
        </row>
        <row r="2811">
          <cell r="L2811">
            <v>100</v>
          </cell>
          <cell r="N2811">
            <v>44959</v>
          </cell>
        </row>
        <row r="2812">
          <cell r="L2812">
            <v>100</v>
          </cell>
          <cell r="N2812">
            <v>44881</v>
          </cell>
        </row>
        <row r="2813">
          <cell r="L2813">
            <v>100</v>
          </cell>
          <cell r="N2813">
            <v>44590</v>
          </cell>
        </row>
        <row r="2814">
          <cell r="L2814">
            <v>100</v>
          </cell>
          <cell r="N2814">
            <v>44590</v>
          </cell>
        </row>
        <row r="2815">
          <cell r="L2815">
            <v>100</v>
          </cell>
          <cell r="N2815">
            <v>44590</v>
          </cell>
        </row>
        <row r="2816">
          <cell r="L2816">
            <v>100</v>
          </cell>
          <cell r="N2816">
            <v>44590</v>
          </cell>
        </row>
        <row r="2817">
          <cell r="L2817">
            <v>100</v>
          </cell>
          <cell r="N2817">
            <v>44590</v>
          </cell>
        </row>
        <row r="2818">
          <cell r="L2818">
            <v>100</v>
          </cell>
          <cell r="N2818">
            <v>44590</v>
          </cell>
        </row>
        <row r="2819">
          <cell r="L2819">
            <v>100</v>
          </cell>
          <cell r="N2819">
            <v>44656</v>
          </cell>
        </row>
        <row r="2820">
          <cell r="L2820">
            <v>100</v>
          </cell>
          <cell r="N2820">
            <v>44914</v>
          </cell>
        </row>
        <row r="2821">
          <cell r="L2821">
            <v>100</v>
          </cell>
          <cell r="N2821">
            <v>44932</v>
          </cell>
        </row>
        <row r="2822">
          <cell r="L2822">
            <v>100</v>
          </cell>
          <cell r="N2822">
            <v>44932</v>
          </cell>
        </row>
        <row r="2823">
          <cell r="L2823">
            <v>100</v>
          </cell>
          <cell r="N2823"/>
        </row>
        <row r="2824">
          <cell r="L2824">
            <v>100</v>
          </cell>
          <cell r="N2824"/>
        </row>
        <row r="2825">
          <cell r="L2825">
            <v>100</v>
          </cell>
          <cell r="N2825">
            <v>44914</v>
          </cell>
        </row>
        <row r="2826">
          <cell r="L2826">
            <v>100</v>
          </cell>
          <cell r="N2826">
            <v>44914</v>
          </cell>
        </row>
        <row r="2827">
          <cell r="L2827">
            <v>100</v>
          </cell>
          <cell r="N2827">
            <v>44914</v>
          </cell>
        </row>
        <row r="2828">
          <cell r="L2828">
            <v>100</v>
          </cell>
          <cell r="N2828">
            <v>44914</v>
          </cell>
        </row>
        <row r="2829">
          <cell r="L2829">
            <v>100</v>
          </cell>
          <cell r="N2829">
            <v>44914</v>
          </cell>
        </row>
        <row r="2830">
          <cell r="L2830">
            <v>100</v>
          </cell>
          <cell r="N2830">
            <v>44888</v>
          </cell>
        </row>
        <row r="2831">
          <cell r="L2831">
            <v>100</v>
          </cell>
          <cell r="N2831">
            <v>44888</v>
          </cell>
        </row>
        <row r="2832">
          <cell r="L2832">
            <v>100</v>
          </cell>
          <cell r="N2832">
            <v>44888</v>
          </cell>
        </row>
        <row r="2833">
          <cell r="L2833">
            <v>100</v>
          </cell>
          <cell r="N2833">
            <v>44888</v>
          </cell>
        </row>
        <row r="2834">
          <cell r="L2834">
            <v>100</v>
          </cell>
          <cell r="N2834"/>
        </row>
        <row r="2835">
          <cell r="L2835">
            <v>100</v>
          </cell>
          <cell r="N2835">
            <v>44888</v>
          </cell>
        </row>
        <row r="2836">
          <cell r="L2836">
            <v>100</v>
          </cell>
          <cell r="N2836">
            <v>44888</v>
          </cell>
        </row>
        <row r="2837">
          <cell r="L2837">
            <v>100</v>
          </cell>
          <cell r="N2837"/>
        </row>
        <row r="2838">
          <cell r="L2838">
            <v>100</v>
          </cell>
          <cell r="N2838">
            <v>44888</v>
          </cell>
        </row>
        <row r="2839">
          <cell r="L2839">
            <v>100</v>
          </cell>
          <cell r="N2839">
            <v>44888</v>
          </cell>
        </row>
        <row r="2840">
          <cell r="L2840">
            <v>100</v>
          </cell>
          <cell r="N2840">
            <v>44888</v>
          </cell>
        </row>
        <row r="2841">
          <cell r="L2841">
            <v>100</v>
          </cell>
          <cell r="N2841">
            <v>44888</v>
          </cell>
        </row>
        <row r="2842">
          <cell r="L2842">
            <v>100</v>
          </cell>
          <cell r="N2842">
            <v>44888</v>
          </cell>
        </row>
        <row r="2843">
          <cell r="L2843">
            <v>100</v>
          </cell>
          <cell r="N2843">
            <v>44888</v>
          </cell>
        </row>
        <row r="2844">
          <cell r="L2844">
            <v>100</v>
          </cell>
          <cell r="N2844">
            <v>44888</v>
          </cell>
        </row>
        <row r="2845">
          <cell r="L2845">
            <v>100</v>
          </cell>
          <cell r="N2845">
            <v>44914</v>
          </cell>
        </row>
        <row r="2846">
          <cell r="L2846">
            <v>100</v>
          </cell>
          <cell r="N2846">
            <v>44914</v>
          </cell>
        </row>
        <row r="2847">
          <cell r="L2847">
            <v>100</v>
          </cell>
          <cell r="N2847"/>
        </row>
        <row r="2848">
          <cell r="L2848">
            <v>100</v>
          </cell>
          <cell r="N2848"/>
        </row>
        <row r="2849">
          <cell r="L2849">
            <v>100</v>
          </cell>
          <cell r="N2849"/>
        </row>
        <row r="2850">
          <cell r="L2850">
            <v>100</v>
          </cell>
          <cell r="N2850"/>
        </row>
        <row r="2851">
          <cell r="L2851">
            <v>100</v>
          </cell>
          <cell r="N2851">
            <v>44914</v>
          </cell>
        </row>
        <row r="2852">
          <cell r="L2852">
            <v>100</v>
          </cell>
          <cell r="N2852">
            <v>44914</v>
          </cell>
        </row>
        <row r="2853">
          <cell r="L2853">
            <v>100</v>
          </cell>
          <cell r="N2853">
            <v>44932</v>
          </cell>
        </row>
        <row r="2854">
          <cell r="L2854">
            <v>100</v>
          </cell>
          <cell r="N2854">
            <v>44932</v>
          </cell>
        </row>
        <row r="2855">
          <cell r="L2855">
            <v>100</v>
          </cell>
          <cell r="N2855">
            <v>44914</v>
          </cell>
        </row>
        <row r="2856">
          <cell r="L2856">
            <v>100</v>
          </cell>
          <cell r="N2856">
            <v>44914</v>
          </cell>
        </row>
        <row r="2857">
          <cell r="L2857">
            <v>100</v>
          </cell>
          <cell r="N2857">
            <v>44914</v>
          </cell>
        </row>
        <row r="2858">
          <cell r="L2858">
            <v>100</v>
          </cell>
          <cell r="N2858">
            <v>44914</v>
          </cell>
        </row>
        <row r="2859">
          <cell r="L2859">
            <v>100</v>
          </cell>
          <cell r="N2859">
            <v>44914</v>
          </cell>
        </row>
        <row r="2860">
          <cell r="L2860">
            <v>100</v>
          </cell>
          <cell r="N2860">
            <v>44930</v>
          </cell>
        </row>
        <row r="2861">
          <cell r="L2861">
            <v>100</v>
          </cell>
          <cell r="N2861">
            <v>44930</v>
          </cell>
        </row>
        <row r="2862">
          <cell r="L2862">
            <v>100</v>
          </cell>
          <cell r="N2862">
            <v>44932</v>
          </cell>
        </row>
        <row r="2863">
          <cell r="L2863">
            <v>100</v>
          </cell>
          <cell r="N2863">
            <v>44932</v>
          </cell>
        </row>
        <row r="2864">
          <cell r="L2864">
            <v>100</v>
          </cell>
          <cell r="N2864">
            <v>44932</v>
          </cell>
        </row>
        <row r="2865">
          <cell r="L2865">
            <v>100</v>
          </cell>
          <cell r="N2865">
            <v>44932</v>
          </cell>
        </row>
        <row r="2866">
          <cell r="L2866">
            <v>100</v>
          </cell>
          <cell r="N2866">
            <v>44932</v>
          </cell>
        </row>
        <row r="2867">
          <cell r="L2867">
            <v>100</v>
          </cell>
          <cell r="N2867">
            <v>44932</v>
          </cell>
        </row>
        <row r="2868">
          <cell r="L2868">
            <v>100</v>
          </cell>
          <cell r="N2868">
            <v>44932</v>
          </cell>
        </row>
        <row r="2869">
          <cell r="L2869">
            <v>100</v>
          </cell>
          <cell r="N2869">
            <v>44932</v>
          </cell>
        </row>
        <row r="2870">
          <cell r="L2870">
            <v>100</v>
          </cell>
          <cell r="N2870">
            <v>44932</v>
          </cell>
        </row>
        <row r="2871">
          <cell r="L2871">
            <v>100</v>
          </cell>
          <cell r="N2871">
            <v>44914</v>
          </cell>
        </row>
        <row r="2872">
          <cell r="L2872">
            <v>100</v>
          </cell>
          <cell r="N2872">
            <v>44914</v>
          </cell>
        </row>
        <row r="2873">
          <cell r="L2873">
            <v>100</v>
          </cell>
          <cell r="N2873">
            <v>44914</v>
          </cell>
        </row>
        <row r="2874">
          <cell r="L2874">
            <v>100</v>
          </cell>
          <cell r="N2874">
            <v>44914</v>
          </cell>
        </row>
        <row r="2875">
          <cell r="L2875">
            <v>100</v>
          </cell>
          <cell r="N2875">
            <v>44914</v>
          </cell>
        </row>
        <row r="2876">
          <cell r="L2876">
            <v>100</v>
          </cell>
          <cell r="N2876">
            <v>44914</v>
          </cell>
        </row>
        <row r="2877">
          <cell r="L2877">
            <v>100</v>
          </cell>
          <cell r="N2877">
            <v>44932</v>
          </cell>
        </row>
        <row r="2878">
          <cell r="L2878">
            <v>100</v>
          </cell>
          <cell r="N2878">
            <v>44914</v>
          </cell>
        </row>
        <row r="2879">
          <cell r="L2879">
            <v>100</v>
          </cell>
          <cell r="N2879">
            <v>44914</v>
          </cell>
        </row>
        <row r="2880">
          <cell r="L2880">
            <v>100</v>
          </cell>
          <cell r="N2880">
            <v>44914</v>
          </cell>
        </row>
        <row r="2881">
          <cell r="L2881">
            <v>100</v>
          </cell>
          <cell r="N2881">
            <v>44914</v>
          </cell>
        </row>
        <row r="2882">
          <cell r="L2882">
            <v>100</v>
          </cell>
          <cell r="N2882">
            <v>44914</v>
          </cell>
        </row>
        <row r="2883">
          <cell r="L2883">
            <v>100</v>
          </cell>
          <cell r="N2883">
            <v>44914</v>
          </cell>
        </row>
        <row r="2884">
          <cell r="L2884">
            <v>100</v>
          </cell>
          <cell r="N2884">
            <v>45015</v>
          </cell>
        </row>
        <row r="2885">
          <cell r="L2885">
            <v>100</v>
          </cell>
          <cell r="N2885"/>
        </row>
        <row r="2886">
          <cell r="L2886">
            <v>100</v>
          </cell>
          <cell r="N2886"/>
        </row>
        <row r="2887">
          <cell r="L2887">
            <v>100</v>
          </cell>
          <cell r="N2887">
            <v>44834</v>
          </cell>
        </row>
        <row r="2888">
          <cell r="L2888">
            <v>100</v>
          </cell>
          <cell r="N2888">
            <v>44669</v>
          </cell>
        </row>
        <row r="2889">
          <cell r="L2889">
            <v>100</v>
          </cell>
          <cell r="N2889">
            <v>44669</v>
          </cell>
        </row>
        <row r="2890">
          <cell r="L2890">
            <v>100</v>
          </cell>
          <cell r="N2890">
            <v>44834</v>
          </cell>
        </row>
        <row r="2891">
          <cell r="L2891">
            <v>100</v>
          </cell>
          <cell r="N2891">
            <v>44834</v>
          </cell>
        </row>
        <row r="2892">
          <cell r="L2892">
            <v>100</v>
          </cell>
          <cell r="N2892">
            <v>44834</v>
          </cell>
        </row>
        <row r="2893">
          <cell r="L2893">
            <v>100</v>
          </cell>
          <cell r="N2893">
            <v>44834</v>
          </cell>
        </row>
        <row r="2894">
          <cell r="L2894">
            <v>100</v>
          </cell>
          <cell r="N2894">
            <v>44834</v>
          </cell>
        </row>
        <row r="2895">
          <cell r="L2895">
            <v>100</v>
          </cell>
          <cell r="N2895">
            <v>44962</v>
          </cell>
        </row>
        <row r="2896">
          <cell r="L2896">
            <v>100</v>
          </cell>
          <cell r="N2896">
            <v>44902</v>
          </cell>
        </row>
        <row r="2897">
          <cell r="L2897">
            <v>100</v>
          </cell>
          <cell r="N2897">
            <v>44903</v>
          </cell>
        </row>
        <row r="2898">
          <cell r="L2898">
            <v>100</v>
          </cell>
          <cell r="N2898"/>
        </row>
        <row r="2899">
          <cell r="L2899">
            <v>100</v>
          </cell>
          <cell r="N2899">
            <v>44925</v>
          </cell>
        </row>
        <row r="2900">
          <cell r="L2900">
            <v>100</v>
          </cell>
          <cell r="N2900">
            <v>44753</v>
          </cell>
        </row>
        <row r="2901">
          <cell r="L2901">
            <v>100</v>
          </cell>
          <cell r="N2901">
            <v>44657</v>
          </cell>
        </row>
        <row r="2902">
          <cell r="L2902">
            <v>100</v>
          </cell>
          <cell r="N2902">
            <v>44960</v>
          </cell>
        </row>
        <row r="2903">
          <cell r="L2903">
            <v>100</v>
          </cell>
          <cell r="N2903">
            <v>44960</v>
          </cell>
        </row>
        <row r="2904">
          <cell r="L2904">
            <v>100</v>
          </cell>
          <cell r="N2904">
            <v>44659</v>
          </cell>
        </row>
        <row r="2905">
          <cell r="L2905">
            <v>100</v>
          </cell>
          <cell r="N2905">
            <v>44659</v>
          </cell>
        </row>
        <row r="2906">
          <cell r="L2906">
            <v>100</v>
          </cell>
          <cell r="N2906">
            <v>44960</v>
          </cell>
        </row>
        <row r="2907">
          <cell r="L2907">
            <v>100</v>
          </cell>
          <cell r="N2907">
            <v>44960</v>
          </cell>
        </row>
        <row r="2908">
          <cell r="L2908">
            <v>100</v>
          </cell>
          <cell r="N2908">
            <v>44960</v>
          </cell>
        </row>
        <row r="2909">
          <cell r="L2909">
            <v>100</v>
          </cell>
          <cell r="N2909">
            <v>44960</v>
          </cell>
        </row>
        <row r="2910">
          <cell r="L2910">
            <v>100</v>
          </cell>
          <cell r="N2910">
            <v>44960</v>
          </cell>
        </row>
        <row r="2911">
          <cell r="L2911">
            <v>100</v>
          </cell>
          <cell r="N2911">
            <v>44659</v>
          </cell>
        </row>
        <row r="2912">
          <cell r="L2912">
            <v>100</v>
          </cell>
          <cell r="N2912">
            <v>44659</v>
          </cell>
        </row>
        <row r="2913">
          <cell r="L2913">
            <v>100</v>
          </cell>
          <cell r="N2913">
            <v>44931</v>
          </cell>
        </row>
        <row r="2914">
          <cell r="L2914">
            <v>100</v>
          </cell>
          <cell r="N2914">
            <v>44931</v>
          </cell>
        </row>
        <row r="2915">
          <cell r="L2915">
            <v>100</v>
          </cell>
          <cell r="N2915">
            <v>44931</v>
          </cell>
        </row>
        <row r="2916">
          <cell r="L2916">
            <v>100</v>
          </cell>
          <cell r="N2916">
            <v>44931</v>
          </cell>
        </row>
        <row r="2917">
          <cell r="L2917">
            <v>100</v>
          </cell>
          <cell r="N2917">
            <v>44931</v>
          </cell>
        </row>
        <row r="2918">
          <cell r="L2918">
            <v>100</v>
          </cell>
          <cell r="N2918">
            <v>44931</v>
          </cell>
        </row>
        <row r="2919">
          <cell r="L2919">
            <v>100</v>
          </cell>
          <cell r="N2919">
            <v>44925</v>
          </cell>
        </row>
        <row r="2920">
          <cell r="L2920">
            <v>100</v>
          </cell>
          <cell r="N2920">
            <v>44925</v>
          </cell>
        </row>
        <row r="2921">
          <cell r="L2921">
            <v>100</v>
          </cell>
          <cell r="N2921">
            <v>44911</v>
          </cell>
        </row>
        <row r="2922">
          <cell r="L2922">
            <v>100</v>
          </cell>
          <cell r="N2922">
            <v>44911</v>
          </cell>
        </row>
        <row r="2923">
          <cell r="L2923">
            <v>100</v>
          </cell>
          <cell r="N2923">
            <v>44911</v>
          </cell>
        </row>
        <row r="2924">
          <cell r="L2924">
            <v>100</v>
          </cell>
          <cell r="N2924">
            <v>44911</v>
          </cell>
        </row>
        <row r="2925">
          <cell r="L2925">
            <v>100</v>
          </cell>
          <cell r="N2925">
            <v>44911</v>
          </cell>
        </row>
        <row r="2926">
          <cell r="L2926">
            <v>100</v>
          </cell>
          <cell r="N2926">
            <v>44693</v>
          </cell>
        </row>
        <row r="2927">
          <cell r="L2927">
            <v>100</v>
          </cell>
          <cell r="N2927">
            <v>44833</v>
          </cell>
        </row>
        <row r="2928">
          <cell r="L2928">
            <v>100</v>
          </cell>
          <cell r="N2928">
            <v>44946</v>
          </cell>
        </row>
        <row r="2929">
          <cell r="L2929">
            <v>100</v>
          </cell>
          <cell r="N2929">
            <v>44946</v>
          </cell>
        </row>
        <row r="2930">
          <cell r="L2930">
            <v>100</v>
          </cell>
          <cell r="N2930">
            <v>44946</v>
          </cell>
        </row>
        <row r="2931">
          <cell r="L2931">
            <v>100</v>
          </cell>
          <cell r="N2931">
            <v>44685</v>
          </cell>
        </row>
        <row r="2932">
          <cell r="L2932">
            <v>100</v>
          </cell>
          <cell r="N2932">
            <v>44685</v>
          </cell>
        </row>
        <row r="2933">
          <cell r="L2933">
            <v>100</v>
          </cell>
          <cell r="N2933">
            <v>44925</v>
          </cell>
        </row>
        <row r="2934">
          <cell r="L2934">
            <v>100</v>
          </cell>
          <cell r="N2934">
            <v>44925</v>
          </cell>
        </row>
        <row r="2935">
          <cell r="L2935">
            <v>100</v>
          </cell>
          <cell r="N2935">
            <v>44916</v>
          </cell>
        </row>
        <row r="2936">
          <cell r="L2936">
            <v>100</v>
          </cell>
          <cell r="N2936">
            <v>44681</v>
          </cell>
        </row>
        <row r="2937">
          <cell r="L2937">
            <v>100</v>
          </cell>
          <cell r="N2937">
            <v>44681</v>
          </cell>
        </row>
        <row r="2938">
          <cell r="L2938">
            <v>100</v>
          </cell>
          <cell r="N2938">
            <v>44801</v>
          </cell>
        </row>
        <row r="2939">
          <cell r="L2939">
            <v>100</v>
          </cell>
          <cell r="N2939">
            <v>44801</v>
          </cell>
        </row>
        <row r="2940">
          <cell r="L2940">
            <v>100</v>
          </cell>
          <cell r="N2940">
            <v>44801</v>
          </cell>
        </row>
        <row r="2941">
          <cell r="L2941">
            <v>100</v>
          </cell>
          <cell r="N2941"/>
        </row>
        <row r="2942">
          <cell r="L2942">
            <v>100</v>
          </cell>
          <cell r="N2942">
            <v>44833</v>
          </cell>
        </row>
        <row r="2943">
          <cell r="L2943">
            <v>100</v>
          </cell>
          <cell r="N2943">
            <v>44916</v>
          </cell>
        </row>
        <row r="2944">
          <cell r="L2944">
            <v>100</v>
          </cell>
          <cell r="N2944">
            <v>44777</v>
          </cell>
        </row>
        <row r="2945">
          <cell r="L2945">
            <v>100</v>
          </cell>
          <cell r="N2945">
            <v>44777</v>
          </cell>
        </row>
        <row r="2946">
          <cell r="L2946">
            <v>100</v>
          </cell>
          <cell r="N2946">
            <v>44925</v>
          </cell>
        </row>
        <row r="2947">
          <cell r="L2947">
            <v>100</v>
          </cell>
          <cell r="N2947">
            <v>44931</v>
          </cell>
        </row>
        <row r="2948">
          <cell r="L2948">
            <v>100</v>
          </cell>
          <cell r="N2948">
            <v>44931</v>
          </cell>
        </row>
        <row r="2949">
          <cell r="L2949">
            <v>100</v>
          </cell>
          <cell r="N2949">
            <v>44936</v>
          </cell>
        </row>
        <row r="2950">
          <cell r="L2950">
            <v>100</v>
          </cell>
          <cell r="N2950">
            <v>44932</v>
          </cell>
        </row>
        <row r="2951">
          <cell r="L2951">
            <v>100</v>
          </cell>
          <cell r="N2951">
            <v>44960</v>
          </cell>
        </row>
        <row r="2952">
          <cell r="L2952">
            <v>100</v>
          </cell>
          <cell r="N2952">
            <v>44960</v>
          </cell>
        </row>
        <row r="2953">
          <cell r="L2953">
            <v>100</v>
          </cell>
          <cell r="N2953">
            <v>44909</v>
          </cell>
        </row>
        <row r="2954">
          <cell r="L2954">
            <v>100</v>
          </cell>
          <cell r="N2954">
            <v>44909</v>
          </cell>
        </row>
        <row r="2955">
          <cell r="L2955">
            <v>100</v>
          </cell>
          <cell r="N2955">
            <v>44911</v>
          </cell>
        </row>
        <row r="2956">
          <cell r="L2956">
            <v>100</v>
          </cell>
          <cell r="N2956">
            <v>44911</v>
          </cell>
        </row>
        <row r="2957">
          <cell r="L2957">
            <v>100</v>
          </cell>
          <cell r="N2957">
            <v>44911</v>
          </cell>
        </row>
        <row r="2958">
          <cell r="L2958">
            <v>100</v>
          </cell>
          <cell r="N2958">
            <v>44663</v>
          </cell>
        </row>
        <row r="2959">
          <cell r="L2959">
            <v>100</v>
          </cell>
          <cell r="N2959">
            <v>44663</v>
          </cell>
        </row>
        <row r="2960">
          <cell r="L2960">
            <v>100</v>
          </cell>
          <cell r="N2960">
            <v>44911</v>
          </cell>
        </row>
        <row r="2961">
          <cell r="L2961">
            <v>100</v>
          </cell>
          <cell r="N2961">
            <v>44697</v>
          </cell>
        </row>
        <row r="2962">
          <cell r="L2962">
            <v>100</v>
          </cell>
          <cell r="N2962">
            <v>44833</v>
          </cell>
        </row>
        <row r="2963">
          <cell r="L2963">
            <v>100</v>
          </cell>
          <cell r="N2963">
            <v>44833</v>
          </cell>
        </row>
        <row r="2964">
          <cell r="L2964">
            <v>100</v>
          </cell>
          <cell r="N2964">
            <v>44833</v>
          </cell>
        </row>
        <row r="2965">
          <cell r="L2965">
            <v>100</v>
          </cell>
          <cell r="N2965">
            <v>44833</v>
          </cell>
        </row>
        <row r="2966">
          <cell r="L2966">
            <v>100</v>
          </cell>
          <cell r="N2966">
            <v>44946</v>
          </cell>
        </row>
        <row r="2967">
          <cell r="L2967">
            <v>100</v>
          </cell>
          <cell r="N2967">
            <v>44946</v>
          </cell>
        </row>
        <row r="2968">
          <cell r="L2968">
            <v>100</v>
          </cell>
          <cell r="N2968">
            <v>44946</v>
          </cell>
        </row>
        <row r="2969">
          <cell r="L2969">
            <v>100</v>
          </cell>
          <cell r="N2969">
            <v>44946</v>
          </cell>
        </row>
        <row r="2970">
          <cell r="L2970">
            <v>100</v>
          </cell>
          <cell r="N2970">
            <v>44894</v>
          </cell>
        </row>
        <row r="2971">
          <cell r="L2971">
            <v>100</v>
          </cell>
          <cell r="N2971">
            <v>44911</v>
          </cell>
        </row>
        <row r="2972">
          <cell r="L2972">
            <v>100</v>
          </cell>
          <cell r="N2972">
            <v>44659</v>
          </cell>
        </row>
        <row r="2973">
          <cell r="L2973">
            <v>100</v>
          </cell>
          <cell r="N2973">
            <v>44659</v>
          </cell>
        </row>
        <row r="2974">
          <cell r="L2974">
            <v>100</v>
          </cell>
          <cell r="N2974">
            <v>44897</v>
          </cell>
        </row>
        <row r="2975">
          <cell r="L2975">
            <v>100</v>
          </cell>
          <cell r="N2975">
            <v>44897</v>
          </cell>
        </row>
        <row r="2976">
          <cell r="L2976">
            <v>100</v>
          </cell>
          <cell r="N2976">
            <v>44897</v>
          </cell>
        </row>
        <row r="2977">
          <cell r="L2977">
            <v>100</v>
          </cell>
          <cell r="N2977">
            <v>44916</v>
          </cell>
        </row>
        <row r="2978">
          <cell r="L2978">
            <v>100</v>
          </cell>
          <cell r="N2978">
            <v>44916</v>
          </cell>
        </row>
        <row r="2979">
          <cell r="L2979">
            <v>100</v>
          </cell>
          <cell r="N2979">
            <v>44916</v>
          </cell>
        </row>
        <row r="2980">
          <cell r="L2980">
            <v>100</v>
          </cell>
          <cell r="N2980">
            <v>44916</v>
          </cell>
        </row>
        <row r="2981">
          <cell r="L2981">
            <v>100</v>
          </cell>
          <cell r="N2981">
            <v>44916</v>
          </cell>
        </row>
        <row r="2982">
          <cell r="L2982">
            <v>100</v>
          </cell>
          <cell r="N2982">
            <v>44916</v>
          </cell>
        </row>
        <row r="2983">
          <cell r="L2983">
            <v>100</v>
          </cell>
          <cell r="N2983">
            <v>44916</v>
          </cell>
        </row>
        <row r="2984">
          <cell r="L2984">
            <v>100</v>
          </cell>
          <cell r="N2984">
            <v>44916</v>
          </cell>
        </row>
        <row r="2985">
          <cell r="L2985">
            <v>100</v>
          </cell>
          <cell r="N2985">
            <v>44962</v>
          </cell>
        </row>
        <row r="2986">
          <cell r="L2986">
            <v>100</v>
          </cell>
          <cell r="N2986">
            <v>44962</v>
          </cell>
        </row>
        <row r="2987">
          <cell r="L2987">
            <v>100</v>
          </cell>
          <cell r="N2987">
            <v>44902</v>
          </cell>
        </row>
        <row r="2988">
          <cell r="L2988">
            <v>100</v>
          </cell>
          <cell r="N2988">
            <v>44903</v>
          </cell>
        </row>
        <row r="2989">
          <cell r="L2989">
            <v>100</v>
          </cell>
          <cell r="N2989">
            <v>44903</v>
          </cell>
        </row>
        <row r="2990">
          <cell r="L2990">
            <v>100</v>
          </cell>
          <cell r="N2990">
            <v>44903</v>
          </cell>
        </row>
        <row r="2991">
          <cell r="L2991">
            <v>100</v>
          </cell>
          <cell r="N2991">
            <v>44657</v>
          </cell>
        </row>
        <row r="2992">
          <cell r="L2992">
            <v>100</v>
          </cell>
          <cell r="N2992">
            <v>44657</v>
          </cell>
        </row>
        <row r="2993">
          <cell r="L2993">
            <v>100</v>
          </cell>
          <cell r="N2993">
            <v>44960</v>
          </cell>
        </row>
        <row r="2994">
          <cell r="L2994">
            <v>100</v>
          </cell>
          <cell r="N2994">
            <v>44960</v>
          </cell>
        </row>
        <row r="2995">
          <cell r="L2995">
            <v>100</v>
          </cell>
          <cell r="N2995">
            <v>44960</v>
          </cell>
        </row>
        <row r="2996">
          <cell r="L2996">
            <v>100</v>
          </cell>
          <cell r="N2996">
            <v>44912</v>
          </cell>
        </row>
        <row r="2997">
          <cell r="L2997">
            <v>100</v>
          </cell>
          <cell r="N2997">
            <v>44912</v>
          </cell>
        </row>
        <row r="2998">
          <cell r="L2998">
            <v>100</v>
          </cell>
          <cell r="N2998">
            <v>44960</v>
          </cell>
        </row>
        <row r="2999">
          <cell r="L2999">
            <v>100</v>
          </cell>
          <cell r="N2999">
            <v>44960</v>
          </cell>
        </row>
        <row r="3000">
          <cell r="L3000">
            <v>100</v>
          </cell>
          <cell r="N3000">
            <v>44960</v>
          </cell>
        </row>
        <row r="3001">
          <cell r="L3001">
            <v>100</v>
          </cell>
          <cell r="N3001">
            <v>44960</v>
          </cell>
        </row>
        <row r="3002">
          <cell r="L3002">
            <v>100</v>
          </cell>
          <cell r="N3002">
            <v>44960</v>
          </cell>
        </row>
        <row r="3003">
          <cell r="L3003">
            <v>100</v>
          </cell>
          <cell r="N3003">
            <v>44960</v>
          </cell>
        </row>
        <row r="3004">
          <cell r="L3004">
            <v>100</v>
          </cell>
          <cell r="N3004">
            <v>44960</v>
          </cell>
        </row>
        <row r="3005">
          <cell r="L3005">
            <v>100</v>
          </cell>
          <cell r="N3005">
            <v>44960</v>
          </cell>
        </row>
        <row r="3006">
          <cell r="L3006">
            <v>100</v>
          </cell>
          <cell r="N3006">
            <v>44960</v>
          </cell>
        </row>
        <row r="3007">
          <cell r="L3007">
            <v>100</v>
          </cell>
          <cell r="N3007">
            <v>44881</v>
          </cell>
        </row>
        <row r="3008">
          <cell r="L3008">
            <v>100</v>
          </cell>
          <cell r="N3008">
            <v>44881</v>
          </cell>
        </row>
        <row r="3009">
          <cell r="L3009">
            <v>100</v>
          </cell>
          <cell r="N3009">
            <v>44931</v>
          </cell>
        </row>
        <row r="3010">
          <cell r="L3010">
            <v>100</v>
          </cell>
          <cell r="N3010">
            <v>44931</v>
          </cell>
        </row>
        <row r="3011">
          <cell r="L3011">
            <v>100</v>
          </cell>
          <cell r="N3011">
            <v>44931</v>
          </cell>
        </row>
        <row r="3012">
          <cell r="L3012">
            <v>100</v>
          </cell>
          <cell r="N3012">
            <v>44931</v>
          </cell>
        </row>
        <row r="3013">
          <cell r="L3013">
            <v>100</v>
          </cell>
          <cell r="N3013">
            <v>44925</v>
          </cell>
        </row>
        <row r="3014">
          <cell r="L3014">
            <v>100</v>
          </cell>
          <cell r="N3014">
            <v>44834</v>
          </cell>
        </row>
        <row r="3015">
          <cell r="L3015">
            <v>100</v>
          </cell>
          <cell r="N3015">
            <v>44669</v>
          </cell>
        </row>
        <row r="3016">
          <cell r="L3016">
            <v>100</v>
          </cell>
          <cell r="N3016"/>
        </row>
        <row r="3017">
          <cell r="L3017">
            <v>100</v>
          </cell>
          <cell r="N3017"/>
        </row>
        <row r="3018">
          <cell r="L3018">
            <v>100</v>
          </cell>
          <cell r="N3018">
            <v>44925</v>
          </cell>
        </row>
        <row r="3019">
          <cell r="L3019">
            <v>100</v>
          </cell>
          <cell r="N3019">
            <v>44925</v>
          </cell>
        </row>
        <row r="3020">
          <cell r="L3020">
            <v>100</v>
          </cell>
          <cell r="N3020">
            <v>44925</v>
          </cell>
        </row>
        <row r="3021">
          <cell r="L3021">
            <v>100</v>
          </cell>
          <cell r="N3021">
            <v>44911</v>
          </cell>
        </row>
        <row r="3022">
          <cell r="L3022">
            <v>100</v>
          </cell>
          <cell r="N3022">
            <v>44761</v>
          </cell>
        </row>
        <row r="3023">
          <cell r="L3023">
            <v>100</v>
          </cell>
          <cell r="N3023">
            <v>44697</v>
          </cell>
        </row>
        <row r="3024">
          <cell r="L3024">
            <v>100</v>
          </cell>
          <cell r="N3024">
            <v>44659</v>
          </cell>
        </row>
        <row r="3025">
          <cell r="L3025">
            <v>100</v>
          </cell>
          <cell r="N3025">
            <v>44826</v>
          </cell>
        </row>
        <row r="3026">
          <cell r="L3026">
            <v>100</v>
          </cell>
          <cell r="N3026">
            <v>44820</v>
          </cell>
        </row>
        <row r="3027">
          <cell r="L3027">
            <v>100</v>
          </cell>
          <cell r="N3027">
            <v>44820</v>
          </cell>
        </row>
        <row r="3028">
          <cell r="L3028">
            <v>100</v>
          </cell>
          <cell r="N3028">
            <v>44827</v>
          </cell>
        </row>
        <row r="3029">
          <cell r="L3029">
            <v>100</v>
          </cell>
          <cell r="N3029">
            <v>44827</v>
          </cell>
        </row>
        <row r="3030">
          <cell r="L3030">
            <v>100</v>
          </cell>
          <cell r="N3030">
            <v>44827</v>
          </cell>
        </row>
        <row r="3031">
          <cell r="L3031">
            <v>100</v>
          </cell>
          <cell r="N3031">
            <v>44827</v>
          </cell>
        </row>
        <row r="3032">
          <cell r="L3032">
            <v>100</v>
          </cell>
          <cell r="N3032">
            <v>44827</v>
          </cell>
        </row>
        <row r="3033">
          <cell r="L3033">
            <v>100</v>
          </cell>
          <cell r="N3033">
            <v>44827</v>
          </cell>
        </row>
        <row r="3034">
          <cell r="L3034">
            <v>100</v>
          </cell>
          <cell r="N3034">
            <v>44827</v>
          </cell>
        </row>
        <row r="3035">
          <cell r="L3035">
            <v>100</v>
          </cell>
          <cell r="N3035">
            <v>44803</v>
          </cell>
        </row>
        <row r="3036">
          <cell r="L3036">
            <v>100</v>
          </cell>
          <cell r="N3036">
            <v>44803</v>
          </cell>
        </row>
        <row r="3037">
          <cell r="L3037">
            <v>100</v>
          </cell>
          <cell r="N3037">
            <v>44800</v>
          </cell>
        </row>
        <row r="3038">
          <cell r="L3038">
            <v>100</v>
          </cell>
          <cell r="N3038"/>
        </row>
        <row r="3039">
          <cell r="L3039">
            <v>100</v>
          </cell>
          <cell r="N3039"/>
        </row>
        <row r="3040">
          <cell r="L3040">
            <v>100</v>
          </cell>
          <cell r="N3040"/>
        </row>
        <row r="3041">
          <cell r="L3041">
            <v>100</v>
          </cell>
          <cell r="N3041"/>
        </row>
        <row r="3042">
          <cell r="L3042">
            <v>100</v>
          </cell>
          <cell r="N3042"/>
        </row>
        <row r="3043">
          <cell r="L3043">
            <v>100</v>
          </cell>
          <cell r="N3043"/>
        </row>
        <row r="3044">
          <cell r="L3044">
            <v>100</v>
          </cell>
          <cell r="N3044"/>
        </row>
        <row r="3045">
          <cell r="L3045">
            <v>100</v>
          </cell>
          <cell r="N3045"/>
        </row>
        <row r="3046">
          <cell r="L3046">
            <v>100</v>
          </cell>
          <cell r="N3046"/>
        </row>
        <row r="3047">
          <cell r="L3047">
            <v>100</v>
          </cell>
          <cell r="N3047"/>
        </row>
        <row r="3048">
          <cell r="L3048">
            <v>100</v>
          </cell>
          <cell r="N3048"/>
        </row>
        <row r="3049">
          <cell r="L3049">
            <v>100</v>
          </cell>
          <cell r="N3049"/>
        </row>
        <row r="3050">
          <cell r="L3050">
            <v>100</v>
          </cell>
          <cell r="N3050"/>
        </row>
        <row r="3051">
          <cell r="L3051">
            <v>100</v>
          </cell>
          <cell r="N3051"/>
        </row>
        <row r="3052">
          <cell r="L3052">
            <v>100</v>
          </cell>
          <cell r="N3052"/>
        </row>
        <row r="3053">
          <cell r="L3053">
            <v>100</v>
          </cell>
          <cell r="N3053"/>
        </row>
        <row r="3054">
          <cell r="L3054">
            <v>100</v>
          </cell>
          <cell r="N3054"/>
        </row>
        <row r="3055">
          <cell r="L3055">
            <v>100</v>
          </cell>
          <cell r="N3055"/>
        </row>
        <row r="3056">
          <cell r="L3056">
            <v>100</v>
          </cell>
          <cell r="N3056"/>
        </row>
        <row r="3057">
          <cell r="L3057">
            <v>100</v>
          </cell>
          <cell r="N3057"/>
        </row>
        <row r="3058">
          <cell r="L3058">
            <v>100</v>
          </cell>
          <cell r="N3058"/>
        </row>
        <row r="3059">
          <cell r="L3059">
            <v>100</v>
          </cell>
          <cell r="N3059">
            <v>44922</v>
          </cell>
        </row>
        <row r="3060">
          <cell r="L3060">
            <v>100</v>
          </cell>
          <cell r="N3060">
            <v>44922</v>
          </cell>
        </row>
        <row r="3061">
          <cell r="L3061">
            <v>100</v>
          </cell>
          <cell r="N3061">
            <v>44922</v>
          </cell>
        </row>
        <row r="3062">
          <cell r="L3062">
            <v>100</v>
          </cell>
          <cell r="N3062">
            <v>44922</v>
          </cell>
        </row>
        <row r="3063">
          <cell r="L3063">
            <v>100</v>
          </cell>
          <cell r="N3063">
            <v>44922</v>
          </cell>
        </row>
        <row r="3064">
          <cell r="L3064">
            <v>100</v>
          </cell>
          <cell r="N3064">
            <v>44922</v>
          </cell>
        </row>
        <row r="3065">
          <cell r="L3065">
            <v>100</v>
          </cell>
          <cell r="N3065">
            <v>44922</v>
          </cell>
        </row>
        <row r="3066">
          <cell r="L3066">
            <v>100</v>
          </cell>
          <cell r="N3066">
            <v>44922</v>
          </cell>
        </row>
        <row r="3067">
          <cell r="L3067">
            <v>100</v>
          </cell>
          <cell r="N3067">
            <v>44922</v>
          </cell>
        </row>
        <row r="3068">
          <cell r="L3068">
            <v>100</v>
          </cell>
          <cell r="N3068">
            <v>44922</v>
          </cell>
        </row>
        <row r="3069">
          <cell r="L3069">
            <v>100</v>
          </cell>
          <cell r="N3069">
            <v>44922</v>
          </cell>
        </row>
        <row r="3070">
          <cell r="L3070">
            <v>100</v>
          </cell>
          <cell r="N3070">
            <v>44922</v>
          </cell>
        </row>
        <row r="3071">
          <cell r="L3071">
            <v>100</v>
          </cell>
          <cell r="N3071">
            <v>44922</v>
          </cell>
        </row>
        <row r="3072">
          <cell r="L3072">
            <v>100</v>
          </cell>
          <cell r="N3072">
            <v>44922</v>
          </cell>
        </row>
        <row r="3073">
          <cell r="L3073">
            <v>100</v>
          </cell>
          <cell r="N3073">
            <v>44922</v>
          </cell>
        </row>
        <row r="3074">
          <cell r="L3074">
            <v>100</v>
          </cell>
          <cell r="N3074">
            <v>44922</v>
          </cell>
        </row>
        <row r="3075">
          <cell r="L3075">
            <v>100</v>
          </cell>
          <cell r="N3075">
            <v>44922</v>
          </cell>
        </row>
        <row r="3076">
          <cell r="L3076">
            <v>100</v>
          </cell>
          <cell r="N3076">
            <v>44922</v>
          </cell>
        </row>
        <row r="3077">
          <cell r="L3077">
            <v>100</v>
          </cell>
          <cell r="N3077">
            <v>44922</v>
          </cell>
        </row>
        <row r="3078">
          <cell r="L3078">
            <v>100</v>
          </cell>
          <cell r="N3078">
            <v>44922</v>
          </cell>
        </row>
        <row r="3079">
          <cell r="L3079">
            <v>100</v>
          </cell>
          <cell r="N3079">
            <v>44922</v>
          </cell>
        </row>
        <row r="3080">
          <cell r="L3080">
            <v>100</v>
          </cell>
          <cell r="N3080">
            <v>44922</v>
          </cell>
        </row>
        <row r="3081">
          <cell r="L3081">
            <v>100</v>
          </cell>
          <cell r="N3081">
            <v>44922</v>
          </cell>
        </row>
        <row r="3082">
          <cell r="L3082">
            <v>100</v>
          </cell>
          <cell r="N3082">
            <v>44922</v>
          </cell>
        </row>
        <row r="3083">
          <cell r="L3083">
            <v>100</v>
          </cell>
          <cell r="N3083">
            <v>44922</v>
          </cell>
        </row>
        <row r="3084">
          <cell r="L3084">
            <v>100</v>
          </cell>
          <cell r="N3084">
            <v>44922</v>
          </cell>
        </row>
        <row r="3085">
          <cell r="L3085">
            <v>100</v>
          </cell>
          <cell r="N3085">
            <v>44922</v>
          </cell>
        </row>
        <row r="3086">
          <cell r="L3086">
            <v>100</v>
          </cell>
          <cell r="N3086">
            <v>44737</v>
          </cell>
        </row>
        <row r="3087">
          <cell r="L3087">
            <v>100</v>
          </cell>
          <cell r="N3087">
            <v>44737</v>
          </cell>
        </row>
        <row r="3088">
          <cell r="L3088">
            <v>100</v>
          </cell>
          <cell r="N3088">
            <v>44737</v>
          </cell>
        </row>
        <row r="3089">
          <cell r="L3089">
            <v>100</v>
          </cell>
          <cell r="N3089">
            <v>44737</v>
          </cell>
        </row>
        <row r="3090">
          <cell r="L3090">
            <v>100</v>
          </cell>
          <cell r="N3090">
            <v>44737</v>
          </cell>
        </row>
        <row r="3091">
          <cell r="L3091">
            <v>100</v>
          </cell>
          <cell r="N3091">
            <v>44737</v>
          </cell>
        </row>
        <row r="3092">
          <cell r="L3092">
            <v>100</v>
          </cell>
          <cell r="N3092">
            <v>44737</v>
          </cell>
        </row>
        <row r="3093">
          <cell r="L3093">
            <v>100</v>
          </cell>
          <cell r="N3093">
            <v>44737</v>
          </cell>
        </row>
        <row r="3094">
          <cell r="L3094">
            <v>100</v>
          </cell>
          <cell r="N3094">
            <v>44737</v>
          </cell>
        </row>
        <row r="3095">
          <cell r="L3095">
            <v>100</v>
          </cell>
          <cell r="N3095">
            <v>44737</v>
          </cell>
        </row>
        <row r="3096">
          <cell r="L3096">
            <v>100</v>
          </cell>
          <cell r="N3096">
            <v>44737</v>
          </cell>
        </row>
        <row r="3097">
          <cell r="L3097">
            <v>100</v>
          </cell>
          <cell r="N3097">
            <v>44737</v>
          </cell>
        </row>
        <row r="3098">
          <cell r="L3098">
            <v>100</v>
          </cell>
          <cell r="N3098">
            <v>44737</v>
          </cell>
        </row>
        <row r="3099">
          <cell r="L3099">
            <v>100</v>
          </cell>
          <cell r="N3099">
            <v>44737</v>
          </cell>
        </row>
        <row r="3100">
          <cell r="L3100">
            <v>100</v>
          </cell>
          <cell r="N3100">
            <v>44737</v>
          </cell>
        </row>
        <row r="3101">
          <cell r="L3101">
            <v>100</v>
          </cell>
          <cell r="N3101">
            <v>44737</v>
          </cell>
        </row>
        <row r="3102">
          <cell r="L3102">
            <v>100</v>
          </cell>
          <cell r="N3102">
            <v>44737</v>
          </cell>
        </row>
        <row r="3103">
          <cell r="L3103">
            <v>100</v>
          </cell>
          <cell r="N3103">
            <v>44737</v>
          </cell>
        </row>
        <row r="3104">
          <cell r="L3104">
            <v>100</v>
          </cell>
          <cell r="N3104">
            <v>44737</v>
          </cell>
        </row>
        <row r="3105">
          <cell r="L3105">
            <v>100</v>
          </cell>
          <cell r="N3105">
            <v>44737</v>
          </cell>
        </row>
        <row r="3106">
          <cell r="L3106">
            <v>100</v>
          </cell>
          <cell r="N3106">
            <v>44737</v>
          </cell>
        </row>
        <row r="3107">
          <cell r="L3107">
            <v>100</v>
          </cell>
          <cell r="N3107">
            <v>44737</v>
          </cell>
        </row>
        <row r="3108">
          <cell r="L3108">
            <v>100</v>
          </cell>
          <cell r="N3108">
            <v>44737</v>
          </cell>
        </row>
        <row r="3109">
          <cell r="L3109">
            <v>100</v>
          </cell>
          <cell r="N3109">
            <v>44737</v>
          </cell>
        </row>
        <row r="3110">
          <cell r="L3110">
            <v>100</v>
          </cell>
          <cell r="N3110">
            <v>44737</v>
          </cell>
        </row>
        <row r="3111">
          <cell r="L3111">
            <v>100</v>
          </cell>
          <cell r="N3111">
            <v>44737</v>
          </cell>
        </row>
        <row r="3112">
          <cell r="L3112">
            <v>100</v>
          </cell>
          <cell r="N3112">
            <v>44737</v>
          </cell>
        </row>
        <row r="3113">
          <cell r="L3113">
            <v>100</v>
          </cell>
          <cell r="N3113">
            <v>44737</v>
          </cell>
        </row>
        <row r="3114">
          <cell r="L3114">
            <v>100</v>
          </cell>
          <cell r="N3114">
            <v>44737</v>
          </cell>
        </row>
        <row r="3115">
          <cell r="L3115">
            <v>100</v>
          </cell>
          <cell r="N3115">
            <v>44737</v>
          </cell>
        </row>
        <row r="3116">
          <cell r="L3116">
            <v>100</v>
          </cell>
          <cell r="N3116">
            <v>44737</v>
          </cell>
        </row>
        <row r="3117">
          <cell r="L3117">
            <v>100</v>
          </cell>
          <cell r="N3117">
            <v>44737</v>
          </cell>
        </row>
        <row r="3118">
          <cell r="L3118">
            <v>100</v>
          </cell>
          <cell r="N3118">
            <v>44737</v>
          </cell>
        </row>
        <row r="3119">
          <cell r="L3119">
            <v>100</v>
          </cell>
          <cell r="N3119">
            <v>44737</v>
          </cell>
        </row>
        <row r="3120">
          <cell r="L3120">
            <v>100</v>
          </cell>
          <cell r="N3120">
            <v>44737</v>
          </cell>
        </row>
        <row r="3121">
          <cell r="L3121">
            <v>100</v>
          </cell>
          <cell r="N3121">
            <v>44737</v>
          </cell>
        </row>
        <row r="3122">
          <cell r="L3122">
            <v>100</v>
          </cell>
          <cell r="N3122">
            <v>44737</v>
          </cell>
        </row>
        <row r="3123">
          <cell r="L3123">
            <v>100</v>
          </cell>
          <cell r="N3123">
            <v>44737</v>
          </cell>
        </row>
        <row r="3124">
          <cell r="L3124">
            <v>100</v>
          </cell>
          <cell r="N3124">
            <v>44737</v>
          </cell>
        </row>
        <row r="3125">
          <cell r="L3125">
            <v>100</v>
          </cell>
          <cell r="N3125">
            <v>44737</v>
          </cell>
        </row>
        <row r="3126">
          <cell r="L3126">
            <v>100</v>
          </cell>
          <cell r="N3126">
            <v>44737</v>
          </cell>
        </row>
        <row r="3127">
          <cell r="L3127">
            <v>100</v>
          </cell>
          <cell r="N3127">
            <v>44737</v>
          </cell>
        </row>
        <row r="3128">
          <cell r="L3128">
            <v>100</v>
          </cell>
          <cell r="N3128">
            <v>44737</v>
          </cell>
        </row>
        <row r="3129">
          <cell r="L3129">
            <v>100</v>
          </cell>
          <cell r="N3129">
            <v>44737</v>
          </cell>
        </row>
        <row r="3130">
          <cell r="L3130">
            <v>100</v>
          </cell>
          <cell r="N3130">
            <v>44737</v>
          </cell>
        </row>
        <row r="3131">
          <cell r="L3131">
            <v>100</v>
          </cell>
          <cell r="N3131">
            <v>44737</v>
          </cell>
        </row>
        <row r="3132">
          <cell r="L3132">
            <v>100</v>
          </cell>
          <cell r="N3132">
            <v>44737</v>
          </cell>
        </row>
        <row r="3133">
          <cell r="L3133">
            <v>100</v>
          </cell>
          <cell r="N3133">
            <v>44737</v>
          </cell>
        </row>
        <row r="3134">
          <cell r="L3134">
            <v>100</v>
          </cell>
          <cell r="N3134">
            <v>44737</v>
          </cell>
        </row>
        <row r="3135">
          <cell r="L3135">
            <v>100</v>
          </cell>
          <cell r="N3135">
            <v>44737</v>
          </cell>
        </row>
        <row r="3136">
          <cell r="L3136">
            <v>100</v>
          </cell>
          <cell r="N3136">
            <v>44737</v>
          </cell>
        </row>
        <row r="3137">
          <cell r="L3137">
            <v>100</v>
          </cell>
          <cell r="N3137">
            <v>44737</v>
          </cell>
        </row>
        <row r="3138">
          <cell r="L3138">
            <v>100</v>
          </cell>
          <cell r="N3138">
            <v>44737</v>
          </cell>
        </row>
        <row r="3139">
          <cell r="L3139">
            <v>100</v>
          </cell>
          <cell r="N3139">
            <v>44737</v>
          </cell>
        </row>
        <row r="3140">
          <cell r="L3140">
            <v>100</v>
          </cell>
          <cell r="N3140">
            <v>44737</v>
          </cell>
        </row>
        <row r="3141">
          <cell r="L3141">
            <v>100</v>
          </cell>
          <cell r="N3141">
            <v>44737</v>
          </cell>
        </row>
        <row r="3142">
          <cell r="L3142">
            <v>100</v>
          </cell>
          <cell r="N3142">
            <v>44737</v>
          </cell>
        </row>
        <row r="3143">
          <cell r="L3143">
            <v>100</v>
          </cell>
          <cell r="N3143">
            <v>44737</v>
          </cell>
        </row>
        <row r="3144">
          <cell r="L3144">
            <v>100</v>
          </cell>
          <cell r="N3144">
            <v>44737</v>
          </cell>
        </row>
        <row r="3145">
          <cell r="L3145">
            <v>100</v>
          </cell>
          <cell r="N3145">
            <v>44737</v>
          </cell>
        </row>
        <row r="3146">
          <cell r="L3146">
            <v>100</v>
          </cell>
          <cell r="N3146">
            <v>44737</v>
          </cell>
        </row>
        <row r="3147">
          <cell r="L3147">
            <v>100</v>
          </cell>
          <cell r="N3147">
            <v>44737</v>
          </cell>
        </row>
        <row r="3148">
          <cell r="L3148">
            <v>100</v>
          </cell>
          <cell r="N3148">
            <v>44737</v>
          </cell>
        </row>
        <row r="3149">
          <cell r="L3149">
            <v>100</v>
          </cell>
          <cell r="N3149">
            <v>44737</v>
          </cell>
        </row>
        <row r="3150">
          <cell r="L3150">
            <v>100</v>
          </cell>
          <cell r="N3150">
            <v>44737</v>
          </cell>
        </row>
        <row r="3151">
          <cell r="L3151">
            <v>100</v>
          </cell>
          <cell r="N3151">
            <v>44737</v>
          </cell>
        </row>
        <row r="3152">
          <cell r="L3152">
            <v>100</v>
          </cell>
          <cell r="N3152">
            <v>44737</v>
          </cell>
        </row>
        <row r="3153">
          <cell r="L3153">
            <v>100</v>
          </cell>
          <cell r="N3153">
            <v>44737</v>
          </cell>
        </row>
        <row r="3154">
          <cell r="L3154">
            <v>100</v>
          </cell>
          <cell r="N3154">
            <v>44737</v>
          </cell>
        </row>
        <row r="3155">
          <cell r="L3155">
            <v>100</v>
          </cell>
          <cell r="N3155">
            <v>44737</v>
          </cell>
        </row>
        <row r="3156">
          <cell r="L3156">
            <v>100</v>
          </cell>
          <cell r="N3156">
            <v>44737</v>
          </cell>
        </row>
        <row r="3157">
          <cell r="L3157">
            <v>100</v>
          </cell>
          <cell r="N3157">
            <v>44737</v>
          </cell>
        </row>
        <row r="3158">
          <cell r="L3158">
            <v>100</v>
          </cell>
          <cell r="N3158">
            <v>44737</v>
          </cell>
        </row>
        <row r="3159">
          <cell r="L3159">
            <v>100</v>
          </cell>
          <cell r="N3159">
            <v>44737</v>
          </cell>
        </row>
        <row r="3160">
          <cell r="L3160">
            <v>100</v>
          </cell>
          <cell r="N3160">
            <v>44737</v>
          </cell>
        </row>
        <row r="3161">
          <cell r="L3161">
            <v>100</v>
          </cell>
          <cell r="N3161">
            <v>44737</v>
          </cell>
        </row>
        <row r="3162">
          <cell r="L3162">
            <v>100</v>
          </cell>
          <cell r="N3162">
            <v>44737</v>
          </cell>
        </row>
        <row r="3163">
          <cell r="L3163">
            <v>100</v>
          </cell>
          <cell r="N3163">
            <v>44737</v>
          </cell>
        </row>
        <row r="3164">
          <cell r="L3164">
            <v>100</v>
          </cell>
          <cell r="N3164">
            <v>44737</v>
          </cell>
        </row>
        <row r="3165">
          <cell r="L3165">
            <v>100</v>
          </cell>
          <cell r="N3165">
            <v>44737</v>
          </cell>
        </row>
        <row r="3166">
          <cell r="L3166">
            <v>100</v>
          </cell>
          <cell r="N3166">
            <v>44737</v>
          </cell>
        </row>
        <row r="3167">
          <cell r="L3167">
            <v>100</v>
          </cell>
          <cell r="N3167">
            <v>44737</v>
          </cell>
        </row>
        <row r="3168">
          <cell r="L3168">
            <v>100</v>
          </cell>
          <cell r="N3168">
            <v>44737</v>
          </cell>
        </row>
        <row r="3169">
          <cell r="L3169">
            <v>100</v>
          </cell>
          <cell r="N3169">
            <v>44737</v>
          </cell>
        </row>
        <row r="3170">
          <cell r="L3170">
            <v>100</v>
          </cell>
          <cell r="N3170">
            <v>44737</v>
          </cell>
        </row>
        <row r="3171">
          <cell r="L3171">
            <v>100</v>
          </cell>
          <cell r="N3171">
            <v>44737</v>
          </cell>
        </row>
        <row r="3172">
          <cell r="L3172">
            <v>100</v>
          </cell>
          <cell r="N3172">
            <v>44737</v>
          </cell>
        </row>
        <row r="3173">
          <cell r="L3173">
            <v>100</v>
          </cell>
          <cell r="N3173">
            <v>44737</v>
          </cell>
        </row>
        <row r="3174">
          <cell r="L3174">
            <v>100</v>
          </cell>
          <cell r="N3174">
            <v>44737</v>
          </cell>
        </row>
        <row r="3175">
          <cell r="L3175">
            <v>100</v>
          </cell>
          <cell r="N3175">
            <v>44737</v>
          </cell>
        </row>
        <row r="3176">
          <cell r="L3176">
            <v>100</v>
          </cell>
          <cell r="N3176">
            <v>44737</v>
          </cell>
        </row>
        <row r="3177">
          <cell r="L3177">
            <v>100</v>
          </cell>
          <cell r="N3177">
            <v>44737</v>
          </cell>
        </row>
        <row r="3178">
          <cell r="L3178">
            <v>100</v>
          </cell>
          <cell r="N3178">
            <v>44737</v>
          </cell>
        </row>
        <row r="3179">
          <cell r="L3179">
            <v>100</v>
          </cell>
          <cell r="N3179">
            <v>44737</v>
          </cell>
        </row>
        <row r="3180">
          <cell r="L3180">
            <v>100</v>
          </cell>
          <cell r="N3180">
            <v>44737</v>
          </cell>
        </row>
        <row r="3181">
          <cell r="L3181">
            <v>100</v>
          </cell>
          <cell r="N3181">
            <v>44737</v>
          </cell>
        </row>
        <row r="3182">
          <cell r="L3182">
            <v>100</v>
          </cell>
          <cell r="N3182">
            <v>44827</v>
          </cell>
        </row>
        <row r="3183">
          <cell r="L3183">
            <v>100</v>
          </cell>
          <cell r="N3183">
            <v>44827</v>
          </cell>
        </row>
        <row r="3184">
          <cell r="L3184">
            <v>100</v>
          </cell>
          <cell r="N3184">
            <v>44930</v>
          </cell>
        </row>
        <row r="3185">
          <cell r="L3185">
            <v>100</v>
          </cell>
          <cell r="N3185">
            <v>44900</v>
          </cell>
        </row>
        <row r="3186">
          <cell r="L3186">
            <v>100</v>
          </cell>
          <cell r="N3186">
            <v>44900</v>
          </cell>
        </row>
        <row r="3187">
          <cell r="L3187">
            <v>100</v>
          </cell>
          <cell r="N3187">
            <v>44900</v>
          </cell>
        </row>
        <row r="3188">
          <cell r="L3188">
            <v>100</v>
          </cell>
          <cell r="N3188">
            <v>44930</v>
          </cell>
        </row>
        <row r="3189">
          <cell r="L3189">
            <v>100</v>
          </cell>
          <cell r="N3189">
            <v>44930</v>
          </cell>
        </row>
        <row r="3190">
          <cell r="L3190">
            <v>100</v>
          </cell>
          <cell r="N3190">
            <v>44917</v>
          </cell>
        </row>
        <row r="3191">
          <cell r="L3191">
            <v>100</v>
          </cell>
          <cell r="N3191">
            <v>44930</v>
          </cell>
        </row>
        <row r="3192">
          <cell r="L3192">
            <v>100</v>
          </cell>
          <cell r="N3192">
            <v>44909</v>
          </cell>
        </row>
        <row r="3193">
          <cell r="L3193">
            <v>100</v>
          </cell>
          <cell r="N3193">
            <v>44909</v>
          </cell>
        </row>
        <row r="3194">
          <cell r="L3194">
            <v>100</v>
          </cell>
          <cell r="N3194">
            <v>44909</v>
          </cell>
        </row>
        <row r="3195">
          <cell r="L3195">
            <v>100</v>
          </cell>
          <cell r="N3195">
            <v>44909</v>
          </cell>
        </row>
        <row r="3196">
          <cell r="L3196">
            <v>100</v>
          </cell>
          <cell r="N3196">
            <v>44930</v>
          </cell>
        </row>
        <row r="3197">
          <cell r="L3197">
            <v>100</v>
          </cell>
          <cell r="N3197">
            <v>44930</v>
          </cell>
        </row>
        <row r="3198">
          <cell r="L3198">
            <v>100</v>
          </cell>
          <cell r="N3198">
            <v>44930</v>
          </cell>
        </row>
        <row r="3199">
          <cell r="L3199">
            <v>100</v>
          </cell>
          <cell r="N3199">
            <v>44930</v>
          </cell>
        </row>
        <row r="3200">
          <cell r="L3200">
            <v>100</v>
          </cell>
          <cell r="N3200">
            <v>44930</v>
          </cell>
        </row>
        <row r="3201">
          <cell r="L3201">
            <v>100</v>
          </cell>
          <cell r="N3201">
            <v>44930</v>
          </cell>
        </row>
        <row r="3202">
          <cell r="L3202">
            <v>100</v>
          </cell>
          <cell r="N3202">
            <v>44930</v>
          </cell>
        </row>
        <row r="3203">
          <cell r="L3203">
            <v>100</v>
          </cell>
          <cell r="N3203">
            <v>44909</v>
          </cell>
        </row>
        <row r="3204">
          <cell r="L3204">
            <v>100</v>
          </cell>
          <cell r="N3204">
            <v>44930</v>
          </cell>
        </row>
        <row r="3205">
          <cell r="L3205">
            <v>100</v>
          </cell>
          <cell r="N3205">
            <v>44930</v>
          </cell>
        </row>
        <row r="3206">
          <cell r="L3206">
            <v>100</v>
          </cell>
          <cell r="N3206">
            <v>44930</v>
          </cell>
        </row>
        <row r="3207">
          <cell r="L3207">
            <v>100</v>
          </cell>
          <cell r="N3207"/>
        </row>
        <row r="3208">
          <cell r="L3208">
            <v>100</v>
          </cell>
          <cell r="N3208"/>
        </row>
        <row r="3209">
          <cell r="L3209">
            <v>100</v>
          </cell>
          <cell r="N3209">
            <v>44923</v>
          </cell>
        </row>
        <row r="3210">
          <cell r="L3210">
            <v>100</v>
          </cell>
          <cell r="N3210">
            <v>44905</v>
          </cell>
        </row>
        <row r="3211">
          <cell r="L3211">
            <v>100</v>
          </cell>
          <cell r="N3211">
            <v>44917</v>
          </cell>
        </row>
        <row r="3212">
          <cell r="L3212">
            <v>100</v>
          </cell>
          <cell r="N3212">
            <v>44917</v>
          </cell>
        </row>
        <row r="3213">
          <cell r="L3213">
            <v>100</v>
          </cell>
          <cell r="N3213">
            <v>44917</v>
          </cell>
        </row>
        <row r="3214">
          <cell r="L3214">
            <v>100</v>
          </cell>
          <cell r="N3214">
            <v>44930</v>
          </cell>
        </row>
        <row r="3215">
          <cell r="L3215">
            <v>100</v>
          </cell>
          <cell r="N3215">
            <v>44896</v>
          </cell>
        </row>
        <row r="3216">
          <cell r="L3216">
            <v>100</v>
          </cell>
          <cell r="N3216">
            <v>44896</v>
          </cell>
        </row>
        <row r="3217">
          <cell r="L3217">
            <v>100</v>
          </cell>
          <cell r="N3217">
            <v>44896</v>
          </cell>
        </row>
        <row r="3218">
          <cell r="L3218">
            <v>100</v>
          </cell>
          <cell r="N3218">
            <v>44901</v>
          </cell>
        </row>
        <row r="3219">
          <cell r="L3219">
            <v>100</v>
          </cell>
          <cell r="N3219">
            <v>44901</v>
          </cell>
        </row>
        <row r="3220">
          <cell r="L3220">
            <v>100</v>
          </cell>
          <cell r="N3220">
            <v>44901</v>
          </cell>
        </row>
        <row r="3221">
          <cell r="L3221">
            <v>100</v>
          </cell>
          <cell r="N3221">
            <v>44901</v>
          </cell>
        </row>
        <row r="3222">
          <cell r="L3222">
            <v>100</v>
          </cell>
          <cell r="N3222">
            <v>44901</v>
          </cell>
        </row>
        <row r="3223">
          <cell r="L3223">
            <v>100</v>
          </cell>
          <cell r="N3223">
            <v>44881</v>
          </cell>
        </row>
        <row r="3224">
          <cell r="L3224">
            <v>100</v>
          </cell>
          <cell r="N3224">
            <v>44881</v>
          </cell>
        </row>
        <row r="3225">
          <cell r="L3225">
            <v>100</v>
          </cell>
          <cell r="N3225">
            <v>44881</v>
          </cell>
        </row>
        <row r="3226">
          <cell r="L3226">
            <v>100</v>
          </cell>
          <cell r="N3226">
            <v>44881</v>
          </cell>
        </row>
        <row r="3227">
          <cell r="L3227">
            <v>100</v>
          </cell>
          <cell r="N3227">
            <v>44881</v>
          </cell>
        </row>
        <row r="3228">
          <cell r="L3228">
            <v>100</v>
          </cell>
          <cell r="N3228">
            <v>44881</v>
          </cell>
        </row>
        <row r="3229">
          <cell r="L3229">
            <v>100</v>
          </cell>
          <cell r="N3229">
            <v>44881</v>
          </cell>
        </row>
        <row r="3230">
          <cell r="L3230">
            <v>100</v>
          </cell>
          <cell r="N3230">
            <v>44881</v>
          </cell>
        </row>
        <row r="3231">
          <cell r="L3231">
            <v>100</v>
          </cell>
          <cell r="N3231">
            <v>44917</v>
          </cell>
        </row>
        <row r="3232">
          <cell r="L3232">
            <v>100</v>
          </cell>
          <cell r="N3232">
            <v>44937</v>
          </cell>
        </row>
        <row r="3233">
          <cell r="L3233">
            <v>100</v>
          </cell>
          <cell r="N3233">
            <v>44937</v>
          </cell>
        </row>
        <row r="3234">
          <cell r="L3234">
            <v>100</v>
          </cell>
          <cell r="N3234">
            <v>44937</v>
          </cell>
        </row>
        <row r="3235">
          <cell r="L3235">
            <v>100</v>
          </cell>
          <cell r="N3235">
            <v>44937</v>
          </cell>
        </row>
        <row r="3236">
          <cell r="L3236">
            <v>100</v>
          </cell>
          <cell r="N3236">
            <v>44937</v>
          </cell>
        </row>
        <row r="3237">
          <cell r="L3237">
            <v>100</v>
          </cell>
          <cell r="N3237">
            <v>44937</v>
          </cell>
        </row>
        <row r="3238">
          <cell r="L3238">
            <v>100</v>
          </cell>
          <cell r="N3238">
            <v>44937</v>
          </cell>
        </row>
        <row r="3239">
          <cell r="L3239">
            <v>100</v>
          </cell>
          <cell r="N3239">
            <v>44937</v>
          </cell>
        </row>
        <row r="3240">
          <cell r="L3240">
            <v>100</v>
          </cell>
          <cell r="N3240">
            <v>44937</v>
          </cell>
        </row>
        <row r="3241">
          <cell r="L3241">
            <v>100</v>
          </cell>
          <cell r="N3241">
            <v>44937</v>
          </cell>
        </row>
        <row r="3242">
          <cell r="L3242">
            <v>100</v>
          </cell>
          <cell r="N3242">
            <v>44937</v>
          </cell>
        </row>
        <row r="3243">
          <cell r="L3243">
            <v>100</v>
          </cell>
          <cell r="N3243">
            <v>44909</v>
          </cell>
        </row>
        <row r="3244">
          <cell r="L3244">
            <v>100</v>
          </cell>
          <cell r="N3244">
            <v>44849</v>
          </cell>
        </row>
        <row r="3245">
          <cell r="L3245">
            <v>100</v>
          </cell>
          <cell r="N3245">
            <v>44900</v>
          </cell>
        </row>
        <row r="3246">
          <cell r="L3246">
            <v>100</v>
          </cell>
          <cell r="N3246">
            <v>44737</v>
          </cell>
        </row>
        <row r="3247">
          <cell r="L3247">
            <v>100</v>
          </cell>
          <cell r="N3247">
            <v>44737</v>
          </cell>
        </row>
        <row r="3248">
          <cell r="L3248">
            <v>100</v>
          </cell>
          <cell r="N3248">
            <v>44737</v>
          </cell>
        </row>
        <row r="3249">
          <cell r="L3249">
            <v>100</v>
          </cell>
          <cell r="N3249">
            <v>44737</v>
          </cell>
        </row>
        <row r="3250">
          <cell r="L3250">
            <v>100</v>
          </cell>
          <cell r="N3250">
            <v>44930</v>
          </cell>
        </row>
        <row r="3251">
          <cell r="L3251">
            <v>100</v>
          </cell>
          <cell r="N3251">
            <v>44900</v>
          </cell>
        </row>
        <row r="3252">
          <cell r="L3252">
            <v>100</v>
          </cell>
          <cell r="N3252">
            <v>44900</v>
          </cell>
        </row>
        <row r="3253">
          <cell r="L3253">
            <v>100</v>
          </cell>
          <cell r="N3253">
            <v>44900</v>
          </cell>
        </row>
        <row r="3254">
          <cell r="L3254">
            <v>100</v>
          </cell>
          <cell r="N3254">
            <v>44923</v>
          </cell>
        </row>
        <row r="3255">
          <cell r="L3255">
            <v>100</v>
          </cell>
          <cell r="N3255">
            <v>44900</v>
          </cell>
        </row>
        <row r="3256">
          <cell r="L3256">
            <v>100</v>
          </cell>
          <cell r="N3256">
            <v>44873</v>
          </cell>
        </row>
        <row r="3257">
          <cell r="L3257">
            <v>100</v>
          </cell>
          <cell r="N3257">
            <v>44873</v>
          </cell>
        </row>
        <row r="3258">
          <cell r="L3258">
            <v>100</v>
          </cell>
          <cell r="N3258"/>
        </row>
        <row r="3259">
          <cell r="L3259">
            <v>100</v>
          </cell>
          <cell r="N3259"/>
        </row>
        <row r="3260">
          <cell r="L3260">
            <v>100</v>
          </cell>
          <cell r="N3260"/>
        </row>
        <row r="3261">
          <cell r="L3261">
            <v>100</v>
          </cell>
          <cell r="N3261">
            <v>44849</v>
          </cell>
        </row>
        <row r="3262">
          <cell r="L3262">
            <v>100</v>
          </cell>
          <cell r="N3262"/>
        </row>
        <row r="3263">
          <cell r="L3263">
            <v>100</v>
          </cell>
          <cell r="N3263"/>
        </row>
        <row r="3264">
          <cell r="L3264">
            <v>100</v>
          </cell>
          <cell r="N3264"/>
        </row>
        <row r="3265">
          <cell r="L3265">
            <v>100</v>
          </cell>
          <cell r="N3265"/>
        </row>
        <row r="3266">
          <cell r="L3266">
            <v>100</v>
          </cell>
          <cell r="N3266"/>
        </row>
        <row r="3267">
          <cell r="L3267">
            <v>100</v>
          </cell>
          <cell r="N3267"/>
        </row>
        <row r="3268">
          <cell r="L3268">
            <v>100</v>
          </cell>
          <cell r="N3268"/>
        </row>
        <row r="3269">
          <cell r="L3269">
            <v>100</v>
          </cell>
          <cell r="N3269"/>
        </row>
        <row r="3270">
          <cell r="L3270">
            <v>100</v>
          </cell>
          <cell r="N3270"/>
        </row>
        <row r="3271">
          <cell r="L3271">
            <v>100</v>
          </cell>
          <cell r="N3271"/>
        </row>
        <row r="3272">
          <cell r="L3272">
            <v>100</v>
          </cell>
          <cell r="N3272"/>
        </row>
        <row r="3273">
          <cell r="L3273">
            <v>100</v>
          </cell>
          <cell r="N3273"/>
        </row>
        <row r="3274">
          <cell r="L3274">
            <v>100</v>
          </cell>
          <cell r="N3274">
            <v>44971</v>
          </cell>
        </row>
        <row r="3275">
          <cell r="L3275">
            <v>100</v>
          </cell>
          <cell r="N3275">
            <v>44930</v>
          </cell>
        </row>
        <row r="3276">
          <cell r="L3276">
            <v>100</v>
          </cell>
          <cell r="N3276"/>
        </row>
        <row r="3277">
          <cell r="L3277">
            <v>100</v>
          </cell>
          <cell r="N3277">
            <v>44849</v>
          </cell>
        </row>
        <row r="3278">
          <cell r="L3278">
            <v>100</v>
          </cell>
          <cell r="N3278">
            <v>44873</v>
          </cell>
        </row>
        <row r="3279">
          <cell r="L3279">
            <v>100</v>
          </cell>
          <cell r="N3279">
            <v>44930</v>
          </cell>
        </row>
        <row r="3280">
          <cell r="L3280">
            <v>100</v>
          </cell>
          <cell r="N3280">
            <v>44909</v>
          </cell>
        </row>
        <row r="3281">
          <cell r="L3281">
            <v>100</v>
          </cell>
          <cell r="N3281">
            <v>44909</v>
          </cell>
        </row>
        <row r="3282">
          <cell r="L3282">
            <v>100</v>
          </cell>
          <cell r="N3282">
            <v>44930</v>
          </cell>
        </row>
        <row r="3283">
          <cell r="L3283">
            <v>100</v>
          </cell>
          <cell r="N3283">
            <v>44930</v>
          </cell>
        </row>
        <row r="3284">
          <cell r="L3284">
            <v>100</v>
          </cell>
          <cell r="N3284">
            <v>44930</v>
          </cell>
        </row>
        <row r="3285">
          <cell r="L3285">
            <v>100</v>
          </cell>
          <cell r="N3285">
            <v>44930</v>
          </cell>
        </row>
        <row r="3286">
          <cell r="L3286">
            <v>100</v>
          </cell>
          <cell r="N3286">
            <v>44930</v>
          </cell>
        </row>
        <row r="3287">
          <cell r="L3287">
            <v>100</v>
          </cell>
          <cell r="N3287">
            <v>44909</v>
          </cell>
        </row>
        <row r="3288">
          <cell r="L3288">
            <v>100</v>
          </cell>
          <cell r="N3288">
            <v>44930</v>
          </cell>
        </row>
        <row r="3289">
          <cell r="L3289">
            <v>100</v>
          </cell>
          <cell r="N3289">
            <v>44930</v>
          </cell>
        </row>
        <row r="3290">
          <cell r="L3290">
            <v>100</v>
          </cell>
          <cell r="N3290">
            <v>44930</v>
          </cell>
        </row>
        <row r="3291">
          <cell r="L3291">
            <v>100</v>
          </cell>
          <cell r="N3291">
            <v>44930</v>
          </cell>
        </row>
        <row r="3292">
          <cell r="L3292">
            <v>100</v>
          </cell>
          <cell r="N3292">
            <v>44930</v>
          </cell>
        </row>
        <row r="3293">
          <cell r="L3293">
            <v>100</v>
          </cell>
          <cell r="N3293">
            <v>44923</v>
          </cell>
        </row>
        <row r="3294">
          <cell r="L3294">
            <v>100</v>
          </cell>
          <cell r="N3294">
            <v>44905</v>
          </cell>
        </row>
        <row r="3295">
          <cell r="L3295">
            <v>100</v>
          </cell>
          <cell r="N3295">
            <v>44917</v>
          </cell>
        </row>
        <row r="3296">
          <cell r="L3296">
            <v>100</v>
          </cell>
          <cell r="N3296">
            <v>44917</v>
          </cell>
        </row>
        <row r="3297">
          <cell r="L3297">
            <v>100</v>
          </cell>
          <cell r="N3297">
            <v>44913</v>
          </cell>
        </row>
        <row r="3298">
          <cell r="L3298">
            <v>100</v>
          </cell>
          <cell r="N3298">
            <v>44930</v>
          </cell>
        </row>
        <row r="3299">
          <cell r="L3299">
            <v>100</v>
          </cell>
          <cell r="N3299">
            <v>44930</v>
          </cell>
        </row>
        <row r="3300">
          <cell r="L3300">
            <v>100</v>
          </cell>
          <cell r="N3300">
            <v>44917</v>
          </cell>
        </row>
        <row r="3301">
          <cell r="L3301">
            <v>100</v>
          </cell>
          <cell r="N3301">
            <v>44937</v>
          </cell>
        </row>
        <row r="3302">
          <cell r="L3302">
            <v>100</v>
          </cell>
          <cell r="N3302">
            <v>44937</v>
          </cell>
        </row>
        <row r="3303">
          <cell r="L3303">
            <v>100</v>
          </cell>
          <cell r="N3303">
            <v>44937</v>
          </cell>
        </row>
        <row r="3304">
          <cell r="L3304">
            <v>100</v>
          </cell>
          <cell r="N3304">
            <v>44937</v>
          </cell>
        </row>
        <row r="3305">
          <cell r="L3305">
            <v>100</v>
          </cell>
          <cell r="N3305">
            <v>44937</v>
          </cell>
        </row>
        <row r="3306">
          <cell r="L3306">
            <v>100</v>
          </cell>
          <cell r="N3306">
            <v>44937</v>
          </cell>
        </row>
        <row r="3307">
          <cell r="L3307">
            <v>100</v>
          </cell>
          <cell r="N3307">
            <v>44937</v>
          </cell>
        </row>
        <row r="3308">
          <cell r="L3308">
            <v>100</v>
          </cell>
          <cell r="N3308">
            <v>44900</v>
          </cell>
        </row>
        <row r="3309">
          <cell r="L3309">
            <v>100</v>
          </cell>
          <cell r="N3309">
            <v>44923</v>
          </cell>
        </row>
        <row r="3310">
          <cell r="L3310">
            <v>100</v>
          </cell>
          <cell r="N3310">
            <v>44926</v>
          </cell>
        </row>
        <row r="3311">
          <cell r="L3311">
            <v>100</v>
          </cell>
          <cell r="N3311">
            <v>44926</v>
          </cell>
        </row>
        <row r="3312">
          <cell r="L3312">
            <v>100</v>
          </cell>
          <cell r="N3312">
            <v>44967</v>
          </cell>
        </row>
        <row r="3313">
          <cell r="L3313">
            <v>100</v>
          </cell>
          <cell r="N3313">
            <v>44967</v>
          </cell>
        </row>
        <row r="3314">
          <cell r="L3314">
            <v>100</v>
          </cell>
          <cell r="N3314">
            <v>44942</v>
          </cell>
        </row>
        <row r="3315">
          <cell r="L3315">
            <v>100</v>
          </cell>
          <cell r="N3315">
            <v>44942</v>
          </cell>
        </row>
        <row r="3316">
          <cell r="L3316">
            <v>100</v>
          </cell>
          <cell r="N3316">
            <v>44942</v>
          </cell>
        </row>
        <row r="3317">
          <cell r="L3317">
            <v>100</v>
          </cell>
          <cell r="N3317">
            <v>44942</v>
          </cell>
        </row>
        <row r="3318">
          <cell r="L3318">
            <v>100</v>
          </cell>
          <cell r="N3318">
            <v>44926</v>
          </cell>
        </row>
        <row r="3319">
          <cell r="L3319">
            <v>100</v>
          </cell>
          <cell r="N3319">
            <v>44960</v>
          </cell>
        </row>
        <row r="3320">
          <cell r="L3320">
            <v>100</v>
          </cell>
          <cell r="N3320">
            <v>44960</v>
          </cell>
        </row>
        <row r="3321">
          <cell r="L3321">
            <v>100</v>
          </cell>
          <cell r="N3321">
            <v>44926</v>
          </cell>
        </row>
        <row r="3322">
          <cell r="L3322">
            <v>100</v>
          </cell>
          <cell r="N3322">
            <v>44960</v>
          </cell>
        </row>
        <row r="3323">
          <cell r="L3323">
            <v>100</v>
          </cell>
          <cell r="N3323">
            <v>44960</v>
          </cell>
        </row>
        <row r="3324">
          <cell r="L3324">
            <v>100</v>
          </cell>
          <cell r="N3324">
            <v>44942</v>
          </cell>
        </row>
        <row r="3325">
          <cell r="L3325">
            <v>100</v>
          </cell>
          <cell r="N3325">
            <v>44942</v>
          </cell>
        </row>
        <row r="3326">
          <cell r="L3326">
            <v>100</v>
          </cell>
          <cell r="N3326">
            <v>44946</v>
          </cell>
        </row>
        <row r="3327">
          <cell r="L3327">
            <v>100</v>
          </cell>
          <cell r="N3327">
            <v>44967</v>
          </cell>
        </row>
        <row r="3328">
          <cell r="L3328">
            <v>100</v>
          </cell>
          <cell r="N3328">
            <v>44960</v>
          </cell>
        </row>
        <row r="3329">
          <cell r="L3329">
            <v>100</v>
          </cell>
          <cell r="N3329">
            <v>44855</v>
          </cell>
        </row>
        <row r="3330">
          <cell r="L3330">
            <v>100</v>
          </cell>
          <cell r="N3330">
            <v>44882</v>
          </cell>
        </row>
        <row r="3331">
          <cell r="L3331">
            <v>100</v>
          </cell>
          <cell r="N3331"/>
        </row>
        <row r="3332">
          <cell r="L3332">
            <v>100</v>
          </cell>
          <cell r="N3332">
            <v>44926</v>
          </cell>
        </row>
        <row r="3333">
          <cell r="L3333">
            <v>100</v>
          </cell>
          <cell r="N3333">
            <v>44926</v>
          </cell>
        </row>
        <row r="3334">
          <cell r="L3334">
            <v>100</v>
          </cell>
          <cell r="N3334">
            <v>44926</v>
          </cell>
        </row>
        <row r="3335">
          <cell r="L3335">
            <v>100</v>
          </cell>
          <cell r="N3335">
            <v>44967</v>
          </cell>
        </row>
        <row r="3336">
          <cell r="L3336">
            <v>100</v>
          </cell>
          <cell r="N3336">
            <v>44917</v>
          </cell>
        </row>
        <row r="3337">
          <cell r="L3337">
            <v>100</v>
          </cell>
          <cell r="N3337">
            <v>44895</v>
          </cell>
        </row>
        <row r="3338">
          <cell r="L3338">
            <v>100</v>
          </cell>
          <cell r="N3338">
            <v>44895</v>
          </cell>
        </row>
        <row r="3339">
          <cell r="L3339">
            <v>100</v>
          </cell>
          <cell r="N3339">
            <v>44895</v>
          </cell>
        </row>
        <row r="3340">
          <cell r="L3340">
            <v>100</v>
          </cell>
          <cell r="N3340">
            <v>44895</v>
          </cell>
        </row>
        <row r="3341">
          <cell r="L3341">
            <v>100</v>
          </cell>
          <cell r="N3341">
            <v>44895</v>
          </cell>
        </row>
        <row r="3342">
          <cell r="L3342">
            <v>100</v>
          </cell>
          <cell r="N3342">
            <v>44895</v>
          </cell>
        </row>
        <row r="3343">
          <cell r="L3343">
            <v>100</v>
          </cell>
          <cell r="N3343">
            <v>44895</v>
          </cell>
        </row>
        <row r="3344">
          <cell r="L3344">
            <v>100</v>
          </cell>
          <cell r="N3344">
            <v>44895</v>
          </cell>
        </row>
        <row r="3345">
          <cell r="L3345">
            <v>100</v>
          </cell>
          <cell r="N3345">
            <v>44895</v>
          </cell>
        </row>
        <row r="3346">
          <cell r="L3346">
            <v>100</v>
          </cell>
          <cell r="N3346">
            <v>44895</v>
          </cell>
        </row>
        <row r="3347">
          <cell r="L3347">
            <v>100</v>
          </cell>
          <cell r="N3347">
            <v>44895</v>
          </cell>
        </row>
        <row r="3348">
          <cell r="L3348">
            <v>100</v>
          </cell>
          <cell r="N3348">
            <v>44895</v>
          </cell>
        </row>
        <row r="3349">
          <cell r="L3349">
            <v>100</v>
          </cell>
          <cell r="N3349">
            <v>44967</v>
          </cell>
        </row>
        <row r="3350">
          <cell r="L3350">
            <v>100</v>
          </cell>
          <cell r="N3350">
            <v>44967</v>
          </cell>
        </row>
        <row r="3351">
          <cell r="L3351">
            <v>100</v>
          </cell>
          <cell r="N3351">
            <v>44967</v>
          </cell>
        </row>
        <row r="3352">
          <cell r="L3352">
            <v>100</v>
          </cell>
          <cell r="N3352">
            <v>44967</v>
          </cell>
        </row>
        <row r="3353">
          <cell r="L3353">
            <v>100</v>
          </cell>
          <cell r="N3353">
            <v>44967</v>
          </cell>
        </row>
        <row r="3354">
          <cell r="L3354">
            <v>100</v>
          </cell>
          <cell r="N3354">
            <v>44926</v>
          </cell>
        </row>
        <row r="3355">
          <cell r="L3355">
            <v>100</v>
          </cell>
          <cell r="N3355">
            <v>44940</v>
          </cell>
        </row>
        <row r="3356">
          <cell r="L3356">
            <v>100</v>
          </cell>
          <cell r="N3356">
            <v>44940</v>
          </cell>
        </row>
        <row r="3357">
          <cell r="L3357">
            <v>100</v>
          </cell>
          <cell r="N3357">
            <v>44960</v>
          </cell>
        </row>
        <row r="3358">
          <cell r="L3358">
            <v>100</v>
          </cell>
          <cell r="N3358">
            <v>44960</v>
          </cell>
        </row>
        <row r="3359">
          <cell r="L3359">
            <v>100</v>
          </cell>
          <cell r="N3359">
            <v>44942</v>
          </cell>
        </row>
        <row r="3360">
          <cell r="L3360">
            <v>100</v>
          </cell>
          <cell r="N3360">
            <v>44942</v>
          </cell>
        </row>
        <row r="3361">
          <cell r="L3361">
            <v>100</v>
          </cell>
          <cell r="N3361">
            <v>44942</v>
          </cell>
        </row>
        <row r="3362">
          <cell r="L3362">
            <v>100</v>
          </cell>
          <cell r="N3362">
            <v>44942</v>
          </cell>
        </row>
        <row r="3363">
          <cell r="L3363">
            <v>100</v>
          </cell>
          <cell r="N3363">
            <v>44942</v>
          </cell>
        </row>
        <row r="3364">
          <cell r="L3364">
            <v>100</v>
          </cell>
          <cell r="N3364">
            <v>44942</v>
          </cell>
        </row>
        <row r="3365">
          <cell r="L3365">
            <v>100</v>
          </cell>
          <cell r="N3365">
            <v>44951</v>
          </cell>
        </row>
        <row r="3366">
          <cell r="L3366">
            <v>100</v>
          </cell>
          <cell r="N3366">
            <v>44942</v>
          </cell>
        </row>
        <row r="3367">
          <cell r="L3367">
            <v>100</v>
          </cell>
          <cell r="N3367">
            <v>44951</v>
          </cell>
        </row>
        <row r="3368">
          <cell r="L3368">
            <v>100</v>
          </cell>
          <cell r="N3368">
            <v>44926</v>
          </cell>
        </row>
        <row r="3369">
          <cell r="L3369">
            <v>100</v>
          </cell>
          <cell r="N3369">
            <v>44926</v>
          </cell>
        </row>
        <row r="3370">
          <cell r="L3370">
            <v>100</v>
          </cell>
          <cell r="N3370">
            <v>44960</v>
          </cell>
        </row>
        <row r="3371">
          <cell r="L3371">
            <v>100</v>
          </cell>
          <cell r="N3371">
            <v>44960</v>
          </cell>
        </row>
        <row r="3372">
          <cell r="L3372">
            <v>100</v>
          </cell>
          <cell r="N3372">
            <v>44960</v>
          </cell>
        </row>
        <row r="3373">
          <cell r="L3373">
            <v>100</v>
          </cell>
          <cell r="N3373">
            <v>44942</v>
          </cell>
        </row>
        <row r="3374">
          <cell r="L3374">
            <v>100</v>
          </cell>
          <cell r="N3374">
            <v>44951</v>
          </cell>
        </row>
        <row r="3375">
          <cell r="L3375">
            <v>100</v>
          </cell>
          <cell r="N3375">
            <v>44951</v>
          </cell>
        </row>
        <row r="3376">
          <cell r="L3376">
            <v>100</v>
          </cell>
          <cell r="N3376">
            <v>44951</v>
          </cell>
        </row>
        <row r="3377">
          <cell r="L3377">
            <v>100</v>
          </cell>
          <cell r="N3377">
            <v>44951</v>
          </cell>
        </row>
        <row r="3378">
          <cell r="L3378">
            <v>100</v>
          </cell>
          <cell r="N3378">
            <v>44942</v>
          </cell>
        </row>
        <row r="3379">
          <cell r="L3379">
            <v>100</v>
          </cell>
          <cell r="N3379">
            <v>44942</v>
          </cell>
        </row>
        <row r="3380">
          <cell r="L3380">
            <v>100</v>
          </cell>
          <cell r="N3380">
            <v>44960</v>
          </cell>
        </row>
        <row r="3381">
          <cell r="L3381">
            <v>100</v>
          </cell>
          <cell r="N3381">
            <v>44960</v>
          </cell>
        </row>
        <row r="3382">
          <cell r="L3382">
            <v>100</v>
          </cell>
          <cell r="N3382">
            <v>44960</v>
          </cell>
        </row>
        <row r="3383">
          <cell r="L3383">
            <v>100</v>
          </cell>
          <cell r="N3383">
            <v>44960</v>
          </cell>
        </row>
        <row r="3384">
          <cell r="L3384">
            <v>100</v>
          </cell>
          <cell r="N3384">
            <v>44967</v>
          </cell>
        </row>
        <row r="3385">
          <cell r="L3385">
            <v>100</v>
          </cell>
          <cell r="N3385">
            <v>44942</v>
          </cell>
        </row>
        <row r="3386">
          <cell r="L3386">
            <v>100</v>
          </cell>
          <cell r="N3386">
            <v>44942</v>
          </cell>
        </row>
        <row r="3387">
          <cell r="L3387">
            <v>100</v>
          </cell>
          <cell r="N3387">
            <v>44942</v>
          </cell>
        </row>
        <row r="3388">
          <cell r="L3388">
            <v>100</v>
          </cell>
          <cell r="N3388">
            <v>44942</v>
          </cell>
        </row>
        <row r="3389">
          <cell r="L3389">
            <v>100</v>
          </cell>
          <cell r="N3389">
            <v>44942</v>
          </cell>
        </row>
        <row r="3390">
          <cell r="L3390">
            <v>100</v>
          </cell>
          <cell r="N3390">
            <v>44942</v>
          </cell>
        </row>
        <row r="3391">
          <cell r="L3391">
            <v>100</v>
          </cell>
          <cell r="N3391">
            <v>44942</v>
          </cell>
        </row>
        <row r="3392">
          <cell r="L3392">
            <v>100</v>
          </cell>
          <cell r="N3392">
            <v>44942</v>
          </cell>
        </row>
        <row r="3393">
          <cell r="L3393">
            <v>100</v>
          </cell>
          <cell r="N3393">
            <v>44942</v>
          </cell>
        </row>
        <row r="3394">
          <cell r="L3394">
            <v>100</v>
          </cell>
          <cell r="N3394">
            <v>44942</v>
          </cell>
        </row>
        <row r="3395">
          <cell r="L3395">
            <v>100</v>
          </cell>
          <cell r="N3395">
            <v>44942</v>
          </cell>
        </row>
        <row r="3396">
          <cell r="L3396">
            <v>100</v>
          </cell>
          <cell r="N3396">
            <v>44942</v>
          </cell>
        </row>
        <row r="3397">
          <cell r="L3397">
            <v>100</v>
          </cell>
          <cell r="N3397">
            <v>44942</v>
          </cell>
        </row>
        <row r="3398">
          <cell r="L3398">
            <v>100</v>
          </cell>
          <cell r="N3398">
            <v>44942</v>
          </cell>
        </row>
        <row r="3399">
          <cell r="L3399">
            <v>100</v>
          </cell>
          <cell r="N3399">
            <v>44942</v>
          </cell>
        </row>
        <row r="3400">
          <cell r="L3400">
            <v>100</v>
          </cell>
          <cell r="N3400">
            <v>44942</v>
          </cell>
        </row>
        <row r="3401">
          <cell r="L3401">
            <v>100</v>
          </cell>
          <cell r="N3401">
            <v>44942</v>
          </cell>
        </row>
        <row r="3402">
          <cell r="L3402">
            <v>100</v>
          </cell>
          <cell r="N3402">
            <v>44940</v>
          </cell>
        </row>
        <row r="3403">
          <cell r="L3403">
            <v>100</v>
          </cell>
          <cell r="N3403">
            <v>44940</v>
          </cell>
        </row>
        <row r="3404">
          <cell r="L3404">
            <v>100</v>
          </cell>
          <cell r="N3404">
            <v>44940</v>
          </cell>
        </row>
        <row r="3405">
          <cell r="L3405">
            <v>100</v>
          </cell>
          <cell r="N3405">
            <v>44940</v>
          </cell>
        </row>
        <row r="3406">
          <cell r="L3406">
            <v>100</v>
          </cell>
          <cell r="N3406">
            <v>44940</v>
          </cell>
        </row>
        <row r="3407">
          <cell r="L3407">
            <v>100</v>
          </cell>
          <cell r="N3407">
            <v>44940</v>
          </cell>
        </row>
        <row r="3408">
          <cell r="L3408">
            <v>100</v>
          </cell>
          <cell r="N3408">
            <v>44940</v>
          </cell>
        </row>
        <row r="3409">
          <cell r="L3409">
            <v>100</v>
          </cell>
          <cell r="N3409">
            <v>44940</v>
          </cell>
        </row>
        <row r="3410">
          <cell r="L3410">
            <v>100</v>
          </cell>
          <cell r="N3410">
            <v>44940</v>
          </cell>
        </row>
        <row r="3411">
          <cell r="L3411">
            <v>100</v>
          </cell>
          <cell r="N3411">
            <v>44940</v>
          </cell>
        </row>
        <row r="3412">
          <cell r="L3412">
            <v>100</v>
          </cell>
          <cell r="N3412">
            <v>44940</v>
          </cell>
        </row>
        <row r="3413">
          <cell r="L3413">
            <v>100</v>
          </cell>
          <cell r="N3413">
            <v>44940</v>
          </cell>
        </row>
        <row r="3414">
          <cell r="L3414">
            <v>100</v>
          </cell>
          <cell r="N3414">
            <v>44940</v>
          </cell>
        </row>
        <row r="3415">
          <cell r="L3415">
            <v>100</v>
          </cell>
          <cell r="N3415">
            <v>44940</v>
          </cell>
        </row>
        <row r="3416">
          <cell r="L3416">
            <v>100</v>
          </cell>
          <cell r="N3416"/>
        </row>
        <row r="3417">
          <cell r="L3417">
            <v>100</v>
          </cell>
          <cell r="N3417"/>
        </row>
        <row r="3418">
          <cell r="L3418">
            <v>100</v>
          </cell>
          <cell r="N3418">
            <v>44894</v>
          </cell>
        </row>
        <row r="3419">
          <cell r="L3419">
            <v>100</v>
          </cell>
          <cell r="N3419">
            <v>44894</v>
          </cell>
        </row>
        <row r="3420">
          <cell r="L3420">
            <v>100</v>
          </cell>
          <cell r="N3420">
            <v>44894</v>
          </cell>
        </row>
        <row r="3421">
          <cell r="L3421">
            <v>100</v>
          </cell>
          <cell r="N3421">
            <v>44893</v>
          </cell>
        </row>
        <row r="3422">
          <cell r="L3422">
            <v>100</v>
          </cell>
          <cell r="N3422">
            <v>44893</v>
          </cell>
        </row>
        <row r="3423">
          <cell r="L3423">
            <v>100</v>
          </cell>
          <cell r="N3423">
            <v>44893</v>
          </cell>
        </row>
        <row r="3424">
          <cell r="L3424">
            <v>100</v>
          </cell>
          <cell r="N3424">
            <v>44967</v>
          </cell>
        </row>
        <row r="3425">
          <cell r="L3425">
            <v>100</v>
          </cell>
          <cell r="N3425">
            <v>44967</v>
          </cell>
        </row>
        <row r="3426">
          <cell r="L3426">
            <v>100</v>
          </cell>
          <cell r="N3426">
            <v>44967</v>
          </cell>
        </row>
        <row r="3427">
          <cell r="L3427">
            <v>100</v>
          </cell>
          <cell r="N3427">
            <v>44967</v>
          </cell>
        </row>
        <row r="3428">
          <cell r="L3428">
            <v>100</v>
          </cell>
          <cell r="N3428">
            <v>44967</v>
          </cell>
        </row>
        <row r="3429">
          <cell r="L3429">
            <v>100</v>
          </cell>
          <cell r="N3429">
            <v>44967</v>
          </cell>
        </row>
        <row r="3430">
          <cell r="L3430">
            <v>100</v>
          </cell>
          <cell r="N3430">
            <v>44967</v>
          </cell>
        </row>
        <row r="3431">
          <cell r="L3431">
            <v>100</v>
          </cell>
          <cell r="N3431">
            <v>44967</v>
          </cell>
        </row>
        <row r="3432">
          <cell r="L3432">
            <v>100</v>
          </cell>
          <cell r="N3432">
            <v>44940</v>
          </cell>
        </row>
        <row r="3433">
          <cell r="L3433">
            <v>100</v>
          </cell>
          <cell r="N3433">
            <v>44940</v>
          </cell>
        </row>
        <row r="3434">
          <cell r="L3434">
            <v>100</v>
          </cell>
          <cell r="N3434">
            <v>44971</v>
          </cell>
        </row>
        <row r="3435">
          <cell r="L3435">
            <v>100</v>
          </cell>
          <cell r="N3435">
            <v>44967</v>
          </cell>
        </row>
        <row r="3436">
          <cell r="L3436">
            <v>100</v>
          </cell>
          <cell r="N3436">
            <v>44967</v>
          </cell>
        </row>
        <row r="3437">
          <cell r="L3437">
            <v>100</v>
          </cell>
          <cell r="N3437">
            <v>44967</v>
          </cell>
        </row>
        <row r="3438">
          <cell r="L3438">
            <v>100</v>
          </cell>
          <cell r="N3438">
            <v>44967</v>
          </cell>
        </row>
        <row r="3439">
          <cell r="L3439">
            <v>100</v>
          </cell>
          <cell r="N3439">
            <v>44967</v>
          </cell>
        </row>
        <row r="3440">
          <cell r="L3440">
            <v>100</v>
          </cell>
          <cell r="N3440">
            <v>44967</v>
          </cell>
        </row>
        <row r="3441">
          <cell r="L3441">
            <v>100</v>
          </cell>
          <cell r="N3441">
            <v>44967</v>
          </cell>
        </row>
        <row r="3442">
          <cell r="L3442">
            <v>100</v>
          </cell>
          <cell r="N3442">
            <v>44967</v>
          </cell>
        </row>
        <row r="3443">
          <cell r="L3443">
            <v>100</v>
          </cell>
          <cell r="N3443">
            <v>44946</v>
          </cell>
        </row>
        <row r="3444">
          <cell r="L3444">
            <v>100</v>
          </cell>
          <cell r="N3444">
            <v>44946</v>
          </cell>
        </row>
        <row r="3445">
          <cell r="L3445">
            <v>100</v>
          </cell>
          <cell r="N3445">
            <v>44946</v>
          </cell>
        </row>
        <row r="3446">
          <cell r="L3446">
            <v>100</v>
          </cell>
          <cell r="N3446">
            <v>44946</v>
          </cell>
        </row>
        <row r="3447">
          <cell r="L3447">
            <v>100</v>
          </cell>
          <cell r="N3447">
            <v>44957</v>
          </cell>
        </row>
        <row r="3448">
          <cell r="L3448">
            <v>100</v>
          </cell>
          <cell r="N3448">
            <v>44957</v>
          </cell>
        </row>
        <row r="3449">
          <cell r="L3449">
            <v>100</v>
          </cell>
          <cell r="N3449">
            <v>44957</v>
          </cell>
        </row>
        <row r="3450">
          <cell r="L3450">
            <v>100</v>
          </cell>
          <cell r="N3450">
            <v>44960</v>
          </cell>
        </row>
        <row r="3451">
          <cell r="L3451">
            <v>100</v>
          </cell>
          <cell r="N3451">
            <v>44960</v>
          </cell>
        </row>
        <row r="3452">
          <cell r="L3452">
            <v>100</v>
          </cell>
          <cell r="N3452">
            <v>44960</v>
          </cell>
        </row>
        <row r="3453">
          <cell r="L3453">
            <v>100</v>
          </cell>
          <cell r="N3453">
            <v>44960</v>
          </cell>
        </row>
        <row r="3454">
          <cell r="L3454">
            <v>100</v>
          </cell>
          <cell r="N3454">
            <v>44960</v>
          </cell>
        </row>
        <row r="3455">
          <cell r="L3455">
            <v>100</v>
          </cell>
          <cell r="N3455">
            <v>44960</v>
          </cell>
        </row>
        <row r="3456">
          <cell r="L3456">
            <v>100</v>
          </cell>
          <cell r="N3456">
            <v>44915</v>
          </cell>
        </row>
        <row r="3457">
          <cell r="L3457">
            <v>100</v>
          </cell>
          <cell r="N3457">
            <v>44915</v>
          </cell>
        </row>
        <row r="3458">
          <cell r="L3458">
            <v>100</v>
          </cell>
          <cell r="N3458">
            <v>44971</v>
          </cell>
        </row>
        <row r="3459">
          <cell r="L3459">
            <v>100</v>
          </cell>
          <cell r="N3459">
            <v>44940</v>
          </cell>
        </row>
        <row r="3460">
          <cell r="L3460">
            <v>100</v>
          </cell>
          <cell r="N3460">
            <v>44926</v>
          </cell>
        </row>
        <row r="3461">
          <cell r="L3461">
            <v>100</v>
          </cell>
          <cell r="N3461">
            <v>44926</v>
          </cell>
        </row>
        <row r="3462">
          <cell r="L3462">
            <v>100</v>
          </cell>
          <cell r="N3462">
            <v>44926</v>
          </cell>
        </row>
        <row r="3463">
          <cell r="L3463">
            <v>100</v>
          </cell>
          <cell r="N3463">
            <v>44926</v>
          </cell>
        </row>
        <row r="3464">
          <cell r="L3464">
            <v>100</v>
          </cell>
          <cell r="N3464">
            <v>44940</v>
          </cell>
        </row>
        <row r="3465">
          <cell r="L3465">
            <v>100</v>
          </cell>
          <cell r="N3465">
            <v>44960</v>
          </cell>
        </row>
        <row r="3466">
          <cell r="L3466">
            <v>100</v>
          </cell>
          <cell r="N3466">
            <v>44960</v>
          </cell>
        </row>
        <row r="3467">
          <cell r="L3467">
            <v>100</v>
          </cell>
          <cell r="N3467">
            <v>44942</v>
          </cell>
        </row>
        <row r="3468">
          <cell r="L3468">
            <v>100</v>
          </cell>
          <cell r="N3468">
            <v>44940</v>
          </cell>
        </row>
        <row r="3469">
          <cell r="L3469">
            <v>100</v>
          </cell>
          <cell r="N3469">
            <v>44967</v>
          </cell>
        </row>
        <row r="3470">
          <cell r="L3470">
            <v>100</v>
          </cell>
          <cell r="N3470">
            <v>44967</v>
          </cell>
        </row>
        <row r="3471">
          <cell r="L3471">
            <v>100</v>
          </cell>
          <cell r="N3471">
            <v>44971</v>
          </cell>
        </row>
        <row r="3472">
          <cell r="L3472">
            <v>100</v>
          </cell>
          <cell r="N3472">
            <v>44971</v>
          </cell>
        </row>
        <row r="3473">
          <cell r="L3473">
            <v>100</v>
          </cell>
          <cell r="N3473">
            <v>44966</v>
          </cell>
        </row>
        <row r="3474">
          <cell r="L3474">
            <v>100</v>
          </cell>
          <cell r="N3474">
            <v>44966</v>
          </cell>
        </row>
        <row r="3475">
          <cell r="L3475">
            <v>100</v>
          </cell>
          <cell r="N3475">
            <v>44978</v>
          </cell>
        </row>
        <row r="3476">
          <cell r="L3476">
            <v>100</v>
          </cell>
          <cell r="N3476">
            <v>44978</v>
          </cell>
        </row>
        <row r="3477">
          <cell r="L3477">
            <v>100</v>
          </cell>
          <cell r="N3477">
            <v>44978</v>
          </cell>
        </row>
        <row r="3478">
          <cell r="L3478">
            <v>100</v>
          </cell>
          <cell r="N3478">
            <v>44978</v>
          </cell>
        </row>
        <row r="3479">
          <cell r="L3479">
            <v>100</v>
          </cell>
          <cell r="N3479">
            <v>44978</v>
          </cell>
        </row>
        <row r="3480">
          <cell r="L3480">
            <v>100</v>
          </cell>
          <cell r="N3480">
            <v>44978</v>
          </cell>
        </row>
        <row r="3481">
          <cell r="L3481">
            <v>100</v>
          </cell>
          <cell r="N3481">
            <v>44978</v>
          </cell>
        </row>
        <row r="3482">
          <cell r="L3482">
            <v>100</v>
          </cell>
          <cell r="N3482">
            <v>44978</v>
          </cell>
        </row>
        <row r="3483">
          <cell r="L3483">
            <v>100</v>
          </cell>
          <cell r="N3483">
            <v>44978</v>
          </cell>
        </row>
        <row r="3484">
          <cell r="L3484">
            <v>100</v>
          </cell>
          <cell r="N3484">
            <v>44978</v>
          </cell>
        </row>
        <row r="3485">
          <cell r="L3485">
            <v>100</v>
          </cell>
          <cell r="N3485">
            <v>44978</v>
          </cell>
        </row>
        <row r="3486">
          <cell r="L3486">
            <v>100</v>
          </cell>
          <cell r="N3486">
            <v>44978</v>
          </cell>
        </row>
        <row r="3487">
          <cell r="L3487">
            <v>100</v>
          </cell>
          <cell r="N3487">
            <v>44978</v>
          </cell>
        </row>
        <row r="3488">
          <cell r="L3488">
            <v>100</v>
          </cell>
          <cell r="N3488">
            <v>44978</v>
          </cell>
        </row>
        <row r="3489">
          <cell r="L3489">
            <v>100</v>
          </cell>
          <cell r="N3489">
            <v>44978</v>
          </cell>
        </row>
        <row r="3490">
          <cell r="L3490">
            <v>100</v>
          </cell>
          <cell r="N3490">
            <v>44875</v>
          </cell>
        </row>
        <row r="3491">
          <cell r="L3491">
            <v>100</v>
          </cell>
          <cell r="N3491">
            <v>44875</v>
          </cell>
        </row>
        <row r="3492">
          <cell r="L3492">
            <v>100</v>
          </cell>
          <cell r="N3492">
            <v>44961</v>
          </cell>
        </row>
        <row r="3493">
          <cell r="L3493">
            <v>100</v>
          </cell>
          <cell r="N3493">
            <v>44961</v>
          </cell>
        </row>
        <row r="3494">
          <cell r="L3494">
            <v>100</v>
          </cell>
          <cell r="N3494">
            <v>44951</v>
          </cell>
        </row>
        <row r="3495">
          <cell r="L3495">
            <v>100</v>
          </cell>
          <cell r="N3495">
            <v>44951</v>
          </cell>
        </row>
        <row r="3496">
          <cell r="L3496">
            <v>100</v>
          </cell>
          <cell r="N3496">
            <v>44944</v>
          </cell>
        </row>
        <row r="3497">
          <cell r="L3497">
            <v>100</v>
          </cell>
          <cell r="N3497">
            <v>44944</v>
          </cell>
        </row>
        <row r="3498">
          <cell r="L3498">
            <v>100</v>
          </cell>
          <cell r="N3498">
            <v>44968</v>
          </cell>
        </row>
        <row r="3499">
          <cell r="L3499">
            <v>100</v>
          </cell>
          <cell r="N3499">
            <v>44968</v>
          </cell>
        </row>
        <row r="3500">
          <cell r="L3500">
            <v>100</v>
          </cell>
          <cell r="N3500">
            <v>44909</v>
          </cell>
        </row>
        <row r="3501">
          <cell r="L3501">
            <v>100</v>
          </cell>
          <cell r="N3501">
            <v>44963</v>
          </cell>
        </row>
        <row r="3502">
          <cell r="L3502">
            <v>100</v>
          </cell>
          <cell r="N3502">
            <v>44951</v>
          </cell>
        </row>
        <row r="3503">
          <cell r="L3503">
            <v>100</v>
          </cell>
          <cell r="N3503">
            <v>44951</v>
          </cell>
        </row>
        <row r="3504">
          <cell r="L3504">
            <v>100</v>
          </cell>
          <cell r="N3504">
            <v>44961</v>
          </cell>
        </row>
        <row r="3505">
          <cell r="L3505">
            <v>100</v>
          </cell>
          <cell r="N3505">
            <v>44961</v>
          </cell>
        </row>
        <row r="3506">
          <cell r="L3506">
            <v>100</v>
          </cell>
          <cell r="N3506">
            <v>44942</v>
          </cell>
        </row>
        <row r="3507">
          <cell r="L3507">
            <v>100</v>
          </cell>
          <cell r="N3507">
            <v>44966</v>
          </cell>
        </row>
        <row r="3508">
          <cell r="L3508">
            <v>100</v>
          </cell>
          <cell r="N3508">
            <v>44966</v>
          </cell>
        </row>
        <row r="3509">
          <cell r="L3509">
            <v>100</v>
          </cell>
          <cell r="N3509"/>
        </row>
        <row r="3510">
          <cell r="L3510">
            <v>100</v>
          </cell>
          <cell r="N3510"/>
        </row>
        <row r="3511">
          <cell r="L3511">
            <v>100</v>
          </cell>
          <cell r="N3511">
            <v>44929</v>
          </cell>
        </row>
        <row r="3512">
          <cell r="L3512">
            <v>100</v>
          </cell>
          <cell r="N3512">
            <v>44905</v>
          </cell>
        </row>
        <row r="3513">
          <cell r="L3513">
            <v>100</v>
          </cell>
          <cell r="N3513">
            <v>44895</v>
          </cell>
        </row>
        <row r="3514">
          <cell r="L3514">
            <v>100</v>
          </cell>
          <cell r="N3514"/>
        </row>
        <row r="3515">
          <cell r="L3515">
            <v>100</v>
          </cell>
          <cell r="N3515"/>
        </row>
        <row r="3516">
          <cell r="L3516">
            <v>100</v>
          </cell>
          <cell r="N3516"/>
        </row>
        <row r="3517">
          <cell r="L3517">
            <v>100</v>
          </cell>
          <cell r="N3517"/>
        </row>
        <row r="3518">
          <cell r="L3518">
            <v>100</v>
          </cell>
          <cell r="N3518">
            <v>44905</v>
          </cell>
        </row>
        <row r="3519">
          <cell r="L3519">
            <v>100</v>
          </cell>
          <cell r="N3519">
            <v>44967</v>
          </cell>
        </row>
        <row r="3520">
          <cell r="L3520">
            <v>100</v>
          </cell>
          <cell r="N3520">
            <v>44909</v>
          </cell>
        </row>
        <row r="3521">
          <cell r="L3521">
            <v>100</v>
          </cell>
          <cell r="N3521">
            <v>44874</v>
          </cell>
        </row>
        <row r="3522">
          <cell r="L3522">
            <v>100</v>
          </cell>
          <cell r="N3522">
            <v>44895</v>
          </cell>
        </row>
        <row r="3523">
          <cell r="L3523">
            <v>100</v>
          </cell>
          <cell r="N3523">
            <v>44895</v>
          </cell>
        </row>
        <row r="3524">
          <cell r="L3524">
            <v>100</v>
          </cell>
          <cell r="N3524">
            <v>44929</v>
          </cell>
        </row>
        <row r="3525">
          <cell r="L3525">
            <v>100</v>
          </cell>
          <cell r="N3525">
            <v>44929</v>
          </cell>
        </row>
        <row r="3526">
          <cell r="L3526">
            <v>100</v>
          </cell>
          <cell r="N3526">
            <v>44929</v>
          </cell>
        </row>
        <row r="3527">
          <cell r="L3527">
            <v>100</v>
          </cell>
          <cell r="N3527">
            <v>44895</v>
          </cell>
        </row>
        <row r="3528">
          <cell r="L3528">
            <v>100</v>
          </cell>
          <cell r="N3528">
            <v>44967</v>
          </cell>
        </row>
        <row r="3529">
          <cell r="L3529">
            <v>100</v>
          </cell>
          <cell r="N3529">
            <v>44820</v>
          </cell>
        </row>
        <row r="3530">
          <cell r="L3530">
            <v>100</v>
          </cell>
          <cell r="N3530">
            <v>44905</v>
          </cell>
        </row>
        <row r="3531">
          <cell r="L3531">
            <v>100</v>
          </cell>
          <cell r="N3531">
            <v>44968</v>
          </cell>
        </row>
        <row r="3532">
          <cell r="L3532">
            <v>100</v>
          </cell>
          <cell r="N3532">
            <v>44938</v>
          </cell>
        </row>
        <row r="3533">
          <cell r="L3533">
            <v>100</v>
          </cell>
          <cell r="N3533">
            <v>44909</v>
          </cell>
        </row>
        <row r="3534">
          <cell r="L3534">
            <v>100</v>
          </cell>
          <cell r="N3534">
            <v>44944</v>
          </cell>
        </row>
        <row r="3535">
          <cell r="L3535">
            <v>100</v>
          </cell>
          <cell r="N3535">
            <v>44968</v>
          </cell>
        </row>
        <row r="3536">
          <cell r="L3536">
            <v>100</v>
          </cell>
          <cell r="N3536">
            <v>44938</v>
          </cell>
        </row>
        <row r="3537">
          <cell r="L3537">
            <v>100</v>
          </cell>
          <cell r="N3537">
            <v>44951</v>
          </cell>
        </row>
        <row r="3538">
          <cell r="L3538">
            <v>100</v>
          </cell>
          <cell r="N3538">
            <v>44966</v>
          </cell>
        </row>
        <row r="3539">
          <cell r="L3539">
            <v>100</v>
          </cell>
          <cell r="N3539">
            <v>44942</v>
          </cell>
        </row>
        <row r="3540">
          <cell r="L3540">
            <v>100</v>
          </cell>
          <cell r="N3540">
            <v>44942</v>
          </cell>
        </row>
        <row r="3541">
          <cell r="L3541">
            <v>100</v>
          </cell>
          <cell r="N3541">
            <v>44963</v>
          </cell>
        </row>
        <row r="3542">
          <cell r="L3542">
            <v>100</v>
          </cell>
          <cell r="N3542">
            <v>44961</v>
          </cell>
        </row>
        <row r="3543">
          <cell r="L3543">
            <v>100</v>
          </cell>
          <cell r="N3543">
            <v>44966</v>
          </cell>
        </row>
        <row r="3544">
          <cell r="L3544">
            <v>100</v>
          </cell>
          <cell r="N3544">
            <v>44942</v>
          </cell>
        </row>
        <row r="3545">
          <cell r="L3545">
            <v>100</v>
          </cell>
          <cell r="N3545">
            <v>44967</v>
          </cell>
        </row>
        <row r="3546">
          <cell r="L3546">
            <v>100</v>
          </cell>
          <cell r="N3546">
            <v>44967</v>
          </cell>
        </row>
        <row r="3547">
          <cell r="L3547">
            <v>100</v>
          </cell>
          <cell r="N3547">
            <v>44967</v>
          </cell>
        </row>
        <row r="3548">
          <cell r="L3548">
            <v>100</v>
          </cell>
          <cell r="N3548">
            <v>44967</v>
          </cell>
        </row>
        <row r="3549">
          <cell r="L3549">
            <v>100</v>
          </cell>
          <cell r="N3549">
            <v>44965</v>
          </cell>
        </row>
        <row r="3550">
          <cell r="L3550">
            <v>100</v>
          </cell>
          <cell r="N3550">
            <v>44965</v>
          </cell>
        </row>
        <row r="3551">
          <cell r="L3551">
            <v>100</v>
          </cell>
          <cell r="N3551">
            <v>44909</v>
          </cell>
        </row>
        <row r="3552">
          <cell r="L3552">
            <v>100</v>
          </cell>
          <cell r="N3552">
            <v>44909</v>
          </cell>
        </row>
        <row r="3553">
          <cell r="L3553">
            <v>100</v>
          </cell>
          <cell r="N3553">
            <v>44942</v>
          </cell>
        </row>
        <row r="3554">
          <cell r="L3554">
            <v>100</v>
          </cell>
          <cell r="N3554">
            <v>44971</v>
          </cell>
        </row>
        <row r="3555">
          <cell r="L3555">
            <v>100</v>
          </cell>
          <cell r="N3555">
            <v>44971</v>
          </cell>
        </row>
        <row r="3556">
          <cell r="L3556">
            <v>100</v>
          </cell>
          <cell r="N3556">
            <v>44971</v>
          </cell>
        </row>
        <row r="3557">
          <cell r="L3557">
            <v>100</v>
          </cell>
          <cell r="N3557">
            <v>44971</v>
          </cell>
        </row>
        <row r="3558">
          <cell r="L3558">
            <v>100</v>
          </cell>
          <cell r="N3558">
            <v>44961</v>
          </cell>
        </row>
        <row r="3559">
          <cell r="L3559">
            <v>100</v>
          </cell>
          <cell r="N3559">
            <v>44966</v>
          </cell>
        </row>
        <row r="3560">
          <cell r="L3560">
            <v>100</v>
          </cell>
          <cell r="N3560">
            <v>44966</v>
          </cell>
        </row>
        <row r="3561">
          <cell r="L3561">
            <v>100</v>
          </cell>
          <cell r="N3561">
            <v>44966</v>
          </cell>
        </row>
        <row r="3562">
          <cell r="L3562">
            <v>100</v>
          </cell>
          <cell r="N3562">
            <v>44966</v>
          </cell>
        </row>
        <row r="3563">
          <cell r="L3563">
            <v>100</v>
          </cell>
          <cell r="N3563">
            <v>44966</v>
          </cell>
        </row>
        <row r="3564">
          <cell r="L3564">
            <v>100</v>
          </cell>
          <cell r="N3564">
            <v>44905</v>
          </cell>
        </row>
        <row r="3565">
          <cell r="L3565">
            <v>100</v>
          </cell>
          <cell r="N3565">
            <v>44875</v>
          </cell>
        </row>
        <row r="3566">
          <cell r="L3566">
            <v>100</v>
          </cell>
          <cell r="N3566">
            <v>44875</v>
          </cell>
        </row>
        <row r="3567">
          <cell r="L3567">
            <v>100</v>
          </cell>
          <cell r="N3567">
            <v>44875</v>
          </cell>
        </row>
        <row r="3568">
          <cell r="L3568">
            <v>100</v>
          </cell>
          <cell r="N3568">
            <v>44875</v>
          </cell>
        </row>
        <row r="3569">
          <cell r="L3569">
            <v>100</v>
          </cell>
          <cell r="N3569">
            <v>44951</v>
          </cell>
        </row>
        <row r="3570">
          <cell r="L3570">
            <v>100</v>
          </cell>
          <cell r="N3570">
            <v>44901</v>
          </cell>
        </row>
        <row r="3571">
          <cell r="L3571">
            <v>100</v>
          </cell>
          <cell r="N3571">
            <v>44905</v>
          </cell>
        </row>
        <row r="3572">
          <cell r="L3572">
            <v>100</v>
          </cell>
          <cell r="N3572">
            <v>44978</v>
          </cell>
        </row>
        <row r="3573">
          <cell r="L3573">
            <v>100</v>
          </cell>
          <cell r="N3573">
            <v>44943</v>
          </cell>
        </row>
        <row r="3574">
          <cell r="L3574">
            <v>100</v>
          </cell>
          <cell r="N3574">
            <v>44960</v>
          </cell>
        </row>
        <row r="3575">
          <cell r="L3575">
            <v>100</v>
          </cell>
          <cell r="N3575">
            <v>44962</v>
          </cell>
        </row>
        <row r="3576">
          <cell r="L3576">
            <v>100</v>
          </cell>
          <cell r="N3576">
            <v>44962</v>
          </cell>
        </row>
        <row r="3577">
          <cell r="L3577">
            <v>100</v>
          </cell>
          <cell r="N3577">
            <v>44960</v>
          </cell>
        </row>
        <row r="3578">
          <cell r="L3578">
            <v>100</v>
          </cell>
          <cell r="N3578">
            <v>44962</v>
          </cell>
        </row>
        <row r="3579">
          <cell r="L3579">
            <v>100</v>
          </cell>
          <cell r="N3579">
            <v>44936</v>
          </cell>
        </row>
        <row r="3580">
          <cell r="L3580">
            <v>100</v>
          </cell>
          <cell r="N3580">
            <v>44960</v>
          </cell>
        </row>
        <row r="3581">
          <cell r="L3581">
            <v>100</v>
          </cell>
          <cell r="N3581">
            <v>44960</v>
          </cell>
        </row>
        <row r="3582">
          <cell r="L3582">
            <v>100</v>
          </cell>
          <cell r="N3582">
            <v>44960</v>
          </cell>
        </row>
        <row r="3583">
          <cell r="L3583">
            <v>100</v>
          </cell>
          <cell r="N3583">
            <v>44915</v>
          </cell>
        </row>
        <row r="3584">
          <cell r="L3584">
            <v>100</v>
          </cell>
          <cell r="N3584">
            <v>44915</v>
          </cell>
        </row>
        <row r="3585">
          <cell r="L3585">
            <v>100</v>
          </cell>
          <cell r="N3585">
            <v>44912</v>
          </cell>
        </row>
        <row r="3586">
          <cell r="L3586">
            <v>100</v>
          </cell>
          <cell r="N3586">
            <v>44912</v>
          </cell>
        </row>
        <row r="3587">
          <cell r="L3587">
            <v>100</v>
          </cell>
          <cell r="N3587">
            <v>44867</v>
          </cell>
        </row>
        <row r="3588">
          <cell r="L3588">
            <v>100</v>
          </cell>
          <cell r="N3588">
            <v>44915</v>
          </cell>
        </row>
        <row r="3589">
          <cell r="L3589">
            <v>100</v>
          </cell>
          <cell r="N3589">
            <v>44968</v>
          </cell>
        </row>
        <row r="3590">
          <cell r="L3590">
            <v>100</v>
          </cell>
          <cell r="N3590">
            <v>44968</v>
          </cell>
        </row>
        <row r="3591">
          <cell r="L3591">
            <v>100</v>
          </cell>
          <cell r="N3591">
            <v>44968</v>
          </cell>
        </row>
        <row r="3592">
          <cell r="L3592">
            <v>100</v>
          </cell>
          <cell r="N3592">
            <v>44968</v>
          </cell>
        </row>
        <row r="3593">
          <cell r="L3593">
            <v>100</v>
          </cell>
          <cell r="N3593">
            <v>44925</v>
          </cell>
        </row>
        <row r="3594">
          <cell r="L3594">
            <v>100</v>
          </cell>
          <cell r="N3594">
            <v>44925</v>
          </cell>
        </row>
        <row r="3595">
          <cell r="L3595">
            <v>100</v>
          </cell>
          <cell r="N3595">
            <v>44925</v>
          </cell>
        </row>
        <row r="3596">
          <cell r="L3596">
            <v>100</v>
          </cell>
          <cell r="N3596">
            <v>44943</v>
          </cell>
        </row>
        <row r="3597">
          <cell r="L3597">
            <v>100</v>
          </cell>
          <cell r="N3597">
            <v>44922</v>
          </cell>
        </row>
        <row r="3598">
          <cell r="L3598">
            <v>100</v>
          </cell>
          <cell r="N3598">
            <v>44922</v>
          </cell>
        </row>
        <row r="3599">
          <cell r="L3599">
            <v>100</v>
          </cell>
          <cell r="N3599"/>
        </row>
        <row r="3600">
          <cell r="L3600">
            <v>100</v>
          </cell>
          <cell r="N3600"/>
        </row>
        <row r="3601">
          <cell r="L3601">
            <v>100</v>
          </cell>
          <cell r="N3601">
            <v>44912</v>
          </cell>
        </row>
        <row r="3602">
          <cell r="L3602">
            <v>100</v>
          </cell>
          <cell r="N3602">
            <v>44912</v>
          </cell>
        </row>
        <row r="3603">
          <cell r="L3603">
            <v>100</v>
          </cell>
          <cell r="N3603">
            <v>44912</v>
          </cell>
        </row>
        <row r="3604">
          <cell r="L3604">
            <v>100</v>
          </cell>
          <cell r="N3604">
            <v>44912</v>
          </cell>
        </row>
        <row r="3605">
          <cell r="L3605">
            <v>100</v>
          </cell>
          <cell r="N3605">
            <v>44943</v>
          </cell>
        </row>
        <row r="3606">
          <cell r="L3606">
            <v>100</v>
          </cell>
          <cell r="N3606">
            <v>44922</v>
          </cell>
        </row>
        <row r="3607">
          <cell r="L3607">
            <v>100</v>
          </cell>
          <cell r="N3607">
            <v>44910</v>
          </cell>
        </row>
        <row r="3608">
          <cell r="L3608">
            <v>100</v>
          </cell>
          <cell r="N3608">
            <v>44910</v>
          </cell>
        </row>
        <row r="3609">
          <cell r="L3609">
            <v>100</v>
          </cell>
          <cell r="N3609">
            <v>44910</v>
          </cell>
        </row>
        <row r="3610">
          <cell r="L3610">
            <v>100</v>
          </cell>
          <cell r="N3610">
            <v>44910</v>
          </cell>
        </row>
        <row r="3611">
          <cell r="L3611">
            <v>100</v>
          </cell>
          <cell r="N3611"/>
        </row>
        <row r="3612">
          <cell r="L3612">
            <v>100</v>
          </cell>
          <cell r="N3612"/>
        </row>
        <row r="3613">
          <cell r="L3613">
            <v>100</v>
          </cell>
          <cell r="N3613"/>
        </row>
        <row r="3614">
          <cell r="L3614">
            <v>100</v>
          </cell>
          <cell r="N3614"/>
        </row>
        <row r="3615">
          <cell r="L3615">
            <v>100</v>
          </cell>
          <cell r="N3615"/>
        </row>
        <row r="3616">
          <cell r="L3616">
            <v>100</v>
          </cell>
          <cell r="N3616"/>
        </row>
        <row r="3617">
          <cell r="L3617">
            <v>100</v>
          </cell>
          <cell r="N3617"/>
        </row>
        <row r="3618">
          <cell r="L3618">
            <v>100</v>
          </cell>
          <cell r="N3618"/>
        </row>
        <row r="3619">
          <cell r="L3619">
            <v>100</v>
          </cell>
          <cell r="N3619"/>
        </row>
        <row r="3620">
          <cell r="L3620">
            <v>100</v>
          </cell>
          <cell r="N3620"/>
        </row>
        <row r="3621">
          <cell r="L3621">
            <v>100</v>
          </cell>
          <cell r="N3621"/>
        </row>
        <row r="3622">
          <cell r="L3622">
            <v>100</v>
          </cell>
          <cell r="N3622"/>
        </row>
        <row r="3623">
          <cell r="L3623">
            <v>100</v>
          </cell>
          <cell r="N3623"/>
        </row>
        <row r="3624">
          <cell r="L3624">
            <v>100</v>
          </cell>
          <cell r="N3624">
            <v>44952</v>
          </cell>
        </row>
        <row r="3625">
          <cell r="L3625">
            <v>100</v>
          </cell>
          <cell r="N3625">
            <v>44812</v>
          </cell>
        </row>
        <row r="3626">
          <cell r="L3626">
            <v>100</v>
          </cell>
          <cell r="N3626">
            <v>44812</v>
          </cell>
        </row>
        <row r="3627">
          <cell r="L3627">
            <v>100</v>
          </cell>
          <cell r="N3627">
            <v>44962</v>
          </cell>
        </row>
        <row r="3628">
          <cell r="L3628">
            <v>100</v>
          </cell>
          <cell r="N3628">
            <v>44960</v>
          </cell>
        </row>
        <row r="3629">
          <cell r="L3629">
            <v>100</v>
          </cell>
          <cell r="N3629">
            <v>44960</v>
          </cell>
        </row>
        <row r="3630">
          <cell r="L3630">
            <v>100</v>
          </cell>
          <cell r="N3630">
            <v>44960</v>
          </cell>
        </row>
        <row r="3631">
          <cell r="L3631">
            <v>100</v>
          </cell>
          <cell r="N3631">
            <v>44943</v>
          </cell>
        </row>
        <row r="3632">
          <cell r="L3632">
            <v>100</v>
          </cell>
          <cell r="N3632">
            <v>44943</v>
          </cell>
        </row>
        <row r="3633">
          <cell r="L3633">
            <v>100</v>
          </cell>
          <cell r="N3633">
            <v>44943</v>
          </cell>
        </row>
        <row r="3634">
          <cell r="L3634">
            <v>100</v>
          </cell>
          <cell r="N3634">
            <v>44960</v>
          </cell>
        </row>
        <row r="3635">
          <cell r="L3635">
            <v>100</v>
          </cell>
          <cell r="N3635">
            <v>44960</v>
          </cell>
        </row>
        <row r="3636">
          <cell r="L3636">
            <v>100</v>
          </cell>
          <cell r="N3636">
            <v>44960</v>
          </cell>
        </row>
        <row r="3637">
          <cell r="L3637">
            <v>100</v>
          </cell>
          <cell r="N3637">
            <v>44960</v>
          </cell>
        </row>
        <row r="3638">
          <cell r="L3638">
            <v>100</v>
          </cell>
          <cell r="N3638">
            <v>44962</v>
          </cell>
        </row>
        <row r="3639">
          <cell r="L3639">
            <v>100</v>
          </cell>
          <cell r="N3639">
            <v>44962</v>
          </cell>
        </row>
        <row r="3640">
          <cell r="L3640">
            <v>100</v>
          </cell>
          <cell r="N3640">
            <v>44962</v>
          </cell>
        </row>
        <row r="3641">
          <cell r="L3641">
            <v>100</v>
          </cell>
          <cell r="N3641">
            <v>44962</v>
          </cell>
        </row>
        <row r="3642">
          <cell r="L3642">
            <v>100</v>
          </cell>
          <cell r="N3642">
            <v>44960</v>
          </cell>
        </row>
        <row r="3643">
          <cell r="L3643">
            <v>100</v>
          </cell>
          <cell r="N3643">
            <v>44960</v>
          </cell>
        </row>
        <row r="3644">
          <cell r="L3644">
            <v>100</v>
          </cell>
          <cell r="N3644">
            <v>44962</v>
          </cell>
        </row>
        <row r="3645">
          <cell r="L3645">
            <v>100</v>
          </cell>
          <cell r="N3645">
            <v>44962</v>
          </cell>
        </row>
        <row r="3646">
          <cell r="L3646">
            <v>100</v>
          </cell>
          <cell r="N3646">
            <v>44962</v>
          </cell>
        </row>
        <row r="3647">
          <cell r="L3647">
            <v>100</v>
          </cell>
          <cell r="N3647">
            <v>44812</v>
          </cell>
        </row>
        <row r="3648">
          <cell r="L3648">
            <v>100</v>
          </cell>
          <cell r="N3648">
            <v>44814</v>
          </cell>
        </row>
        <row r="3649">
          <cell r="L3649">
            <v>100</v>
          </cell>
          <cell r="N3649">
            <v>44814</v>
          </cell>
        </row>
        <row r="3650">
          <cell r="L3650">
            <v>100</v>
          </cell>
          <cell r="N3650">
            <v>44960</v>
          </cell>
        </row>
        <row r="3651">
          <cell r="L3651">
            <v>100</v>
          </cell>
          <cell r="N3651">
            <v>44936</v>
          </cell>
        </row>
        <row r="3652">
          <cell r="L3652">
            <v>100</v>
          </cell>
          <cell r="N3652">
            <v>44821</v>
          </cell>
        </row>
        <row r="3653">
          <cell r="L3653">
            <v>100</v>
          </cell>
          <cell r="N3653">
            <v>44821</v>
          </cell>
        </row>
        <row r="3654">
          <cell r="L3654">
            <v>100</v>
          </cell>
          <cell r="N3654">
            <v>44821</v>
          </cell>
        </row>
        <row r="3655">
          <cell r="L3655">
            <v>100</v>
          </cell>
          <cell r="N3655">
            <v>44821</v>
          </cell>
        </row>
        <row r="3656">
          <cell r="L3656">
            <v>100</v>
          </cell>
          <cell r="N3656">
            <v>44821</v>
          </cell>
        </row>
        <row r="3657">
          <cell r="L3657">
            <v>100</v>
          </cell>
          <cell r="N3657">
            <v>44821</v>
          </cell>
        </row>
        <row r="3658">
          <cell r="L3658">
            <v>100</v>
          </cell>
          <cell r="N3658">
            <v>44821</v>
          </cell>
        </row>
        <row r="3659">
          <cell r="L3659">
            <v>100</v>
          </cell>
          <cell r="N3659">
            <v>44821</v>
          </cell>
        </row>
        <row r="3660">
          <cell r="L3660">
            <v>100</v>
          </cell>
          <cell r="N3660">
            <v>44821</v>
          </cell>
        </row>
        <row r="3661">
          <cell r="L3661">
            <v>100</v>
          </cell>
          <cell r="N3661">
            <v>44820</v>
          </cell>
        </row>
        <row r="3662">
          <cell r="L3662">
            <v>100</v>
          </cell>
          <cell r="N3662">
            <v>44820</v>
          </cell>
        </row>
        <row r="3663">
          <cell r="L3663">
            <v>100</v>
          </cell>
          <cell r="N3663">
            <v>44820</v>
          </cell>
        </row>
        <row r="3664">
          <cell r="L3664">
            <v>100</v>
          </cell>
          <cell r="N3664">
            <v>44936</v>
          </cell>
        </row>
        <row r="3665">
          <cell r="L3665">
            <v>100</v>
          </cell>
          <cell r="N3665">
            <v>44936</v>
          </cell>
        </row>
        <row r="3666">
          <cell r="L3666">
            <v>100</v>
          </cell>
          <cell r="N3666">
            <v>44936</v>
          </cell>
        </row>
        <row r="3667">
          <cell r="L3667">
            <v>100</v>
          </cell>
          <cell r="N3667">
            <v>44867</v>
          </cell>
        </row>
        <row r="3668">
          <cell r="L3668">
            <v>100</v>
          </cell>
          <cell r="N3668">
            <v>44867</v>
          </cell>
        </row>
        <row r="3669">
          <cell r="L3669">
            <v>100</v>
          </cell>
          <cell r="N3669">
            <v>44978</v>
          </cell>
        </row>
        <row r="3670">
          <cell r="L3670">
            <v>100</v>
          </cell>
          <cell r="N3670">
            <v>44978</v>
          </cell>
        </row>
        <row r="3671">
          <cell r="L3671">
            <v>100</v>
          </cell>
          <cell r="N3671">
            <v>44960</v>
          </cell>
        </row>
        <row r="3672">
          <cell r="L3672">
            <v>100</v>
          </cell>
          <cell r="N3672"/>
        </row>
        <row r="3673">
          <cell r="L3673">
            <v>100</v>
          </cell>
          <cell r="N3673">
            <v>44867</v>
          </cell>
        </row>
        <row r="3674">
          <cell r="L3674">
            <v>100</v>
          </cell>
          <cell r="N3674">
            <v>44867</v>
          </cell>
        </row>
        <row r="3675">
          <cell r="L3675">
            <v>100</v>
          </cell>
          <cell r="N3675">
            <v>44867</v>
          </cell>
        </row>
        <row r="3676">
          <cell r="L3676">
            <v>100</v>
          </cell>
          <cell r="N3676">
            <v>44867</v>
          </cell>
        </row>
        <row r="3677">
          <cell r="L3677">
            <v>100</v>
          </cell>
          <cell r="N3677">
            <v>44867</v>
          </cell>
        </row>
        <row r="3678">
          <cell r="L3678">
            <v>100</v>
          </cell>
          <cell r="N3678">
            <v>44867</v>
          </cell>
        </row>
        <row r="3679">
          <cell r="L3679">
            <v>100</v>
          </cell>
          <cell r="N3679">
            <v>44952</v>
          </cell>
        </row>
        <row r="3680">
          <cell r="L3680">
            <v>100</v>
          </cell>
          <cell r="N3680">
            <v>44974</v>
          </cell>
        </row>
        <row r="3681">
          <cell r="L3681">
            <v>100</v>
          </cell>
          <cell r="N3681"/>
        </row>
        <row r="3682">
          <cell r="L3682">
            <v>100</v>
          </cell>
          <cell r="N3682"/>
        </row>
        <row r="3683">
          <cell r="L3683">
            <v>100</v>
          </cell>
          <cell r="N3683"/>
        </row>
        <row r="3684">
          <cell r="L3684">
            <v>100</v>
          </cell>
          <cell r="N3684"/>
        </row>
        <row r="3685">
          <cell r="L3685">
            <v>100</v>
          </cell>
          <cell r="N3685">
            <v>44978</v>
          </cell>
        </row>
        <row r="3686">
          <cell r="L3686">
            <v>100</v>
          </cell>
          <cell r="N3686">
            <v>44978</v>
          </cell>
        </row>
        <row r="3687">
          <cell r="L3687">
            <v>100</v>
          </cell>
          <cell r="N3687">
            <v>44978</v>
          </cell>
        </row>
        <row r="3688">
          <cell r="L3688">
            <v>100</v>
          </cell>
          <cell r="N3688"/>
        </row>
        <row r="3689">
          <cell r="L3689">
            <v>100</v>
          </cell>
          <cell r="N3689">
            <v>44960</v>
          </cell>
        </row>
        <row r="3690">
          <cell r="L3690">
            <v>100</v>
          </cell>
          <cell r="N3690">
            <v>44960</v>
          </cell>
        </row>
        <row r="3691">
          <cell r="L3691">
            <v>100</v>
          </cell>
          <cell r="N3691"/>
        </row>
        <row r="3692">
          <cell r="L3692">
            <v>100</v>
          </cell>
          <cell r="N3692"/>
        </row>
        <row r="3693">
          <cell r="L3693">
            <v>100</v>
          </cell>
          <cell r="N3693"/>
        </row>
        <row r="3694">
          <cell r="L3694">
            <v>100</v>
          </cell>
          <cell r="N3694"/>
        </row>
        <row r="3695">
          <cell r="L3695">
            <v>100</v>
          </cell>
          <cell r="N3695"/>
        </row>
        <row r="3696">
          <cell r="L3696">
            <v>100</v>
          </cell>
          <cell r="N3696">
            <v>44870</v>
          </cell>
        </row>
        <row r="3697">
          <cell r="L3697">
            <v>100</v>
          </cell>
          <cell r="N3697">
            <v>44870</v>
          </cell>
        </row>
        <row r="3698">
          <cell r="L3698">
            <v>100</v>
          </cell>
          <cell r="N3698">
            <v>44870</v>
          </cell>
        </row>
        <row r="3699">
          <cell r="L3699">
            <v>100</v>
          </cell>
          <cell r="N3699"/>
        </row>
        <row r="3700">
          <cell r="L3700">
            <v>100</v>
          </cell>
          <cell r="N3700"/>
        </row>
        <row r="3701">
          <cell r="L3701">
            <v>100</v>
          </cell>
          <cell r="N3701"/>
        </row>
        <row r="3702">
          <cell r="L3702">
            <v>100</v>
          </cell>
          <cell r="N3702"/>
        </row>
        <row r="3703">
          <cell r="L3703">
            <v>100</v>
          </cell>
          <cell r="N3703"/>
        </row>
        <row r="3704">
          <cell r="L3704">
            <v>100</v>
          </cell>
          <cell r="N3704">
            <v>44988</v>
          </cell>
        </row>
        <row r="3705">
          <cell r="L3705">
            <v>100</v>
          </cell>
          <cell r="N3705">
            <v>44988</v>
          </cell>
        </row>
        <row r="3706">
          <cell r="L3706">
            <v>100</v>
          </cell>
          <cell r="N3706">
            <v>44988</v>
          </cell>
        </row>
        <row r="3707">
          <cell r="L3707">
            <v>100</v>
          </cell>
          <cell r="N3707">
            <v>44988</v>
          </cell>
        </row>
        <row r="3708">
          <cell r="L3708">
            <v>100</v>
          </cell>
          <cell r="N3708">
            <v>44988</v>
          </cell>
        </row>
        <row r="3709">
          <cell r="L3709">
            <v>100</v>
          </cell>
          <cell r="N3709">
            <v>44988</v>
          </cell>
        </row>
        <row r="3710">
          <cell r="L3710">
            <v>100</v>
          </cell>
          <cell r="N3710">
            <v>44988</v>
          </cell>
        </row>
        <row r="3711">
          <cell r="L3711">
            <v>100</v>
          </cell>
          <cell r="N3711">
            <v>44988</v>
          </cell>
        </row>
        <row r="3712">
          <cell r="L3712">
            <v>100</v>
          </cell>
          <cell r="N3712">
            <v>44988</v>
          </cell>
        </row>
        <row r="3713">
          <cell r="L3713">
            <v>100</v>
          </cell>
          <cell r="N3713">
            <v>44988</v>
          </cell>
        </row>
        <row r="3714">
          <cell r="L3714">
            <v>100</v>
          </cell>
          <cell r="N3714">
            <v>44988</v>
          </cell>
        </row>
        <row r="3715">
          <cell r="L3715">
            <v>100</v>
          </cell>
          <cell r="N3715">
            <v>44988</v>
          </cell>
        </row>
        <row r="3716">
          <cell r="L3716">
            <v>100</v>
          </cell>
          <cell r="N3716">
            <v>44988</v>
          </cell>
        </row>
        <row r="3717">
          <cell r="L3717">
            <v>100</v>
          </cell>
          <cell r="N3717">
            <v>44988</v>
          </cell>
        </row>
        <row r="3718">
          <cell r="L3718">
            <v>100</v>
          </cell>
          <cell r="N3718">
            <v>44988</v>
          </cell>
        </row>
        <row r="3719">
          <cell r="L3719">
            <v>100</v>
          </cell>
          <cell r="N3719">
            <v>44988</v>
          </cell>
        </row>
        <row r="3720">
          <cell r="L3720">
            <v>100</v>
          </cell>
          <cell r="N3720">
            <v>44988</v>
          </cell>
        </row>
        <row r="3721">
          <cell r="L3721">
            <v>100</v>
          </cell>
          <cell r="N3721">
            <v>44988</v>
          </cell>
        </row>
        <row r="3722">
          <cell r="L3722">
            <v>100</v>
          </cell>
          <cell r="N3722">
            <v>44988</v>
          </cell>
        </row>
        <row r="3723">
          <cell r="L3723">
            <v>100</v>
          </cell>
          <cell r="N3723">
            <v>44988</v>
          </cell>
        </row>
        <row r="3724">
          <cell r="L3724">
            <v>100</v>
          </cell>
          <cell r="N3724">
            <v>44988</v>
          </cell>
        </row>
        <row r="3725">
          <cell r="L3725">
            <v>100</v>
          </cell>
          <cell r="N3725">
            <v>44988</v>
          </cell>
        </row>
        <row r="3726">
          <cell r="L3726">
            <v>100</v>
          </cell>
          <cell r="N3726">
            <v>44988</v>
          </cell>
        </row>
        <row r="3727">
          <cell r="L3727">
            <v>100</v>
          </cell>
          <cell r="N3727">
            <v>44988</v>
          </cell>
        </row>
        <row r="3728">
          <cell r="L3728">
            <v>100</v>
          </cell>
          <cell r="N3728">
            <v>44988</v>
          </cell>
        </row>
        <row r="3729">
          <cell r="L3729">
            <v>100</v>
          </cell>
          <cell r="N3729">
            <v>44988</v>
          </cell>
        </row>
        <row r="3730">
          <cell r="L3730">
            <v>100</v>
          </cell>
          <cell r="N3730">
            <v>44988</v>
          </cell>
        </row>
        <row r="3731">
          <cell r="L3731">
            <v>100</v>
          </cell>
          <cell r="N3731">
            <v>44988</v>
          </cell>
        </row>
        <row r="3732">
          <cell r="L3732">
            <v>100</v>
          </cell>
          <cell r="N3732"/>
        </row>
        <row r="3733">
          <cell r="L3733">
            <v>100</v>
          </cell>
          <cell r="N3733"/>
        </row>
        <row r="3734">
          <cell r="L3734">
            <v>100</v>
          </cell>
          <cell r="N3734">
            <v>44873</v>
          </cell>
        </row>
        <row r="3735">
          <cell r="L3735">
            <v>100</v>
          </cell>
          <cell r="N3735">
            <v>44873</v>
          </cell>
        </row>
        <row r="3736">
          <cell r="L3736">
            <v>100</v>
          </cell>
          <cell r="N3736">
            <v>44873</v>
          </cell>
        </row>
        <row r="3737">
          <cell r="L3737">
            <v>100</v>
          </cell>
          <cell r="N3737"/>
        </row>
        <row r="3738">
          <cell r="L3738">
            <v>100</v>
          </cell>
          <cell r="N3738"/>
        </row>
        <row r="3739">
          <cell r="L3739">
            <v>100</v>
          </cell>
          <cell r="N3739">
            <v>44888</v>
          </cell>
        </row>
        <row r="3740">
          <cell r="L3740">
            <v>100</v>
          </cell>
          <cell r="N3740"/>
        </row>
        <row r="3741">
          <cell r="L3741">
            <v>100</v>
          </cell>
          <cell r="N3741"/>
        </row>
        <row r="3742">
          <cell r="L3742">
            <v>100</v>
          </cell>
          <cell r="N3742">
            <v>44875</v>
          </cell>
        </row>
        <row r="3743">
          <cell r="L3743">
            <v>100</v>
          </cell>
          <cell r="N3743">
            <v>44875</v>
          </cell>
        </row>
        <row r="3744">
          <cell r="L3744">
            <v>100</v>
          </cell>
          <cell r="N3744">
            <v>44875</v>
          </cell>
        </row>
        <row r="3745">
          <cell r="L3745">
            <v>100</v>
          </cell>
          <cell r="N3745">
            <v>44875</v>
          </cell>
        </row>
        <row r="3746">
          <cell r="L3746">
            <v>100</v>
          </cell>
          <cell r="N3746">
            <v>44875</v>
          </cell>
        </row>
        <row r="3747">
          <cell r="L3747">
            <v>100</v>
          </cell>
          <cell r="N3747">
            <v>44875</v>
          </cell>
        </row>
        <row r="3748">
          <cell r="L3748">
            <v>100</v>
          </cell>
          <cell r="N3748">
            <v>44875</v>
          </cell>
        </row>
        <row r="3749">
          <cell r="L3749">
            <v>100</v>
          </cell>
          <cell r="N3749">
            <v>44875</v>
          </cell>
        </row>
        <row r="3750">
          <cell r="L3750">
            <v>100</v>
          </cell>
          <cell r="N3750">
            <v>44875</v>
          </cell>
        </row>
        <row r="3751">
          <cell r="L3751">
            <v>100</v>
          </cell>
          <cell r="N3751">
            <v>44875</v>
          </cell>
        </row>
        <row r="3752">
          <cell r="L3752">
            <v>100</v>
          </cell>
          <cell r="N3752">
            <v>44875</v>
          </cell>
        </row>
        <row r="3753">
          <cell r="L3753">
            <v>100</v>
          </cell>
          <cell r="N3753">
            <v>44875</v>
          </cell>
        </row>
        <row r="3754">
          <cell r="L3754">
            <v>100</v>
          </cell>
          <cell r="N3754">
            <v>44875</v>
          </cell>
        </row>
        <row r="3755">
          <cell r="L3755">
            <v>100</v>
          </cell>
          <cell r="N3755">
            <v>44875</v>
          </cell>
        </row>
        <row r="3756">
          <cell r="L3756">
            <v>100</v>
          </cell>
          <cell r="N3756">
            <v>44875</v>
          </cell>
        </row>
        <row r="3757">
          <cell r="L3757">
            <v>100</v>
          </cell>
          <cell r="N3757">
            <v>44875</v>
          </cell>
        </row>
        <row r="3758">
          <cell r="L3758">
            <v>100</v>
          </cell>
          <cell r="N3758">
            <v>44875</v>
          </cell>
        </row>
        <row r="3759">
          <cell r="L3759">
            <v>100</v>
          </cell>
          <cell r="N3759">
            <v>44875</v>
          </cell>
        </row>
        <row r="3760">
          <cell r="L3760">
            <v>100</v>
          </cell>
          <cell r="N3760">
            <v>44875</v>
          </cell>
        </row>
        <row r="3761">
          <cell r="L3761">
            <v>100</v>
          </cell>
          <cell r="N3761">
            <v>44875</v>
          </cell>
        </row>
        <row r="3762">
          <cell r="L3762">
            <v>100</v>
          </cell>
          <cell r="N3762">
            <v>44875</v>
          </cell>
        </row>
        <row r="3763">
          <cell r="L3763">
            <v>100</v>
          </cell>
          <cell r="N3763">
            <v>44875</v>
          </cell>
        </row>
        <row r="3764">
          <cell r="L3764">
            <v>100</v>
          </cell>
          <cell r="N3764">
            <v>44875</v>
          </cell>
        </row>
        <row r="3765">
          <cell r="L3765">
            <v>100</v>
          </cell>
          <cell r="N3765">
            <v>44875</v>
          </cell>
        </row>
        <row r="3766">
          <cell r="L3766">
            <v>100</v>
          </cell>
          <cell r="N3766">
            <v>44875</v>
          </cell>
        </row>
        <row r="3767">
          <cell r="L3767">
            <v>100</v>
          </cell>
          <cell r="N3767">
            <v>44875</v>
          </cell>
        </row>
        <row r="3768">
          <cell r="L3768">
            <v>100</v>
          </cell>
          <cell r="N3768">
            <v>44875</v>
          </cell>
        </row>
        <row r="3769">
          <cell r="L3769">
            <v>100</v>
          </cell>
          <cell r="N3769">
            <v>44875</v>
          </cell>
        </row>
        <row r="3770">
          <cell r="L3770">
            <v>100</v>
          </cell>
          <cell r="N3770">
            <v>44930</v>
          </cell>
        </row>
        <row r="3771">
          <cell r="L3771">
            <v>100</v>
          </cell>
          <cell r="N3771">
            <v>44930</v>
          </cell>
        </row>
        <row r="3772">
          <cell r="L3772">
            <v>100</v>
          </cell>
          <cell r="N3772">
            <v>44930</v>
          </cell>
        </row>
        <row r="3773">
          <cell r="L3773">
            <v>100</v>
          </cell>
          <cell r="N3773">
            <v>44930</v>
          </cell>
        </row>
        <row r="3774">
          <cell r="L3774">
            <v>100</v>
          </cell>
          <cell r="N3774"/>
        </row>
        <row r="3775">
          <cell r="L3775">
            <v>100</v>
          </cell>
          <cell r="N3775"/>
        </row>
        <row r="3776">
          <cell r="L3776">
            <v>100</v>
          </cell>
          <cell r="N3776">
            <v>44930</v>
          </cell>
        </row>
        <row r="3777">
          <cell r="L3777">
            <v>100</v>
          </cell>
          <cell r="N3777">
            <v>44908</v>
          </cell>
        </row>
        <row r="3778">
          <cell r="L3778">
            <v>100</v>
          </cell>
          <cell r="N3778">
            <v>44908</v>
          </cell>
        </row>
        <row r="3779">
          <cell r="L3779">
            <v>100</v>
          </cell>
          <cell r="N3779">
            <v>44942</v>
          </cell>
        </row>
        <row r="3780">
          <cell r="L3780">
            <v>100</v>
          </cell>
          <cell r="N3780">
            <v>44942</v>
          </cell>
        </row>
        <row r="3781">
          <cell r="L3781">
            <v>100</v>
          </cell>
          <cell r="N3781">
            <v>44942</v>
          </cell>
        </row>
        <row r="3782">
          <cell r="L3782">
            <v>100</v>
          </cell>
          <cell r="N3782">
            <v>44963</v>
          </cell>
        </row>
        <row r="3783">
          <cell r="L3783">
            <v>100</v>
          </cell>
          <cell r="N3783">
            <v>44580</v>
          </cell>
        </row>
        <row r="3784">
          <cell r="L3784">
            <v>100</v>
          </cell>
          <cell r="N3784">
            <v>44751</v>
          </cell>
        </row>
        <row r="3785">
          <cell r="L3785">
            <v>100</v>
          </cell>
          <cell r="N3785"/>
        </row>
        <row r="3786">
          <cell r="L3786">
            <v>100</v>
          </cell>
          <cell r="N3786"/>
        </row>
        <row r="3787">
          <cell r="L3787">
            <v>100</v>
          </cell>
          <cell r="N3787">
            <v>44959</v>
          </cell>
        </row>
        <row r="3788">
          <cell r="L3788">
            <v>100</v>
          </cell>
          <cell r="N3788">
            <v>44959</v>
          </cell>
        </row>
        <row r="3789">
          <cell r="L3789">
            <v>100</v>
          </cell>
          <cell r="N3789">
            <v>44959</v>
          </cell>
        </row>
        <row r="3790">
          <cell r="L3790">
            <v>100</v>
          </cell>
          <cell r="N3790">
            <v>44959</v>
          </cell>
        </row>
        <row r="3791">
          <cell r="L3791">
            <v>100</v>
          </cell>
          <cell r="N3791">
            <v>44932</v>
          </cell>
        </row>
        <row r="3792">
          <cell r="L3792">
            <v>100</v>
          </cell>
          <cell r="N3792">
            <v>44913</v>
          </cell>
        </row>
        <row r="3793">
          <cell r="L3793">
            <v>100</v>
          </cell>
          <cell r="N3793">
            <v>44939</v>
          </cell>
        </row>
        <row r="3794">
          <cell r="L3794">
            <v>100</v>
          </cell>
          <cell r="N3794">
            <v>44930</v>
          </cell>
        </row>
        <row r="3795">
          <cell r="L3795">
            <v>100</v>
          </cell>
          <cell r="N3795">
            <v>44930</v>
          </cell>
        </row>
        <row r="3796">
          <cell r="L3796">
            <v>100</v>
          </cell>
          <cell r="N3796">
            <v>44887</v>
          </cell>
        </row>
        <row r="3797">
          <cell r="L3797">
            <v>100</v>
          </cell>
          <cell r="N3797">
            <v>44922</v>
          </cell>
        </row>
        <row r="3798">
          <cell r="L3798">
            <v>100</v>
          </cell>
          <cell r="N3798">
            <v>44922</v>
          </cell>
        </row>
        <row r="3799">
          <cell r="L3799">
            <v>100</v>
          </cell>
          <cell r="N3799">
            <v>44922</v>
          </cell>
        </row>
        <row r="3800">
          <cell r="L3800">
            <v>100</v>
          </cell>
          <cell r="N3800">
            <v>44922</v>
          </cell>
        </row>
        <row r="3801">
          <cell r="L3801">
            <v>100</v>
          </cell>
          <cell r="N3801">
            <v>44913</v>
          </cell>
        </row>
        <row r="3802">
          <cell r="L3802">
            <v>100</v>
          </cell>
          <cell r="N3802">
            <v>44930</v>
          </cell>
        </row>
        <row r="3803">
          <cell r="L3803">
            <v>100</v>
          </cell>
          <cell r="N3803">
            <v>44826</v>
          </cell>
        </row>
        <row r="3804">
          <cell r="L3804">
            <v>100</v>
          </cell>
          <cell r="N3804">
            <v>44826</v>
          </cell>
        </row>
        <row r="3805">
          <cell r="L3805">
            <v>100</v>
          </cell>
          <cell r="N3805">
            <v>44826</v>
          </cell>
        </row>
        <row r="3806">
          <cell r="L3806">
            <v>100</v>
          </cell>
          <cell r="N3806">
            <v>44826</v>
          </cell>
        </row>
        <row r="3807">
          <cell r="L3807">
            <v>100</v>
          </cell>
          <cell r="N3807">
            <v>44826</v>
          </cell>
        </row>
        <row r="3808">
          <cell r="L3808">
            <v>100</v>
          </cell>
          <cell r="N3808">
            <v>44826</v>
          </cell>
        </row>
        <row r="3809">
          <cell r="L3809">
            <v>100</v>
          </cell>
          <cell r="N3809">
            <v>44826</v>
          </cell>
        </row>
        <row r="3810">
          <cell r="L3810">
            <v>100</v>
          </cell>
          <cell r="N3810">
            <v>44826</v>
          </cell>
        </row>
        <row r="3811">
          <cell r="L3811">
            <v>100</v>
          </cell>
          <cell r="N3811">
            <v>44826</v>
          </cell>
        </row>
        <row r="3812">
          <cell r="L3812">
            <v>100</v>
          </cell>
          <cell r="N3812">
            <v>44826</v>
          </cell>
        </row>
        <row r="3813">
          <cell r="L3813">
            <v>100</v>
          </cell>
          <cell r="N3813">
            <v>44826</v>
          </cell>
        </row>
        <row r="3814">
          <cell r="L3814">
            <v>100</v>
          </cell>
          <cell r="N3814">
            <v>44826</v>
          </cell>
        </row>
        <row r="3815">
          <cell r="L3815">
            <v>100</v>
          </cell>
          <cell r="N3815">
            <v>44963</v>
          </cell>
        </row>
        <row r="3816">
          <cell r="L3816">
            <v>100</v>
          </cell>
          <cell r="N3816">
            <v>44908</v>
          </cell>
        </row>
        <row r="3817">
          <cell r="L3817">
            <v>100</v>
          </cell>
          <cell r="N3817">
            <v>44908</v>
          </cell>
        </row>
        <row r="3818">
          <cell r="L3818">
            <v>100</v>
          </cell>
          <cell r="N3818">
            <v>44580</v>
          </cell>
        </row>
        <row r="3819">
          <cell r="L3819">
            <v>100</v>
          </cell>
          <cell r="N3819">
            <v>44963</v>
          </cell>
        </row>
        <row r="3820">
          <cell r="L3820">
            <v>100</v>
          </cell>
          <cell r="N3820">
            <v>44690</v>
          </cell>
        </row>
        <row r="3821">
          <cell r="L3821">
            <v>100</v>
          </cell>
          <cell r="N3821">
            <v>44580</v>
          </cell>
        </row>
        <row r="3822">
          <cell r="L3822">
            <v>100</v>
          </cell>
          <cell r="N3822">
            <v>44751</v>
          </cell>
        </row>
        <row r="3823">
          <cell r="L3823">
            <v>100</v>
          </cell>
          <cell r="N3823">
            <v>44751</v>
          </cell>
        </row>
        <row r="3824">
          <cell r="L3824">
            <v>100</v>
          </cell>
          <cell r="N3824">
            <v>44751</v>
          </cell>
        </row>
        <row r="3825">
          <cell r="L3825">
            <v>100</v>
          </cell>
          <cell r="N3825">
            <v>44751</v>
          </cell>
        </row>
        <row r="3826">
          <cell r="L3826">
            <v>100</v>
          </cell>
          <cell r="N3826">
            <v>44826</v>
          </cell>
        </row>
        <row r="3827">
          <cell r="L3827">
            <v>100</v>
          </cell>
          <cell r="N3827">
            <v>44826</v>
          </cell>
        </row>
        <row r="3828">
          <cell r="L3828">
            <v>100</v>
          </cell>
          <cell r="N3828">
            <v>44824</v>
          </cell>
        </row>
        <row r="3829">
          <cell r="L3829">
            <v>100</v>
          </cell>
          <cell r="N3829"/>
        </row>
        <row r="3830">
          <cell r="L3830">
            <v>100</v>
          </cell>
          <cell r="N3830"/>
        </row>
        <row r="3831">
          <cell r="L3831">
            <v>100</v>
          </cell>
          <cell r="N3831"/>
        </row>
        <row r="3832">
          <cell r="L3832">
            <v>100</v>
          </cell>
          <cell r="N3832"/>
        </row>
        <row r="3833">
          <cell r="L3833">
            <v>100</v>
          </cell>
          <cell r="N3833">
            <v>44826</v>
          </cell>
        </row>
        <row r="3834">
          <cell r="L3834">
            <v>100</v>
          </cell>
          <cell r="N3834">
            <v>44826</v>
          </cell>
        </row>
        <row r="3835">
          <cell r="L3835">
            <v>100</v>
          </cell>
          <cell r="N3835">
            <v>44826</v>
          </cell>
        </row>
        <row r="3836">
          <cell r="L3836">
            <v>100</v>
          </cell>
          <cell r="N3836">
            <v>44797</v>
          </cell>
        </row>
        <row r="3837">
          <cell r="L3837">
            <v>100</v>
          </cell>
          <cell r="N3837">
            <v>44797</v>
          </cell>
        </row>
        <row r="3838">
          <cell r="L3838">
            <v>100</v>
          </cell>
          <cell r="N3838">
            <v>44833</v>
          </cell>
        </row>
        <row r="3839">
          <cell r="L3839">
            <v>100</v>
          </cell>
          <cell r="N3839">
            <v>44833</v>
          </cell>
        </row>
        <row r="3840">
          <cell r="L3840">
            <v>100</v>
          </cell>
          <cell r="N3840"/>
        </row>
        <row r="3841">
          <cell r="L3841">
            <v>100</v>
          </cell>
          <cell r="N3841"/>
        </row>
        <row r="3842">
          <cell r="L3842">
            <v>100</v>
          </cell>
          <cell r="N3842"/>
        </row>
        <row r="3843">
          <cell r="L3843">
            <v>100</v>
          </cell>
          <cell r="N3843"/>
        </row>
        <row r="3844">
          <cell r="L3844">
            <v>100</v>
          </cell>
          <cell r="N3844"/>
        </row>
        <row r="3845">
          <cell r="L3845">
            <v>100</v>
          </cell>
          <cell r="N3845"/>
        </row>
        <row r="3846">
          <cell r="L3846">
            <v>100</v>
          </cell>
          <cell r="N3846"/>
        </row>
        <row r="3847">
          <cell r="L3847">
            <v>100</v>
          </cell>
          <cell r="N3847"/>
        </row>
        <row r="3848">
          <cell r="L3848">
            <v>100</v>
          </cell>
          <cell r="N3848"/>
        </row>
        <row r="3849">
          <cell r="L3849">
            <v>100</v>
          </cell>
          <cell r="N3849"/>
        </row>
        <row r="3850">
          <cell r="L3850">
            <v>100</v>
          </cell>
          <cell r="N3850"/>
        </row>
        <row r="3851">
          <cell r="L3851">
            <v>100</v>
          </cell>
          <cell r="N3851"/>
        </row>
        <row r="3852">
          <cell r="L3852">
            <v>100</v>
          </cell>
          <cell r="N3852"/>
        </row>
        <row r="3853">
          <cell r="L3853">
            <v>100</v>
          </cell>
          <cell r="N3853"/>
        </row>
        <row r="3854">
          <cell r="L3854">
            <v>100</v>
          </cell>
          <cell r="N3854"/>
        </row>
        <row r="3855">
          <cell r="L3855">
            <v>100</v>
          </cell>
          <cell r="N3855"/>
        </row>
        <row r="3856">
          <cell r="L3856">
            <v>100</v>
          </cell>
          <cell r="N3856"/>
        </row>
        <row r="3857">
          <cell r="L3857">
            <v>100</v>
          </cell>
          <cell r="N3857"/>
        </row>
        <row r="3858">
          <cell r="L3858">
            <v>100</v>
          </cell>
          <cell r="N3858"/>
        </row>
        <row r="3859">
          <cell r="L3859">
            <v>100</v>
          </cell>
          <cell r="N3859"/>
        </row>
        <row r="3860">
          <cell r="L3860">
            <v>100</v>
          </cell>
          <cell r="N3860"/>
        </row>
        <row r="3861">
          <cell r="L3861">
            <v>100</v>
          </cell>
          <cell r="N3861"/>
        </row>
        <row r="3862">
          <cell r="L3862">
            <v>100</v>
          </cell>
          <cell r="N3862"/>
        </row>
        <row r="3863">
          <cell r="L3863">
            <v>100</v>
          </cell>
          <cell r="N3863"/>
        </row>
        <row r="3864">
          <cell r="L3864">
            <v>100</v>
          </cell>
          <cell r="N3864"/>
        </row>
        <row r="3865">
          <cell r="L3865">
            <v>100</v>
          </cell>
          <cell r="N3865"/>
        </row>
        <row r="3866">
          <cell r="L3866">
            <v>100</v>
          </cell>
          <cell r="N3866"/>
        </row>
        <row r="3867">
          <cell r="L3867">
            <v>100</v>
          </cell>
          <cell r="N3867"/>
        </row>
        <row r="3868">
          <cell r="L3868">
            <v>100</v>
          </cell>
          <cell r="N3868"/>
        </row>
        <row r="3869">
          <cell r="L3869">
            <v>100</v>
          </cell>
          <cell r="N3869">
            <v>44761</v>
          </cell>
        </row>
        <row r="3870">
          <cell r="L3870">
            <v>100</v>
          </cell>
          <cell r="N3870">
            <v>44761</v>
          </cell>
        </row>
        <row r="3871">
          <cell r="L3871">
            <v>100</v>
          </cell>
          <cell r="N3871"/>
        </row>
        <row r="3872">
          <cell r="L3872">
            <v>100</v>
          </cell>
          <cell r="N3872"/>
        </row>
        <row r="3873">
          <cell r="L3873">
            <v>100</v>
          </cell>
          <cell r="N3873"/>
        </row>
        <row r="3874">
          <cell r="L3874">
            <v>100</v>
          </cell>
          <cell r="N3874"/>
        </row>
        <row r="3875">
          <cell r="L3875">
            <v>100</v>
          </cell>
          <cell r="N3875">
            <v>44761</v>
          </cell>
        </row>
        <row r="3876">
          <cell r="L3876">
            <v>100</v>
          </cell>
          <cell r="N3876">
            <v>44761</v>
          </cell>
        </row>
        <row r="3877">
          <cell r="L3877">
            <v>100</v>
          </cell>
          <cell r="N3877"/>
        </row>
        <row r="3878">
          <cell r="L3878">
            <v>100</v>
          </cell>
          <cell r="N3878"/>
        </row>
        <row r="3879">
          <cell r="L3879">
            <v>100</v>
          </cell>
          <cell r="N3879"/>
        </row>
        <row r="3880">
          <cell r="L3880">
            <v>100</v>
          </cell>
          <cell r="N3880"/>
        </row>
        <row r="3881">
          <cell r="L3881">
            <v>100</v>
          </cell>
          <cell r="N3881">
            <v>44932</v>
          </cell>
        </row>
        <row r="3882">
          <cell r="L3882">
            <v>100</v>
          </cell>
          <cell r="N3882">
            <v>44903</v>
          </cell>
        </row>
        <row r="3883">
          <cell r="L3883">
            <v>100</v>
          </cell>
          <cell r="N3883">
            <v>44903</v>
          </cell>
        </row>
        <row r="3884">
          <cell r="L3884">
            <v>100</v>
          </cell>
          <cell r="N3884"/>
        </row>
        <row r="3885">
          <cell r="L3885">
            <v>100</v>
          </cell>
          <cell r="N3885"/>
        </row>
        <row r="3886">
          <cell r="L3886">
            <v>100</v>
          </cell>
          <cell r="N3886">
            <v>44757</v>
          </cell>
        </row>
        <row r="3887">
          <cell r="L3887">
            <v>100</v>
          </cell>
          <cell r="N3887"/>
        </row>
        <row r="3888">
          <cell r="L3888">
            <v>100</v>
          </cell>
          <cell r="N3888"/>
        </row>
        <row r="3889">
          <cell r="L3889">
            <v>100</v>
          </cell>
          <cell r="N3889"/>
        </row>
        <row r="3890">
          <cell r="L3890">
            <v>100</v>
          </cell>
          <cell r="N3890">
            <v>44940</v>
          </cell>
        </row>
        <row r="3891">
          <cell r="L3891">
            <v>100</v>
          </cell>
          <cell r="N3891">
            <v>44932</v>
          </cell>
        </row>
        <row r="3892">
          <cell r="L3892">
            <v>100</v>
          </cell>
          <cell r="N3892">
            <v>44902</v>
          </cell>
        </row>
        <row r="3893">
          <cell r="L3893">
            <v>100</v>
          </cell>
          <cell r="N3893">
            <v>44902</v>
          </cell>
        </row>
        <row r="3894">
          <cell r="L3894">
            <v>100</v>
          </cell>
          <cell r="N3894">
            <v>44902</v>
          </cell>
        </row>
        <row r="3895">
          <cell r="L3895">
            <v>100</v>
          </cell>
          <cell r="N3895">
            <v>44902</v>
          </cell>
        </row>
        <row r="3896">
          <cell r="L3896">
            <v>100</v>
          </cell>
          <cell r="N3896">
            <v>44902</v>
          </cell>
        </row>
        <row r="3897">
          <cell r="L3897">
            <v>100</v>
          </cell>
          <cell r="N3897">
            <v>44902</v>
          </cell>
        </row>
        <row r="3898">
          <cell r="L3898">
            <v>100</v>
          </cell>
          <cell r="N3898">
            <v>44902</v>
          </cell>
        </row>
        <row r="3899">
          <cell r="L3899">
            <v>100</v>
          </cell>
          <cell r="N3899">
            <v>44902</v>
          </cell>
        </row>
        <row r="3900">
          <cell r="L3900">
            <v>100</v>
          </cell>
          <cell r="N3900">
            <v>44902</v>
          </cell>
        </row>
        <row r="3901">
          <cell r="L3901">
            <v>100</v>
          </cell>
          <cell r="N3901">
            <v>44902</v>
          </cell>
        </row>
        <row r="3902">
          <cell r="L3902">
            <v>100</v>
          </cell>
          <cell r="N3902">
            <v>44902</v>
          </cell>
        </row>
        <row r="3903">
          <cell r="L3903">
            <v>100</v>
          </cell>
          <cell r="N3903">
            <v>44757</v>
          </cell>
        </row>
        <row r="3904">
          <cell r="L3904">
            <v>100</v>
          </cell>
          <cell r="N3904">
            <v>44765</v>
          </cell>
        </row>
        <row r="3905">
          <cell r="L3905">
            <v>100</v>
          </cell>
          <cell r="N3905">
            <v>44765</v>
          </cell>
        </row>
        <row r="3906">
          <cell r="L3906">
            <v>100</v>
          </cell>
          <cell r="N3906">
            <v>44988</v>
          </cell>
        </row>
        <row r="3907">
          <cell r="L3907">
            <v>100</v>
          </cell>
          <cell r="N3907">
            <v>44932</v>
          </cell>
        </row>
        <row r="3908">
          <cell r="L3908">
            <v>100</v>
          </cell>
          <cell r="N3908">
            <v>44909</v>
          </cell>
        </row>
        <row r="3909">
          <cell r="L3909">
            <v>100</v>
          </cell>
          <cell r="N3909">
            <v>44909</v>
          </cell>
        </row>
        <row r="3910">
          <cell r="L3910">
            <v>100</v>
          </cell>
          <cell r="N3910">
            <v>44909</v>
          </cell>
        </row>
        <row r="3911">
          <cell r="L3911">
            <v>100</v>
          </cell>
          <cell r="N3911">
            <v>44909</v>
          </cell>
        </row>
        <row r="3912">
          <cell r="L3912">
            <v>100</v>
          </cell>
          <cell r="N3912">
            <v>44643</v>
          </cell>
        </row>
        <row r="3913">
          <cell r="L3913">
            <v>100</v>
          </cell>
          <cell r="N3913">
            <v>44643</v>
          </cell>
        </row>
        <row r="3914">
          <cell r="L3914">
            <v>100</v>
          </cell>
          <cell r="N3914">
            <v>44643</v>
          </cell>
        </row>
        <row r="3915">
          <cell r="L3915">
            <v>100</v>
          </cell>
          <cell r="N3915">
            <v>44643</v>
          </cell>
        </row>
        <row r="3916">
          <cell r="L3916">
            <v>100</v>
          </cell>
          <cell r="N3916">
            <v>44643</v>
          </cell>
        </row>
        <row r="3917">
          <cell r="L3917">
            <v>100</v>
          </cell>
          <cell r="N3917">
            <v>44643</v>
          </cell>
        </row>
        <row r="3918">
          <cell r="L3918">
            <v>100</v>
          </cell>
          <cell r="N3918">
            <v>44643</v>
          </cell>
        </row>
        <row r="3919">
          <cell r="L3919">
            <v>100</v>
          </cell>
          <cell r="N3919">
            <v>44643</v>
          </cell>
        </row>
        <row r="3920">
          <cell r="L3920">
            <v>100</v>
          </cell>
          <cell r="N3920">
            <v>44643</v>
          </cell>
        </row>
        <row r="3921">
          <cell r="L3921">
            <v>100</v>
          </cell>
          <cell r="N3921"/>
        </row>
        <row r="3922">
          <cell r="L3922">
            <v>100</v>
          </cell>
          <cell r="N3922">
            <v>44925</v>
          </cell>
        </row>
        <row r="3923">
          <cell r="L3923">
            <v>100</v>
          </cell>
          <cell r="N3923">
            <v>44810</v>
          </cell>
        </row>
        <row r="3924">
          <cell r="L3924">
            <v>100</v>
          </cell>
          <cell r="N3924">
            <v>44940</v>
          </cell>
        </row>
        <row r="3925">
          <cell r="L3925">
            <v>100</v>
          </cell>
          <cell r="N3925">
            <v>44940</v>
          </cell>
        </row>
        <row r="3926">
          <cell r="L3926">
            <v>100</v>
          </cell>
          <cell r="N3926"/>
        </row>
        <row r="3927">
          <cell r="L3927">
            <v>100</v>
          </cell>
          <cell r="N3927"/>
        </row>
        <row r="3928">
          <cell r="L3928">
            <v>100</v>
          </cell>
          <cell r="N3928"/>
        </row>
        <row r="3929">
          <cell r="L3929">
            <v>100</v>
          </cell>
          <cell r="N3929"/>
        </row>
        <row r="3930">
          <cell r="L3930">
            <v>100</v>
          </cell>
          <cell r="N3930">
            <v>44940</v>
          </cell>
        </row>
        <row r="3931">
          <cell r="L3931">
            <v>100</v>
          </cell>
          <cell r="N3931">
            <v>44940</v>
          </cell>
        </row>
        <row r="3932">
          <cell r="L3932">
            <v>100</v>
          </cell>
          <cell r="N3932">
            <v>44940</v>
          </cell>
        </row>
        <row r="3933">
          <cell r="L3933">
            <v>100</v>
          </cell>
          <cell r="N3933">
            <v>44940</v>
          </cell>
        </row>
        <row r="3934">
          <cell r="L3934">
            <v>100</v>
          </cell>
          <cell r="N3934">
            <v>44940</v>
          </cell>
        </row>
        <row r="3935">
          <cell r="L3935">
            <v>100</v>
          </cell>
          <cell r="N3935">
            <v>44940</v>
          </cell>
        </row>
        <row r="3936">
          <cell r="L3936">
            <v>100</v>
          </cell>
          <cell r="N3936">
            <v>44940</v>
          </cell>
        </row>
        <row r="3937">
          <cell r="L3937">
            <v>100</v>
          </cell>
          <cell r="N3937">
            <v>44940</v>
          </cell>
        </row>
        <row r="3938">
          <cell r="L3938">
            <v>100</v>
          </cell>
          <cell r="N3938">
            <v>44940</v>
          </cell>
        </row>
        <row r="3939">
          <cell r="L3939">
            <v>100</v>
          </cell>
          <cell r="N3939">
            <v>44940</v>
          </cell>
        </row>
        <row r="3940">
          <cell r="L3940">
            <v>100</v>
          </cell>
          <cell r="N3940">
            <v>44940</v>
          </cell>
        </row>
        <row r="3941">
          <cell r="L3941">
            <v>100</v>
          </cell>
          <cell r="N3941">
            <v>44895</v>
          </cell>
        </row>
        <row r="3942">
          <cell r="L3942">
            <v>100</v>
          </cell>
          <cell r="N3942">
            <v>44895</v>
          </cell>
        </row>
        <row r="3943">
          <cell r="L3943">
            <v>100</v>
          </cell>
          <cell r="N3943">
            <v>44959</v>
          </cell>
        </row>
        <row r="3944">
          <cell r="L3944">
            <v>100</v>
          </cell>
          <cell r="N3944">
            <v>44959</v>
          </cell>
        </row>
        <row r="3945">
          <cell r="L3945">
            <v>100</v>
          </cell>
          <cell r="N3945">
            <v>44959</v>
          </cell>
        </row>
        <row r="3946">
          <cell r="L3946">
            <v>100</v>
          </cell>
          <cell r="N3946">
            <v>44959</v>
          </cell>
        </row>
        <row r="3947">
          <cell r="L3947">
            <v>100</v>
          </cell>
          <cell r="N3947"/>
        </row>
        <row r="3948">
          <cell r="L3948">
            <v>100</v>
          </cell>
          <cell r="N3948">
            <v>44933</v>
          </cell>
        </row>
        <row r="3949">
          <cell r="L3949">
            <v>100</v>
          </cell>
          <cell r="N3949">
            <v>44964</v>
          </cell>
        </row>
        <row r="3950">
          <cell r="L3950">
            <v>100</v>
          </cell>
          <cell r="N3950">
            <v>45006</v>
          </cell>
        </row>
        <row r="3951">
          <cell r="L3951">
            <v>100</v>
          </cell>
          <cell r="N3951">
            <v>44911</v>
          </cell>
        </row>
        <row r="3952">
          <cell r="L3952">
            <v>100</v>
          </cell>
          <cell r="N3952">
            <v>44967</v>
          </cell>
        </row>
        <row r="3953">
          <cell r="L3953">
            <v>100</v>
          </cell>
          <cell r="N3953">
            <v>45006</v>
          </cell>
        </row>
        <row r="3954">
          <cell r="L3954">
            <v>100</v>
          </cell>
          <cell r="N3954"/>
        </row>
        <row r="3955">
          <cell r="L3955">
            <v>100</v>
          </cell>
          <cell r="N3955"/>
        </row>
        <row r="3956">
          <cell r="L3956">
            <v>100</v>
          </cell>
          <cell r="N3956"/>
        </row>
        <row r="3957">
          <cell r="L3957">
            <v>100</v>
          </cell>
          <cell r="N3957"/>
        </row>
        <row r="3958">
          <cell r="L3958">
            <v>100</v>
          </cell>
          <cell r="N3958"/>
        </row>
        <row r="3959">
          <cell r="L3959">
            <v>100</v>
          </cell>
          <cell r="N3959"/>
        </row>
        <row r="3960">
          <cell r="L3960">
            <v>100</v>
          </cell>
          <cell r="N3960"/>
        </row>
        <row r="3961">
          <cell r="L3961">
            <v>100</v>
          </cell>
          <cell r="N3961"/>
        </row>
        <row r="3962">
          <cell r="L3962">
            <v>100</v>
          </cell>
          <cell r="N3962"/>
        </row>
        <row r="3963">
          <cell r="L3963">
            <v>100</v>
          </cell>
          <cell r="N3963"/>
        </row>
        <row r="3964">
          <cell r="L3964">
            <v>100</v>
          </cell>
          <cell r="N3964"/>
        </row>
        <row r="3965">
          <cell r="L3965">
            <v>100</v>
          </cell>
          <cell r="N3965"/>
        </row>
        <row r="3966">
          <cell r="L3966">
            <v>100</v>
          </cell>
          <cell r="N3966"/>
        </row>
        <row r="3967">
          <cell r="L3967">
            <v>100</v>
          </cell>
          <cell r="N3967"/>
        </row>
        <row r="3968">
          <cell r="L3968">
            <v>100</v>
          </cell>
          <cell r="N3968"/>
        </row>
        <row r="3969">
          <cell r="L3969">
            <v>100</v>
          </cell>
          <cell r="N3969"/>
        </row>
        <row r="3970">
          <cell r="L3970">
            <v>100</v>
          </cell>
          <cell r="N3970"/>
        </row>
        <row r="3971">
          <cell r="L3971">
            <v>100</v>
          </cell>
          <cell r="N3971">
            <v>44940</v>
          </cell>
        </row>
        <row r="3972">
          <cell r="L3972">
            <v>100</v>
          </cell>
          <cell r="N3972">
            <v>44940</v>
          </cell>
        </row>
        <row r="3973">
          <cell r="L3973">
            <v>100</v>
          </cell>
          <cell r="N3973">
            <v>44940</v>
          </cell>
        </row>
        <row r="3974">
          <cell r="L3974">
            <v>100</v>
          </cell>
          <cell r="N3974">
            <v>44940</v>
          </cell>
        </row>
        <row r="3975">
          <cell r="L3975">
            <v>100</v>
          </cell>
          <cell r="N3975">
            <v>44940</v>
          </cell>
        </row>
        <row r="3976">
          <cell r="L3976">
            <v>100</v>
          </cell>
          <cell r="N3976">
            <v>44940</v>
          </cell>
        </row>
        <row r="3977">
          <cell r="L3977">
            <v>100</v>
          </cell>
          <cell r="N3977"/>
        </row>
        <row r="3978">
          <cell r="L3978">
            <v>100</v>
          </cell>
          <cell r="N3978">
            <v>44940</v>
          </cell>
        </row>
        <row r="3979">
          <cell r="L3979">
            <v>100</v>
          </cell>
          <cell r="N3979">
            <v>44940</v>
          </cell>
        </row>
        <row r="3980">
          <cell r="L3980">
            <v>100</v>
          </cell>
          <cell r="N3980">
            <v>44940</v>
          </cell>
        </row>
        <row r="3981">
          <cell r="L3981">
            <v>100</v>
          </cell>
          <cell r="N3981">
            <v>44940</v>
          </cell>
        </row>
        <row r="3982">
          <cell r="L3982">
            <v>100</v>
          </cell>
          <cell r="N3982">
            <v>44940</v>
          </cell>
        </row>
        <row r="3983">
          <cell r="L3983">
            <v>100</v>
          </cell>
          <cell r="N3983">
            <v>44940</v>
          </cell>
        </row>
        <row r="3984">
          <cell r="L3984">
            <v>100</v>
          </cell>
          <cell r="N3984"/>
        </row>
        <row r="3985">
          <cell r="L3985">
            <v>100</v>
          </cell>
          <cell r="N3985">
            <v>44940</v>
          </cell>
        </row>
        <row r="3986">
          <cell r="L3986">
            <v>100</v>
          </cell>
          <cell r="N3986">
            <v>44940</v>
          </cell>
        </row>
        <row r="3987">
          <cell r="L3987">
            <v>100</v>
          </cell>
          <cell r="N3987">
            <v>44940</v>
          </cell>
        </row>
        <row r="3988">
          <cell r="L3988">
            <v>100</v>
          </cell>
          <cell r="N3988">
            <v>44823</v>
          </cell>
        </row>
        <row r="3989">
          <cell r="L3989">
            <v>100</v>
          </cell>
          <cell r="N3989">
            <v>44823</v>
          </cell>
        </row>
        <row r="3990">
          <cell r="L3990">
            <v>100</v>
          </cell>
          <cell r="N3990">
            <v>44823</v>
          </cell>
        </row>
        <row r="3991">
          <cell r="L3991">
            <v>100</v>
          </cell>
          <cell r="N3991">
            <v>44837</v>
          </cell>
        </row>
        <row r="3992">
          <cell r="L3992">
            <v>100</v>
          </cell>
          <cell r="N3992">
            <v>44837</v>
          </cell>
        </row>
        <row r="3993">
          <cell r="L3993">
            <v>100</v>
          </cell>
          <cell r="N3993">
            <v>44837</v>
          </cell>
        </row>
        <row r="3994">
          <cell r="L3994">
            <v>100</v>
          </cell>
          <cell r="N3994">
            <v>44831</v>
          </cell>
        </row>
        <row r="3995">
          <cell r="L3995">
            <v>100</v>
          </cell>
          <cell r="N3995">
            <v>44831</v>
          </cell>
        </row>
        <row r="3996">
          <cell r="L3996">
            <v>100</v>
          </cell>
          <cell r="N3996">
            <v>44831</v>
          </cell>
        </row>
        <row r="3997">
          <cell r="L3997">
            <v>100</v>
          </cell>
          <cell r="N3997">
            <v>44712</v>
          </cell>
        </row>
        <row r="3998">
          <cell r="L3998">
            <v>100</v>
          </cell>
          <cell r="N3998"/>
        </row>
        <row r="3999">
          <cell r="L3999">
            <v>100</v>
          </cell>
          <cell r="N3999"/>
        </row>
        <row r="4000">
          <cell r="L4000">
            <v>100</v>
          </cell>
          <cell r="N4000">
            <v>44764</v>
          </cell>
        </row>
        <row r="4001">
          <cell r="L4001">
            <v>100</v>
          </cell>
          <cell r="N4001">
            <v>44767</v>
          </cell>
        </row>
        <row r="4002">
          <cell r="L4002">
            <v>100</v>
          </cell>
          <cell r="N4002">
            <v>44764</v>
          </cell>
        </row>
        <row r="4003">
          <cell r="L4003">
            <v>100</v>
          </cell>
          <cell r="N4003">
            <v>44767</v>
          </cell>
        </row>
        <row r="4004">
          <cell r="L4004">
            <v>100</v>
          </cell>
          <cell r="N4004">
            <v>44940</v>
          </cell>
        </row>
        <row r="4005">
          <cell r="L4005">
            <v>100</v>
          </cell>
          <cell r="N4005">
            <v>44940</v>
          </cell>
        </row>
        <row r="4006">
          <cell r="L4006">
            <v>100</v>
          </cell>
          <cell r="N4006">
            <v>44940</v>
          </cell>
        </row>
        <row r="4007">
          <cell r="L4007">
            <v>100</v>
          </cell>
          <cell r="N4007">
            <v>44726</v>
          </cell>
        </row>
        <row r="4008">
          <cell r="L4008">
            <v>100</v>
          </cell>
          <cell r="N4008">
            <v>44726</v>
          </cell>
        </row>
        <row r="4009">
          <cell r="L4009">
            <v>100</v>
          </cell>
          <cell r="N4009">
            <v>44726</v>
          </cell>
        </row>
        <row r="4010">
          <cell r="L4010">
            <v>100</v>
          </cell>
          <cell r="N4010">
            <v>44726</v>
          </cell>
        </row>
        <row r="4011">
          <cell r="L4011">
            <v>100</v>
          </cell>
          <cell r="N4011">
            <v>44726</v>
          </cell>
        </row>
        <row r="4012">
          <cell r="L4012">
            <v>100</v>
          </cell>
          <cell r="N4012">
            <v>44726</v>
          </cell>
        </row>
        <row r="4013">
          <cell r="L4013">
            <v>100</v>
          </cell>
          <cell r="N4013">
            <v>44726</v>
          </cell>
        </row>
        <row r="4014">
          <cell r="L4014">
            <v>100</v>
          </cell>
          <cell r="N4014">
            <v>44726</v>
          </cell>
        </row>
        <row r="4015">
          <cell r="L4015">
            <v>100</v>
          </cell>
          <cell r="N4015">
            <v>44726</v>
          </cell>
        </row>
        <row r="4016">
          <cell r="L4016">
            <v>100</v>
          </cell>
          <cell r="N4016">
            <v>44932</v>
          </cell>
        </row>
        <row r="4017">
          <cell r="L4017">
            <v>100</v>
          </cell>
          <cell r="N4017">
            <v>44940</v>
          </cell>
        </row>
        <row r="4018">
          <cell r="L4018">
            <v>100</v>
          </cell>
          <cell r="N4018">
            <v>44940</v>
          </cell>
        </row>
        <row r="4019">
          <cell r="L4019">
            <v>100</v>
          </cell>
          <cell r="N4019">
            <v>44988</v>
          </cell>
        </row>
        <row r="4020">
          <cell r="L4020">
            <v>100</v>
          </cell>
          <cell r="N4020">
            <v>44932</v>
          </cell>
        </row>
        <row r="4021">
          <cell r="L4021">
            <v>100</v>
          </cell>
          <cell r="N4021">
            <v>44932</v>
          </cell>
        </row>
        <row r="4022">
          <cell r="L4022">
            <v>100</v>
          </cell>
          <cell r="N4022">
            <v>44932</v>
          </cell>
        </row>
        <row r="4023">
          <cell r="L4023">
            <v>100</v>
          </cell>
          <cell r="N4023"/>
        </row>
        <row r="4024">
          <cell r="L4024">
            <v>100</v>
          </cell>
          <cell r="N4024">
            <v>44932</v>
          </cell>
        </row>
        <row r="4025">
          <cell r="L4025">
            <v>100</v>
          </cell>
          <cell r="N4025">
            <v>44932</v>
          </cell>
        </row>
        <row r="4026">
          <cell r="L4026">
            <v>100</v>
          </cell>
          <cell r="N4026">
            <v>44932</v>
          </cell>
        </row>
        <row r="4027">
          <cell r="L4027">
            <v>100</v>
          </cell>
          <cell r="N4027">
            <v>44932</v>
          </cell>
        </row>
        <row r="4028">
          <cell r="L4028">
            <v>100</v>
          </cell>
          <cell r="N4028">
            <v>44909</v>
          </cell>
        </row>
        <row r="4029">
          <cell r="L4029">
            <v>100</v>
          </cell>
          <cell r="N4029">
            <v>44909</v>
          </cell>
        </row>
        <row r="4030">
          <cell r="L4030">
            <v>100</v>
          </cell>
          <cell r="N4030">
            <v>44909</v>
          </cell>
        </row>
        <row r="4031">
          <cell r="L4031">
            <v>100</v>
          </cell>
          <cell r="N4031">
            <v>44985</v>
          </cell>
        </row>
        <row r="4032">
          <cell r="L4032">
            <v>100</v>
          </cell>
          <cell r="N4032">
            <v>44936</v>
          </cell>
        </row>
        <row r="4033">
          <cell r="L4033">
            <v>100</v>
          </cell>
          <cell r="N4033">
            <v>44929</v>
          </cell>
        </row>
        <row r="4034">
          <cell r="L4034">
            <v>100</v>
          </cell>
          <cell r="N4034">
            <v>44985</v>
          </cell>
        </row>
        <row r="4035">
          <cell r="L4035">
            <v>100</v>
          </cell>
          <cell r="N4035">
            <v>44940</v>
          </cell>
        </row>
        <row r="4036">
          <cell r="L4036">
            <v>100</v>
          </cell>
          <cell r="N4036">
            <v>44940</v>
          </cell>
        </row>
        <row r="4037">
          <cell r="L4037">
            <v>100</v>
          </cell>
          <cell r="N4037">
            <v>44940</v>
          </cell>
        </row>
        <row r="4038">
          <cell r="L4038">
            <v>100</v>
          </cell>
          <cell r="N4038">
            <v>44937</v>
          </cell>
        </row>
        <row r="4039">
          <cell r="L4039">
            <v>100</v>
          </cell>
          <cell r="N4039">
            <v>44937</v>
          </cell>
        </row>
        <row r="4040">
          <cell r="L4040">
            <v>100</v>
          </cell>
          <cell r="N4040">
            <v>44904</v>
          </cell>
        </row>
        <row r="4041">
          <cell r="L4041">
            <v>100</v>
          </cell>
          <cell r="N4041"/>
        </row>
        <row r="4042">
          <cell r="L4042">
            <v>100</v>
          </cell>
          <cell r="N4042"/>
        </row>
        <row r="4043">
          <cell r="L4043">
            <v>100</v>
          </cell>
          <cell r="N4043"/>
        </row>
        <row r="4044">
          <cell r="L4044">
            <v>100</v>
          </cell>
          <cell r="N4044">
            <v>44940</v>
          </cell>
        </row>
        <row r="4045">
          <cell r="L4045">
            <v>100</v>
          </cell>
          <cell r="N4045">
            <v>44931</v>
          </cell>
        </row>
        <row r="4046">
          <cell r="L4046">
            <v>100</v>
          </cell>
          <cell r="N4046">
            <v>44931</v>
          </cell>
        </row>
        <row r="4047">
          <cell r="L4047">
            <v>100</v>
          </cell>
          <cell r="N4047">
            <v>44940</v>
          </cell>
        </row>
        <row r="4048">
          <cell r="L4048">
            <v>100</v>
          </cell>
          <cell r="N4048">
            <v>44940</v>
          </cell>
        </row>
        <row r="4049">
          <cell r="L4049">
            <v>100</v>
          </cell>
          <cell r="N4049"/>
        </row>
        <row r="4050">
          <cell r="L4050">
            <v>100</v>
          </cell>
          <cell r="N4050">
            <v>44925</v>
          </cell>
        </row>
        <row r="4051">
          <cell r="L4051">
            <v>100</v>
          </cell>
          <cell r="N4051">
            <v>44925</v>
          </cell>
        </row>
        <row r="4052">
          <cell r="L4052">
            <v>100</v>
          </cell>
          <cell r="N4052">
            <v>44757</v>
          </cell>
        </row>
        <row r="4053">
          <cell r="L4053">
            <v>100</v>
          </cell>
          <cell r="N4053">
            <v>44988</v>
          </cell>
        </row>
        <row r="4054">
          <cell r="L4054">
            <v>100</v>
          </cell>
          <cell r="N4054">
            <v>44988</v>
          </cell>
        </row>
        <row r="4055">
          <cell r="L4055">
            <v>100</v>
          </cell>
          <cell r="N4055">
            <v>44905</v>
          </cell>
        </row>
        <row r="4056">
          <cell r="L4056">
            <v>100</v>
          </cell>
          <cell r="N4056">
            <v>44905</v>
          </cell>
        </row>
        <row r="4057">
          <cell r="L4057">
            <v>100</v>
          </cell>
          <cell r="N4057">
            <v>44926</v>
          </cell>
        </row>
        <row r="4058">
          <cell r="L4058">
            <v>100</v>
          </cell>
          <cell r="N4058">
            <v>44926</v>
          </cell>
        </row>
        <row r="4059">
          <cell r="L4059">
            <v>100</v>
          </cell>
          <cell r="N4059">
            <v>44926</v>
          </cell>
        </row>
        <row r="4060">
          <cell r="L4060">
            <v>100</v>
          </cell>
          <cell r="N4060">
            <v>44926</v>
          </cell>
        </row>
        <row r="4061">
          <cell r="L4061">
            <v>100</v>
          </cell>
          <cell r="N4061">
            <v>44926</v>
          </cell>
        </row>
        <row r="4062">
          <cell r="L4062">
            <v>100</v>
          </cell>
          <cell r="N4062">
            <v>44905</v>
          </cell>
        </row>
        <row r="4063">
          <cell r="L4063">
            <v>100</v>
          </cell>
          <cell r="N4063">
            <v>44926</v>
          </cell>
        </row>
        <row r="4064">
          <cell r="L4064">
            <v>100</v>
          </cell>
          <cell r="N4064">
            <v>44926</v>
          </cell>
        </row>
        <row r="4065">
          <cell r="L4065">
            <v>100</v>
          </cell>
          <cell r="N4065">
            <v>44926</v>
          </cell>
        </row>
        <row r="4066">
          <cell r="L4066">
            <v>100</v>
          </cell>
          <cell r="N4066"/>
        </row>
        <row r="4067">
          <cell r="L4067">
            <v>100</v>
          </cell>
          <cell r="N4067">
            <v>44988</v>
          </cell>
        </row>
        <row r="4068">
          <cell r="L4068">
            <v>100</v>
          </cell>
          <cell r="N4068"/>
        </row>
        <row r="4069">
          <cell r="L4069">
            <v>100</v>
          </cell>
          <cell r="N4069">
            <v>44932</v>
          </cell>
        </row>
        <row r="4070">
          <cell r="L4070">
            <v>100</v>
          </cell>
          <cell r="N4070">
            <v>44932</v>
          </cell>
        </row>
        <row r="4071">
          <cell r="L4071">
            <v>100</v>
          </cell>
          <cell r="N4071">
            <v>44925</v>
          </cell>
        </row>
        <row r="4072">
          <cell r="L4072">
            <v>100</v>
          </cell>
          <cell r="N4072">
            <v>44896</v>
          </cell>
        </row>
        <row r="4073">
          <cell r="L4073">
            <v>100</v>
          </cell>
          <cell r="N4073">
            <v>44896</v>
          </cell>
        </row>
        <row r="4074">
          <cell r="L4074">
            <v>100</v>
          </cell>
          <cell r="N4074">
            <v>44896</v>
          </cell>
        </row>
        <row r="4075">
          <cell r="L4075">
            <v>100</v>
          </cell>
          <cell r="N4075">
            <v>44896</v>
          </cell>
        </row>
        <row r="4076">
          <cell r="L4076">
            <v>100</v>
          </cell>
          <cell r="N4076">
            <v>44903</v>
          </cell>
        </row>
        <row r="4077">
          <cell r="L4077">
            <v>100</v>
          </cell>
          <cell r="N4077">
            <v>44903</v>
          </cell>
        </row>
        <row r="4078">
          <cell r="L4078">
            <v>100</v>
          </cell>
          <cell r="N4078">
            <v>44903</v>
          </cell>
        </row>
        <row r="4079">
          <cell r="L4079">
            <v>100</v>
          </cell>
          <cell r="N4079">
            <v>44903</v>
          </cell>
        </row>
        <row r="4080">
          <cell r="L4080">
            <v>100</v>
          </cell>
          <cell r="N4080"/>
        </row>
        <row r="4081">
          <cell r="L4081">
            <v>100</v>
          </cell>
          <cell r="N4081"/>
        </row>
        <row r="4082">
          <cell r="L4082">
            <v>100</v>
          </cell>
          <cell r="N4082">
            <v>44832</v>
          </cell>
        </row>
        <row r="4083">
          <cell r="L4083">
            <v>100</v>
          </cell>
          <cell r="N4083">
            <v>44832</v>
          </cell>
        </row>
        <row r="4084">
          <cell r="L4084">
            <v>100</v>
          </cell>
          <cell r="N4084">
            <v>44832</v>
          </cell>
        </row>
        <row r="4085">
          <cell r="L4085">
            <v>100</v>
          </cell>
          <cell r="N4085">
            <v>44832</v>
          </cell>
        </row>
        <row r="4086">
          <cell r="L4086">
            <v>100</v>
          </cell>
          <cell r="N4086">
            <v>44832</v>
          </cell>
        </row>
        <row r="4087">
          <cell r="L4087">
            <v>100</v>
          </cell>
          <cell r="N4087">
            <v>44893</v>
          </cell>
        </row>
        <row r="4088">
          <cell r="L4088">
            <v>100</v>
          </cell>
          <cell r="N4088">
            <v>44972</v>
          </cell>
        </row>
        <row r="4089">
          <cell r="L4089">
            <v>100</v>
          </cell>
          <cell r="N4089">
            <v>44972</v>
          </cell>
        </row>
        <row r="4090">
          <cell r="L4090">
            <v>100</v>
          </cell>
          <cell r="N4090">
            <v>44972</v>
          </cell>
        </row>
        <row r="4091">
          <cell r="L4091">
            <v>100</v>
          </cell>
          <cell r="N4091">
            <v>44972</v>
          </cell>
        </row>
        <row r="4092">
          <cell r="L4092">
            <v>100</v>
          </cell>
          <cell r="N4092">
            <v>44925</v>
          </cell>
        </row>
        <row r="4093">
          <cell r="L4093">
            <v>100</v>
          </cell>
          <cell r="N4093">
            <v>44972</v>
          </cell>
        </row>
        <row r="4094">
          <cell r="L4094">
            <v>100</v>
          </cell>
          <cell r="N4094">
            <v>44972</v>
          </cell>
        </row>
        <row r="4095">
          <cell r="L4095">
            <v>100</v>
          </cell>
          <cell r="N4095">
            <v>44972</v>
          </cell>
        </row>
        <row r="4096">
          <cell r="L4096">
            <v>100</v>
          </cell>
          <cell r="N4096">
            <v>44972</v>
          </cell>
        </row>
        <row r="4097">
          <cell r="L4097">
            <v>100</v>
          </cell>
          <cell r="N4097">
            <v>44972</v>
          </cell>
        </row>
        <row r="4098">
          <cell r="L4098">
            <v>100</v>
          </cell>
          <cell r="N4098">
            <v>44972</v>
          </cell>
        </row>
        <row r="4099">
          <cell r="L4099">
            <v>100</v>
          </cell>
          <cell r="N4099">
            <v>44972</v>
          </cell>
        </row>
        <row r="4100">
          <cell r="L4100">
            <v>100</v>
          </cell>
          <cell r="N4100">
            <v>44972</v>
          </cell>
        </row>
        <row r="4101">
          <cell r="L4101">
            <v>100</v>
          </cell>
          <cell r="N4101">
            <v>44972</v>
          </cell>
        </row>
        <row r="4102">
          <cell r="L4102">
            <v>100</v>
          </cell>
          <cell r="N4102">
            <v>44972</v>
          </cell>
        </row>
        <row r="4103">
          <cell r="L4103">
            <v>100</v>
          </cell>
          <cell r="N4103">
            <v>44972</v>
          </cell>
        </row>
        <row r="4104">
          <cell r="L4104">
            <v>100</v>
          </cell>
          <cell r="N4104">
            <v>44972</v>
          </cell>
        </row>
        <row r="4105">
          <cell r="L4105">
            <v>100</v>
          </cell>
          <cell r="N4105">
            <v>44972</v>
          </cell>
        </row>
        <row r="4106">
          <cell r="L4106">
            <v>100</v>
          </cell>
          <cell r="N4106">
            <v>44972</v>
          </cell>
        </row>
        <row r="4107">
          <cell r="L4107">
            <v>100</v>
          </cell>
          <cell r="N4107">
            <v>44972</v>
          </cell>
        </row>
        <row r="4108">
          <cell r="L4108">
            <v>100</v>
          </cell>
          <cell r="N4108">
            <v>44972</v>
          </cell>
        </row>
        <row r="4109">
          <cell r="L4109">
            <v>100</v>
          </cell>
          <cell r="N4109">
            <v>44972</v>
          </cell>
        </row>
        <row r="4110">
          <cell r="L4110">
            <v>100</v>
          </cell>
          <cell r="N4110">
            <v>44972</v>
          </cell>
        </row>
        <row r="4111">
          <cell r="L4111">
            <v>100</v>
          </cell>
          <cell r="N4111">
            <v>44925</v>
          </cell>
        </row>
        <row r="4112">
          <cell r="L4112">
            <v>100</v>
          </cell>
          <cell r="N4112">
            <v>44925</v>
          </cell>
        </row>
        <row r="4113">
          <cell r="L4113">
            <v>100</v>
          </cell>
          <cell r="N4113">
            <v>44925</v>
          </cell>
        </row>
        <row r="4114">
          <cell r="L4114">
            <v>100</v>
          </cell>
          <cell r="N4114">
            <v>44925</v>
          </cell>
        </row>
        <row r="4115">
          <cell r="L4115">
            <v>100</v>
          </cell>
          <cell r="N4115">
            <v>44925</v>
          </cell>
        </row>
        <row r="4116">
          <cell r="L4116">
            <v>100</v>
          </cell>
          <cell r="N4116">
            <v>44925</v>
          </cell>
        </row>
        <row r="4117">
          <cell r="L4117">
            <v>100</v>
          </cell>
          <cell r="N4117">
            <v>44925</v>
          </cell>
        </row>
        <row r="4118">
          <cell r="L4118">
            <v>100</v>
          </cell>
          <cell r="N4118">
            <v>44925</v>
          </cell>
        </row>
        <row r="4119">
          <cell r="L4119">
            <v>100</v>
          </cell>
          <cell r="N4119">
            <v>44925</v>
          </cell>
        </row>
        <row r="4120">
          <cell r="L4120">
            <v>100</v>
          </cell>
          <cell r="N4120">
            <v>44925</v>
          </cell>
        </row>
        <row r="4121">
          <cell r="L4121">
            <v>100</v>
          </cell>
          <cell r="N4121">
            <v>44925</v>
          </cell>
        </row>
        <row r="4122">
          <cell r="L4122">
            <v>100</v>
          </cell>
          <cell r="N4122">
            <v>44728</v>
          </cell>
        </row>
        <row r="4123">
          <cell r="L4123">
            <v>100</v>
          </cell>
          <cell r="N4123">
            <v>44728</v>
          </cell>
        </row>
        <row r="4124">
          <cell r="L4124">
            <v>100</v>
          </cell>
          <cell r="N4124">
            <v>44933</v>
          </cell>
        </row>
        <row r="4125">
          <cell r="L4125">
            <v>100</v>
          </cell>
          <cell r="N4125">
            <v>44634</v>
          </cell>
        </row>
        <row r="4126">
          <cell r="L4126">
            <v>100</v>
          </cell>
          <cell r="N4126">
            <v>44634</v>
          </cell>
        </row>
        <row r="4127">
          <cell r="L4127">
            <v>100</v>
          </cell>
          <cell r="N4127">
            <v>44644</v>
          </cell>
        </row>
        <row r="4128">
          <cell r="L4128">
            <v>100</v>
          </cell>
          <cell r="N4128">
            <v>44644</v>
          </cell>
        </row>
        <row r="4129">
          <cell r="L4129">
            <v>100</v>
          </cell>
          <cell r="N4129">
            <v>44933</v>
          </cell>
        </row>
        <row r="4130">
          <cell r="L4130">
            <v>100</v>
          </cell>
          <cell r="N4130">
            <v>44933</v>
          </cell>
        </row>
        <row r="4131">
          <cell r="L4131">
            <v>100</v>
          </cell>
          <cell r="N4131">
            <v>44933</v>
          </cell>
        </row>
        <row r="4132">
          <cell r="L4132">
            <v>100</v>
          </cell>
          <cell r="N4132">
            <v>44933</v>
          </cell>
        </row>
        <row r="4133">
          <cell r="L4133">
            <v>100</v>
          </cell>
          <cell r="N4133">
            <v>44933</v>
          </cell>
        </row>
        <row r="4134">
          <cell r="L4134">
            <v>100</v>
          </cell>
          <cell r="N4134">
            <v>44933</v>
          </cell>
        </row>
        <row r="4135">
          <cell r="L4135">
            <v>100</v>
          </cell>
          <cell r="N4135">
            <v>44933</v>
          </cell>
        </row>
        <row r="4136">
          <cell r="L4136">
            <v>100</v>
          </cell>
          <cell r="N4136">
            <v>44933</v>
          </cell>
        </row>
        <row r="4137">
          <cell r="L4137">
            <v>100</v>
          </cell>
          <cell r="N4137">
            <v>44933</v>
          </cell>
        </row>
        <row r="4138">
          <cell r="L4138">
            <v>100</v>
          </cell>
          <cell r="N4138">
            <v>44933</v>
          </cell>
        </row>
        <row r="4139">
          <cell r="L4139">
            <v>100</v>
          </cell>
          <cell r="N4139">
            <v>44925</v>
          </cell>
        </row>
        <row r="4140">
          <cell r="L4140">
            <v>100</v>
          </cell>
          <cell r="N4140">
            <v>44925</v>
          </cell>
        </row>
        <row r="4141">
          <cell r="L4141">
            <v>100</v>
          </cell>
          <cell r="N4141">
            <v>44925</v>
          </cell>
        </row>
        <row r="4142">
          <cell r="L4142">
            <v>100</v>
          </cell>
          <cell r="N4142">
            <v>44925</v>
          </cell>
        </row>
        <row r="4143">
          <cell r="L4143">
            <v>100</v>
          </cell>
          <cell r="N4143">
            <v>44925</v>
          </cell>
        </row>
        <row r="4144">
          <cell r="L4144">
            <v>100</v>
          </cell>
          <cell r="N4144"/>
        </row>
        <row r="4145">
          <cell r="L4145">
            <v>100</v>
          </cell>
          <cell r="N4145"/>
        </row>
        <row r="4146">
          <cell r="L4146">
            <v>100</v>
          </cell>
          <cell r="N4146"/>
        </row>
        <row r="4147">
          <cell r="L4147">
            <v>100</v>
          </cell>
          <cell r="N4147">
            <v>44925</v>
          </cell>
        </row>
        <row r="4148">
          <cell r="L4148">
            <v>100</v>
          </cell>
          <cell r="N4148">
            <v>44925</v>
          </cell>
        </row>
        <row r="4149">
          <cell r="L4149">
            <v>100</v>
          </cell>
          <cell r="N4149">
            <v>44972</v>
          </cell>
        </row>
        <row r="4150">
          <cell r="L4150">
            <v>100</v>
          </cell>
          <cell r="N4150">
            <v>44972</v>
          </cell>
        </row>
        <row r="4151">
          <cell r="L4151">
            <v>100</v>
          </cell>
          <cell r="N4151">
            <v>44972</v>
          </cell>
        </row>
        <row r="4152">
          <cell r="L4152">
            <v>100</v>
          </cell>
          <cell r="N4152">
            <v>44972</v>
          </cell>
        </row>
        <row r="4153">
          <cell r="L4153">
            <v>100</v>
          </cell>
          <cell r="N4153">
            <v>44972</v>
          </cell>
        </row>
        <row r="4154">
          <cell r="L4154">
            <v>100</v>
          </cell>
          <cell r="N4154">
            <v>44972</v>
          </cell>
        </row>
        <row r="4155">
          <cell r="L4155">
            <v>100</v>
          </cell>
          <cell r="N4155">
            <v>44972</v>
          </cell>
        </row>
        <row r="4156">
          <cell r="L4156">
            <v>100</v>
          </cell>
          <cell r="N4156">
            <v>44972</v>
          </cell>
        </row>
        <row r="4157">
          <cell r="L4157">
            <v>100</v>
          </cell>
          <cell r="N4157">
            <v>44925</v>
          </cell>
        </row>
        <row r="4158">
          <cell r="L4158">
            <v>100</v>
          </cell>
          <cell r="N4158">
            <v>44739</v>
          </cell>
        </row>
        <row r="4159">
          <cell r="L4159">
            <v>100</v>
          </cell>
          <cell r="N4159">
            <v>44739</v>
          </cell>
        </row>
        <row r="4160">
          <cell r="L4160">
            <v>100</v>
          </cell>
          <cell r="N4160">
            <v>44739</v>
          </cell>
        </row>
        <row r="4161">
          <cell r="L4161">
            <v>100</v>
          </cell>
          <cell r="N4161">
            <v>44972</v>
          </cell>
        </row>
        <row r="4162">
          <cell r="L4162">
            <v>100</v>
          </cell>
          <cell r="N4162">
            <v>44965</v>
          </cell>
        </row>
        <row r="4163">
          <cell r="L4163">
            <v>100</v>
          </cell>
          <cell r="N4163">
            <v>44965</v>
          </cell>
        </row>
        <row r="4164">
          <cell r="L4164">
            <v>100</v>
          </cell>
          <cell r="N4164">
            <v>44965</v>
          </cell>
        </row>
        <row r="4165">
          <cell r="L4165">
            <v>100</v>
          </cell>
          <cell r="N4165">
            <v>44965</v>
          </cell>
        </row>
        <row r="4166">
          <cell r="L4166">
            <v>100</v>
          </cell>
          <cell r="N4166">
            <v>44965</v>
          </cell>
        </row>
        <row r="4167">
          <cell r="L4167">
            <v>100</v>
          </cell>
          <cell r="N4167">
            <v>44965</v>
          </cell>
        </row>
        <row r="4168">
          <cell r="L4168">
            <v>100</v>
          </cell>
          <cell r="N4168">
            <v>44956</v>
          </cell>
        </row>
        <row r="4169">
          <cell r="L4169">
            <v>100</v>
          </cell>
          <cell r="N4169">
            <v>44956</v>
          </cell>
        </row>
        <row r="4170">
          <cell r="L4170">
            <v>100</v>
          </cell>
          <cell r="N4170">
            <v>44956</v>
          </cell>
        </row>
        <row r="4171">
          <cell r="L4171">
            <v>100</v>
          </cell>
          <cell r="N4171">
            <v>44956</v>
          </cell>
        </row>
        <row r="4172">
          <cell r="L4172">
            <v>100</v>
          </cell>
          <cell r="N4172">
            <v>44956</v>
          </cell>
        </row>
        <row r="4173">
          <cell r="L4173">
            <v>100</v>
          </cell>
          <cell r="N4173">
            <v>44936</v>
          </cell>
        </row>
        <row r="4174">
          <cell r="L4174">
            <v>100</v>
          </cell>
          <cell r="N4174">
            <v>44936</v>
          </cell>
        </row>
        <row r="4175">
          <cell r="L4175">
            <v>100</v>
          </cell>
          <cell r="N4175">
            <v>44965</v>
          </cell>
        </row>
        <row r="4176">
          <cell r="L4176">
            <v>100</v>
          </cell>
          <cell r="N4176">
            <v>44965</v>
          </cell>
        </row>
        <row r="4177">
          <cell r="L4177">
            <v>100</v>
          </cell>
          <cell r="N4177">
            <v>44965</v>
          </cell>
        </row>
        <row r="4178">
          <cell r="L4178">
            <v>100</v>
          </cell>
          <cell r="N4178">
            <v>44911</v>
          </cell>
        </row>
        <row r="4179">
          <cell r="L4179">
            <v>100</v>
          </cell>
          <cell r="N4179">
            <v>44911</v>
          </cell>
        </row>
        <row r="4180">
          <cell r="L4180">
            <v>100</v>
          </cell>
          <cell r="N4180">
            <v>44911</v>
          </cell>
        </row>
        <row r="4181">
          <cell r="L4181">
            <v>100</v>
          </cell>
          <cell r="N4181">
            <v>44908</v>
          </cell>
        </row>
        <row r="4182">
          <cell r="L4182">
            <v>100</v>
          </cell>
          <cell r="N4182">
            <v>44957</v>
          </cell>
        </row>
        <row r="4183">
          <cell r="L4183">
            <v>100</v>
          </cell>
          <cell r="N4183">
            <v>44957</v>
          </cell>
        </row>
        <row r="4184">
          <cell r="L4184">
            <v>100</v>
          </cell>
          <cell r="N4184">
            <v>44957</v>
          </cell>
        </row>
        <row r="4185">
          <cell r="L4185">
            <v>100</v>
          </cell>
          <cell r="N4185">
            <v>44908</v>
          </cell>
        </row>
        <row r="4186">
          <cell r="L4186">
            <v>100</v>
          </cell>
          <cell r="N4186">
            <v>44908</v>
          </cell>
        </row>
        <row r="4187">
          <cell r="L4187">
            <v>100</v>
          </cell>
          <cell r="N4187">
            <v>44908</v>
          </cell>
        </row>
        <row r="4188">
          <cell r="L4188">
            <v>100</v>
          </cell>
          <cell r="N4188">
            <v>44931</v>
          </cell>
        </row>
        <row r="4189">
          <cell r="L4189">
            <v>100</v>
          </cell>
          <cell r="N4189">
            <v>44931</v>
          </cell>
        </row>
        <row r="4190">
          <cell r="L4190">
            <v>100</v>
          </cell>
          <cell r="N4190">
            <v>44931</v>
          </cell>
        </row>
        <row r="4191">
          <cell r="L4191">
            <v>100</v>
          </cell>
          <cell r="N4191">
            <v>44957</v>
          </cell>
        </row>
        <row r="4192">
          <cell r="L4192">
            <v>100</v>
          </cell>
          <cell r="N4192">
            <v>44957</v>
          </cell>
        </row>
        <row r="4193">
          <cell r="L4193">
            <v>100</v>
          </cell>
          <cell r="N4193">
            <v>44957</v>
          </cell>
        </row>
        <row r="4194">
          <cell r="L4194">
            <v>100</v>
          </cell>
          <cell r="N4194">
            <v>44957</v>
          </cell>
        </row>
        <row r="4195">
          <cell r="L4195">
            <v>100</v>
          </cell>
          <cell r="N4195">
            <v>44957</v>
          </cell>
        </row>
        <row r="4196">
          <cell r="L4196">
            <v>100</v>
          </cell>
          <cell r="N4196">
            <v>44957</v>
          </cell>
        </row>
        <row r="4197">
          <cell r="L4197">
            <v>100</v>
          </cell>
          <cell r="N4197">
            <v>44957</v>
          </cell>
        </row>
        <row r="4198">
          <cell r="L4198">
            <v>100</v>
          </cell>
          <cell r="N4198">
            <v>44957</v>
          </cell>
        </row>
        <row r="4199">
          <cell r="L4199">
            <v>100</v>
          </cell>
          <cell r="N4199">
            <v>44957</v>
          </cell>
        </row>
        <row r="4200">
          <cell r="L4200">
            <v>100</v>
          </cell>
          <cell r="N4200">
            <v>44957</v>
          </cell>
        </row>
        <row r="4201">
          <cell r="L4201">
            <v>100</v>
          </cell>
          <cell r="N4201">
            <v>44957</v>
          </cell>
        </row>
        <row r="4202">
          <cell r="L4202">
            <v>100</v>
          </cell>
          <cell r="N4202"/>
        </row>
        <row r="4203">
          <cell r="L4203">
            <v>100</v>
          </cell>
          <cell r="N4203"/>
        </row>
        <row r="4204">
          <cell r="L4204">
            <v>100</v>
          </cell>
          <cell r="N4204">
            <v>44957</v>
          </cell>
        </row>
        <row r="4205">
          <cell r="L4205">
            <v>100</v>
          </cell>
          <cell r="N4205">
            <v>44957</v>
          </cell>
        </row>
        <row r="4206">
          <cell r="L4206">
            <v>100</v>
          </cell>
          <cell r="N4206">
            <v>44908</v>
          </cell>
        </row>
        <row r="4207">
          <cell r="L4207">
            <v>100</v>
          </cell>
          <cell r="N4207">
            <v>44961</v>
          </cell>
        </row>
        <row r="4208">
          <cell r="L4208">
            <v>100</v>
          </cell>
          <cell r="N4208">
            <v>44956</v>
          </cell>
        </row>
        <row r="4209">
          <cell r="L4209">
            <v>100</v>
          </cell>
          <cell r="N4209">
            <v>44961</v>
          </cell>
        </row>
        <row r="4210">
          <cell r="L4210">
            <v>100</v>
          </cell>
          <cell r="N4210">
            <v>44936</v>
          </cell>
        </row>
        <row r="4211">
          <cell r="L4211">
            <v>100</v>
          </cell>
          <cell r="N4211">
            <v>44961</v>
          </cell>
        </row>
        <row r="4212">
          <cell r="L4212">
            <v>100</v>
          </cell>
          <cell r="N4212">
            <v>44965</v>
          </cell>
        </row>
        <row r="4213">
          <cell r="L4213">
            <v>100</v>
          </cell>
          <cell r="N4213">
            <v>44957</v>
          </cell>
        </row>
        <row r="4214">
          <cell r="L4214">
            <v>100</v>
          </cell>
          <cell r="N4214">
            <v>44961</v>
          </cell>
        </row>
        <row r="4215">
          <cell r="L4215">
            <v>100</v>
          </cell>
          <cell r="N4215">
            <v>44957</v>
          </cell>
        </row>
        <row r="4216">
          <cell r="L4216">
            <v>100</v>
          </cell>
          <cell r="N4216">
            <v>44961</v>
          </cell>
        </row>
        <row r="4217">
          <cell r="L4217">
            <v>100</v>
          </cell>
          <cell r="N4217">
            <v>44961</v>
          </cell>
        </row>
        <row r="4218">
          <cell r="L4218">
            <v>100</v>
          </cell>
          <cell r="N4218">
            <v>44933</v>
          </cell>
        </row>
        <row r="4219">
          <cell r="L4219">
            <v>100</v>
          </cell>
          <cell r="N4219">
            <v>44933</v>
          </cell>
        </row>
        <row r="4220">
          <cell r="L4220">
            <v>100</v>
          </cell>
          <cell r="N4220">
            <v>44933</v>
          </cell>
        </row>
        <row r="4221">
          <cell r="L4221">
            <v>100</v>
          </cell>
          <cell r="N4221">
            <v>44933</v>
          </cell>
        </row>
        <row r="4222">
          <cell r="L4222">
            <v>100</v>
          </cell>
          <cell r="N4222">
            <v>44933</v>
          </cell>
        </row>
        <row r="4223">
          <cell r="L4223">
            <v>100</v>
          </cell>
          <cell r="N4223">
            <v>44933</v>
          </cell>
        </row>
        <row r="4224">
          <cell r="L4224">
            <v>100</v>
          </cell>
          <cell r="N4224">
            <v>44916</v>
          </cell>
        </row>
        <row r="4225">
          <cell r="L4225">
            <v>100</v>
          </cell>
          <cell r="N4225">
            <v>44905</v>
          </cell>
        </row>
        <row r="4226">
          <cell r="L4226">
            <v>100</v>
          </cell>
          <cell r="N4226">
            <v>44904</v>
          </cell>
        </row>
        <row r="4227">
          <cell r="L4227">
            <v>100</v>
          </cell>
          <cell r="N4227">
            <v>44965</v>
          </cell>
        </row>
        <row r="4228">
          <cell r="L4228">
            <v>100</v>
          </cell>
          <cell r="N4228">
            <v>44965</v>
          </cell>
        </row>
        <row r="4229">
          <cell r="L4229">
            <v>100</v>
          </cell>
          <cell r="N4229">
            <v>44965</v>
          </cell>
        </row>
        <row r="4230">
          <cell r="L4230">
            <v>100</v>
          </cell>
          <cell r="N4230">
            <v>44956</v>
          </cell>
        </row>
        <row r="4231">
          <cell r="L4231">
            <v>100</v>
          </cell>
          <cell r="N4231">
            <v>44936</v>
          </cell>
        </row>
        <row r="4232">
          <cell r="L4232">
            <v>100</v>
          </cell>
          <cell r="N4232">
            <v>44965</v>
          </cell>
        </row>
        <row r="4233">
          <cell r="L4233">
            <v>100</v>
          </cell>
          <cell r="N4233">
            <v>44979</v>
          </cell>
        </row>
        <row r="4234">
          <cell r="L4234">
            <v>100</v>
          </cell>
          <cell r="N4234">
            <v>44975</v>
          </cell>
        </row>
        <row r="4235">
          <cell r="L4235">
            <v>100</v>
          </cell>
          <cell r="N4235">
            <v>44961</v>
          </cell>
        </row>
        <row r="4236">
          <cell r="L4236">
            <v>100</v>
          </cell>
          <cell r="N4236">
            <v>44964</v>
          </cell>
        </row>
        <row r="4237">
          <cell r="L4237">
            <v>100</v>
          </cell>
          <cell r="N4237">
            <v>44979</v>
          </cell>
        </row>
        <row r="4238">
          <cell r="L4238">
            <v>100</v>
          </cell>
          <cell r="N4238">
            <v>44979</v>
          </cell>
        </row>
        <row r="4239">
          <cell r="L4239">
            <v>100</v>
          </cell>
          <cell r="N4239">
            <v>44979</v>
          </cell>
        </row>
        <row r="4240">
          <cell r="L4240">
            <v>100</v>
          </cell>
          <cell r="N4240">
            <v>44975</v>
          </cell>
        </row>
        <row r="4241">
          <cell r="L4241">
            <v>100</v>
          </cell>
          <cell r="N4241">
            <v>44993</v>
          </cell>
        </row>
        <row r="4242">
          <cell r="L4242">
            <v>100</v>
          </cell>
          <cell r="N4242">
            <v>44991</v>
          </cell>
        </row>
        <row r="4243">
          <cell r="L4243">
            <v>100</v>
          </cell>
          <cell r="N4243">
            <v>44991</v>
          </cell>
        </row>
        <row r="4244">
          <cell r="L4244">
            <v>100</v>
          </cell>
          <cell r="N4244">
            <v>44985</v>
          </cell>
        </row>
        <row r="4245">
          <cell r="L4245">
            <v>100</v>
          </cell>
          <cell r="N4245">
            <v>44991</v>
          </cell>
        </row>
        <row r="4246">
          <cell r="L4246">
            <v>100</v>
          </cell>
          <cell r="N4246">
            <v>44936</v>
          </cell>
        </row>
        <row r="4247">
          <cell r="L4247">
            <v>100</v>
          </cell>
          <cell r="N4247">
            <v>44993</v>
          </cell>
        </row>
        <row r="4248">
          <cell r="L4248">
            <v>100</v>
          </cell>
          <cell r="N4248">
            <v>44993</v>
          </cell>
        </row>
        <row r="4249">
          <cell r="L4249">
            <v>100</v>
          </cell>
          <cell r="N4249">
            <v>44993</v>
          </cell>
        </row>
        <row r="4250">
          <cell r="L4250">
            <v>100</v>
          </cell>
          <cell r="N4250">
            <v>44993</v>
          </cell>
        </row>
        <row r="4251">
          <cell r="L4251">
            <v>100</v>
          </cell>
          <cell r="N4251">
            <v>44993</v>
          </cell>
        </row>
        <row r="4252">
          <cell r="L4252">
            <v>100</v>
          </cell>
          <cell r="N4252">
            <v>44987</v>
          </cell>
        </row>
        <row r="4253">
          <cell r="L4253">
            <v>100</v>
          </cell>
          <cell r="N4253">
            <v>45000</v>
          </cell>
        </row>
        <row r="4254">
          <cell r="L4254">
            <v>100</v>
          </cell>
          <cell r="N4254">
            <v>45000</v>
          </cell>
        </row>
        <row r="4255">
          <cell r="L4255">
            <v>100</v>
          </cell>
          <cell r="N4255">
            <v>44932</v>
          </cell>
        </row>
        <row r="4256">
          <cell r="L4256">
            <v>100</v>
          </cell>
          <cell r="N4256">
            <v>44932</v>
          </cell>
        </row>
        <row r="4257">
          <cell r="L4257">
            <v>100</v>
          </cell>
          <cell r="N4257">
            <v>44964</v>
          </cell>
        </row>
        <row r="4258">
          <cell r="L4258">
            <v>100</v>
          </cell>
          <cell r="N4258">
            <v>44959</v>
          </cell>
        </row>
        <row r="4259">
          <cell r="L4259">
            <v>100</v>
          </cell>
          <cell r="N4259">
            <v>44942</v>
          </cell>
        </row>
        <row r="4260">
          <cell r="L4260">
            <v>100</v>
          </cell>
          <cell r="N4260">
            <v>44991</v>
          </cell>
        </row>
        <row r="4261">
          <cell r="L4261">
            <v>100</v>
          </cell>
          <cell r="N4261">
            <v>44991</v>
          </cell>
        </row>
        <row r="4262">
          <cell r="L4262">
            <v>100</v>
          </cell>
          <cell r="N4262">
            <v>44991</v>
          </cell>
        </row>
        <row r="4263">
          <cell r="L4263">
            <v>100</v>
          </cell>
          <cell r="N4263">
            <v>44991</v>
          </cell>
        </row>
        <row r="4264">
          <cell r="L4264">
            <v>100</v>
          </cell>
          <cell r="N4264">
            <v>44991</v>
          </cell>
        </row>
        <row r="4265">
          <cell r="L4265">
            <v>100</v>
          </cell>
          <cell r="N4265">
            <v>44937</v>
          </cell>
        </row>
        <row r="4266">
          <cell r="L4266">
            <v>100</v>
          </cell>
          <cell r="N4266">
            <v>44985</v>
          </cell>
        </row>
        <row r="4267">
          <cell r="L4267">
            <v>100</v>
          </cell>
          <cell r="N4267">
            <v>44985</v>
          </cell>
        </row>
        <row r="4268">
          <cell r="L4268">
            <v>100</v>
          </cell>
          <cell r="N4268">
            <v>44940</v>
          </cell>
        </row>
        <row r="4269">
          <cell r="L4269">
            <v>100</v>
          </cell>
          <cell r="N4269">
            <v>44996</v>
          </cell>
        </row>
        <row r="4270">
          <cell r="L4270">
            <v>100</v>
          </cell>
          <cell r="N4270">
            <v>44996</v>
          </cell>
        </row>
        <row r="4271">
          <cell r="L4271">
            <v>100</v>
          </cell>
          <cell r="N4271">
            <v>44953</v>
          </cell>
        </row>
        <row r="4272">
          <cell r="L4272">
            <v>100</v>
          </cell>
          <cell r="N4272">
            <v>45000</v>
          </cell>
        </row>
        <row r="4273">
          <cell r="L4273">
            <v>100</v>
          </cell>
          <cell r="N4273">
            <v>45000</v>
          </cell>
        </row>
        <row r="4274">
          <cell r="L4274">
            <v>100</v>
          </cell>
          <cell r="N4274">
            <v>44932</v>
          </cell>
        </row>
        <row r="4275">
          <cell r="L4275">
            <v>100</v>
          </cell>
          <cell r="N4275">
            <v>44939</v>
          </cell>
        </row>
        <row r="4276">
          <cell r="L4276">
            <v>100</v>
          </cell>
          <cell r="N4276">
            <v>44935</v>
          </cell>
        </row>
        <row r="4277">
          <cell r="L4277">
            <v>100</v>
          </cell>
          <cell r="N4277">
            <v>44935</v>
          </cell>
        </row>
        <row r="4278">
          <cell r="L4278">
            <v>100</v>
          </cell>
          <cell r="N4278">
            <v>45006</v>
          </cell>
        </row>
        <row r="4279">
          <cell r="L4279">
            <v>100</v>
          </cell>
          <cell r="N4279">
            <v>45006</v>
          </cell>
        </row>
        <row r="4280">
          <cell r="L4280">
            <v>100</v>
          </cell>
          <cell r="N4280">
            <v>45006</v>
          </cell>
        </row>
        <row r="4281">
          <cell r="L4281">
            <v>100</v>
          </cell>
          <cell r="N4281">
            <v>45006</v>
          </cell>
        </row>
        <row r="4282">
          <cell r="L4282">
            <v>100</v>
          </cell>
          <cell r="N4282">
            <v>45003</v>
          </cell>
        </row>
        <row r="4283">
          <cell r="L4283">
            <v>100</v>
          </cell>
          <cell r="N4283">
            <v>45003</v>
          </cell>
        </row>
        <row r="4284">
          <cell r="L4284">
            <v>100</v>
          </cell>
          <cell r="N4284">
            <v>44957</v>
          </cell>
        </row>
        <row r="4285">
          <cell r="L4285">
            <v>100</v>
          </cell>
          <cell r="N4285">
            <v>44952</v>
          </cell>
        </row>
        <row r="4286">
          <cell r="L4286">
            <v>100</v>
          </cell>
          <cell r="N4286">
            <v>44945</v>
          </cell>
        </row>
        <row r="4287">
          <cell r="L4287">
            <v>100</v>
          </cell>
          <cell r="N4287">
            <v>44956</v>
          </cell>
        </row>
        <row r="4288">
          <cell r="L4288">
            <v>100</v>
          </cell>
          <cell r="N4288">
            <v>44978</v>
          </cell>
        </row>
        <row r="4289">
          <cell r="L4289">
            <v>100</v>
          </cell>
          <cell r="N4289">
            <v>44978</v>
          </cell>
        </row>
        <row r="4290">
          <cell r="L4290">
            <v>100</v>
          </cell>
          <cell r="N4290">
            <v>44837</v>
          </cell>
        </row>
        <row r="4291">
          <cell r="L4291">
            <v>100</v>
          </cell>
          <cell r="N4291">
            <v>44953</v>
          </cell>
        </row>
        <row r="4292">
          <cell r="L4292">
            <v>100</v>
          </cell>
          <cell r="N4292">
            <v>44952</v>
          </cell>
        </row>
        <row r="4293">
          <cell r="L4293">
            <v>100</v>
          </cell>
          <cell r="N4293">
            <v>44939</v>
          </cell>
        </row>
        <row r="4294">
          <cell r="L4294">
            <v>100</v>
          </cell>
          <cell r="N4294">
            <v>44978</v>
          </cell>
        </row>
        <row r="4295">
          <cell r="L4295">
            <v>100</v>
          </cell>
          <cell r="N4295">
            <v>44978</v>
          </cell>
        </row>
        <row r="4296">
          <cell r="L4296">
            <v>100</v>
          </cell>
          <cell r="N4296">
            <v>44956</v>
          </cell>
        </row>
        <row r="4297">
          <cell r="L4297">
            <v>100</v>
          </cell>
          <cell r="N4297">
            <v>44956</v>
          </cell>
        </row>
        <row r="4298">
          <cell r="L4298">
            <v>100</v>
          </cell>
          <cell r="N4298">
            <v>45003</v>
          </cell>
        </row>
        <row r="4299">
          <cell r="L4299">
            <v>100</v>
          </cell>
          <cell r="N4299">
            <v>45003</v>
          </cell>
        </row>
        <row r="4300">
          <cell r="L4300">
            <v>100</v>
          </cell>
          <cell r="N4300">
            <v>44953</v>
          </cell>
        </row>
        <row r="4301">
          <cell r="L4301">
            <v>100</v>
          </cell>
          <cell r="N4301">
            <v>44951</v>
          </cell>
        </row>
        <row r="4302">
          <cell r="L4302">
            <v>100</v>
          </cell>
          <cell r="N4302">
            <v>44996</v>
          </cell>
        </row>
        <row r="4303">
          <cell r="L4303">
            <v>100</v>
          </cell>
          <cell r="N4303">
            <v>44996</v>
          </cell>
        </row>
        <row r="4304">
          <cell r="L4304">
            <v>100</v>
          </cell>
          <cell r="N4304">
            <v>44953</v>
          </cell>
        </row>
        <row r="4305">
          <cell r="L4305">
            <v>100</v>
          </cell>
          <cell r="N4305">
            <v>44953</v>
          </cell>
        </row>
        <row r="4306">
          <cell r="L4306">
            <v>100</v>
          </cell>
          <cell r="N4306">
            <v>45008</v>
          </cell>
        </row>
        <row r="4307">
          <cell r="L4307">
            <v>100</v>
          </cell>
          <cell r="N4307">
            <v>45008</v>
          </cell>
        </row>
        <row r="4308">
          <cell r="L4308">
            <v>100</v>
          </cell>
          <cell r="N4308">
            <v>45008</v>
          </cell>
        </row>
        <row r="4309">
          <cell r="L4309">
            <v>100</v>
          </cell>
          <cell r="N4309">
            <v>45005</v>
          </cell>
        </row>
        <row r="4310">
          <cell r="L4310">
            <v>100</v>
          </cell>
          <cell r="N4310">
            <v>45005</v>
          </cell>
        </row>
        <row r="4311">
          <cell r="L4311">
            <v>100</v>
          </cell>
          <cell r="N4311">
            <v>44972</v>
          </cell>
        </row>
        <row r="4312">
          <cell r="L4312">
            <v>100</v>
          </cell>
          <cell r="N4312">
            <v>44939</v>
          </cell>
        </row>
        <row r="4313">
          <cell r="L4313">
            <v>100</v>
          </cell>
          <cell r="N4313">
            <v>45008</v>
          </cell>
        </row>
        <row r="4314">
          <cell r="L4314">
            <v>100</v>
          </cell>
          <cell r="N4314">
            <v>45000</v>
          </cell>
        </row>
        <row r="4315">
          <cell r="L4315">
            <v>100</v>
          </cell>
          <cell r="N4315">
            <v>45008</v>
          </cell>
        </row>
        <row r="4316">
          <cell r="L4316">
            <v>100</v>
          </cell>
          <cell r="N4316">
            <v>45002</v>
          </cell>
        </row>
        <row r="4317">
          <cell r="L4317">
            <v>100</v>
          </cell>
          <cell r="N4317">
            <v>45002</v>
          </cell>
        </row>
        <row r="4318">
          <cell r="L4318">
            <v>100</v>
          </cell>
          <cell r="N4318">
            <v>45002</v>
          </cell>
        </row>
        <row r="4319">
          <cell r="L4319">
            <v>100</v>
          </cell>
          <cell r="N4319">
            <v>45001</v>
          </cell>
        </row>
        <row r="4320">
          <cell r="L4320">
            <v>100</v>
          </cell>
          <cell r="N4320">
            <v>45001</v>
          </cell>
        </row>
        <row r="4321">
          <cell r="L4321">
            <v>100</v>
          </cell>
          <cell r="N4321">
            <v>45005</v>
          </cell>
        </row>
        <row r="4322">
          <cell r="L4322">
            <v>100</v>
          </cell>
          <cell r="N4322">
            <v>45005</v>
          </cell>
        </row>
        <row r="4323">
          <cell r="L4323">
            <v>100</v>
          </cell>
          <cell r="N4323">
            <v>45001</v>
          </cell>
        </row>
        <row r="4324">
          <cell r="L4324">
            <v>100</v>
          </cell>
          <cell r="N4324">
            <v>45001</v>
          </cell>
        </row>
        <row r="4325">
          <cell r="L4325">
            <v>100</v>
          </cell>
          <cell r="N4325">
            <v>45002</v>
          </cell>
        </row>
        <row r="4326">
          <cell r="L4326">
            <v>100</v>
          </cell>
          <cell r="N4326">
            <v>45002</v>
          </cell>
        </row>
        <row r="4327">
          <cell r="L4327">
            <v>100</v>
          </cell>
          <cell r="N4327">
            <v>45008</v>
          </cell>
        </row>
        <row r="4328">
          <cell r="L4328">
            <v>100</v>
          </cell>
          <cell r="N4328">
            <v>45001</v>
          </cell>
        </row>
        <row r="4329">
          <cell r="L4329">
            <v>100</v>
          </cell>
          <cell r="N4329">
            <v>45001</v>
          </cell>
        </row>
        <row r="4330">
          <cell r="L4330">
            <v>100</v>
          </cell>
          <cell r="N4330">
            <v>45001</v>
          </cell>
        </row>
        <row r="4331">
          <cell r="L4331">
            <v>100</v>
          </cell>
          <cell r="N4331">
            <v>45001</v>
          </cell>
        </row>
        <row r="4332">
          <cell r="L4332">
            <v>100</v>
          </cell>
          <cell r="N4332">
            <v>45001</v>
          </cell>
        </row>
        <row r="4333">
          <cell r="L4333">
            <v>100</v>
          </cell>
          <cell r="N4333">
            <v>45001</v>
          </cell>
        </row>
        <row r="4334">
          <cell r="L4334">
            <v>100</v>
          </cell>
          <cell r="N4334">
            <v>44996</v>
          </cell>
        </row>
        <row r="4335">
          <cell r="L4335">
            <v>100</v>
          </cell>
          <cell r="N4335">
            <v>45008</v>
          </cell>
        </row>
        <row r="4336">
          <cell r="L4336">
            <v>100</v>
          </cell>
          <cell r="N4336">
            <v>45008</v>
          </cell>
        </row>
        <row r="4337">
          <cell r="L4337">
            <v>100</v>
          </cell>
          <cell r="N4337">
            <v>45008</v>
          </cell>
        </row>
        <row r="4338">
          <cell r="L4338">
            <v>100</v>
          </cell>
          <cell r="N4338">
            <v>45002</v>
          </cell>
        </row>
        <row r="4339">
          <cell r="L4339">
            <v>100</v>
          </cell>
          <cell r="N4339">
            <v>45002</v>
          </cell>
        </row>
        <row r="4340">
          <cell r="L4340">
            <v>100</v>
          </cell>
          <cell r="N4340">
            <v>45002</v>
          </cell>
        </row>
        <row r="4341">
          <cell r="L4341">
            <v>100</v>
          </cell>
          <cell r="N4341">
            <v>45002</v>
          </cell>
        </row>
        <row r="4342">
          <cell r="L4342">
            <v>100</v>
          </cell>
          <cell r="N4342">
            <v>45002</v>
          </cell>
        </row>
        <row r="4343">
          <cell r="L4343">
            <v>100</v>
          </cell>
          <cell r="N4343">
            <v>45005</v>
          </cell>
        </row>
        <row r="4344">
          <cell r="L4344">
            <v>100</v>
          </cell>
          <cell r="N4344">
            <v>45005</v>
          </cell>
        </row>
        <row r="4345">
          <cell r="L4345">
            <v>100</v>
          </cell>
          <cell r="N4345">
            <v>45002</v>
          </cell>
        </row>
        <row r="4346">
          <cell r="L4346">
            <v>100</v>
          </cell>
          <cell r="N4346">
            <v>45008</v>
          </cell>
        </row>
        <row r="4347">
          <cell r="L4347">
            <v>100</v>
          </cell>
          <cell r="N4347">
            <v>44985</v>
          </cell>
        </row>
        <row r="4348">
          <cell r="L4348">
            <v>100</v>
          </cell>
          <cell r="N4348">
            <v>44985</v>
          </cell>
        </row>
        <row r="4349">
          <cell r="L4349">
            <v>100</v>
          </cell>
          <cell r="N4349">
            <v>44985</v>
          </cell>
        </row>
        <row r="4350">
          <cell r="L4350">
            <v>100</v>
          </cell>
          <cell r="N4350">
            <v>44993</v>
          </cell>
        </row>
        <row r="4351">
          <cell r="L4351">
            <v>100</v>
          </cell>
          <cell r="N4351">
            <v>44966</v>
          </cell>
        </row>
        <row r="4352">
          <cell r="L4352">
            <v>100</v>
          </cell>
          <cell r="N4352">
            <v>44966</v>
          </cell>
        </row>
        <row r="4353">
          <cell r="L4353">
            <v>100</v>
          </cell>
          <cell r="N4353">
            <v>44966</v>
          </cell>
        </row>
        <row r="4354">
          <cell r="L4354">
            <v>100</v>
          </cell>
          <cell r="N4354">
            <v>44966</v>
          </cell>
        </row>
        <row r="4355">
          <cell r="L4355">
            <v>100</v>
          </cell>
          <cell r="N4355">
            <v>44966</v>
          </cell>
        </row>
        <row r="4356">
          <cell r="L4356">
            <v>100</v>
          </cell>
          <cell r="N4356">
            <v>44966</v>
          </cell>
        </row>
        <row r="4357">
          <cell r="L4357">
            <v>100</v>
          </cell>
          <cell r="N4357">
            <v>44966</v>
          </cell>
        </row>
        <row r="4358">
          <cell r="L4358">
            <v>100</v>
          </cell>
          <cell r="N4358">
            <v>44966</v>
          </cell>
        </row>
        <row r="4359">
          <cell r="L4359">
            <v>100</v>
          </cell>
          <cell r="N4359">
            <v>44966</v>
          </cell>
        </row>
        <row r="4360">
          <cell r="L4360">
            <v>100</v>
          </cell>
          <cell r="N4360">
            <v>44964</v>
          </cell>
        </row>
        <row r="4361">
          <cell r="L4361">
            <v>100</v>
          </cell>
          <cell r="N4361">
            <v>44964</v>
          </cell>
        </row>
        <row r="4362">
          <cell r="L4362">
            <v>100</v>
          </cell>
          <cell r="N4362">
            <v>44956</v>
          </cell>
        </row>
        <row r="4363">
          <cell r="L4363">
            <v>100</v>
          </cell>
          <cell r="N4363">
            <v>44956</v>
          </cell>
        </row>
        <row r="4364">
          <cell r="L4364">
            <v>100</v>
          </cell>
          <cell r="N4364">
            <v>44965</v>
          </cell>
        </row>
        <row r="4365">
          <cell r="L4365">
            <v>100</v>
          </cell>
          <cell r="N4365">
            <v>44980</v>
          </cell>
        </row>
        <row r="4366">
          <cell r="L4366">
            <v>100</v>
          </cell>
          <cell r="N4366">
            <v>44993</v>
          </cell>
        </row>
        <row r="4367">
          <cell r="L4367">
            <v>100</v>
          </cell>
          <cell r="N4367">
            <v>44993</v>
          </cell>
        </row>
        <row r="4368">
          <cell r="L4368">
            <v>100</v>
          </cell>
          <cell r="N4368">
            <v>44975</v>
          </cell>
        </row>
        <row r="4369">
          <cell r="L4369">
            <v>100</v>
          </cell>
          <cell r="N4369">
            <v>44975</v>
          </cell>
        </row>
        <row r="4370">
          <cell r="L4370">
            <v>100</v>
          </cell>
          <cell r="N4370">
            <v>44975</v>
          </cell>
        </row>
        <row r="4371">
          <cell r="L4371">
            <v>100</v>
          </cell>
          <cell r="N4371">
            <v>44973</v>
          </cell>
        </row>
        <row r="4372">
          <cell r="L4372">
            <v>100</v>
          </cell>
          <cell r="N4372">
            <v>44973</v>
          </cell>
        </row>
        <row r="4373">
          <cell r="L4373">
            <v>100</v>
          </cell>
          <cell r="N4373">
            <v>44973</v>
          </cell>
        </row>
        <row r="4374">
          <cell r="L4374">
            <v>100</v>
          </cell>
          <cell r="N4374">
            <v>44991</v>
          </cell>
        </row>
        <row r="4375">
          <cell r="L4375">
            <v>100</v>
          </cell>
          <cell r="N4375">
            <v>44991</v>
          </cell>
        </row>
        <row r="4376">
          <cell r="L4376">
            <v>100</v>
          </cell>
          <cell r="N4376">
            <v>44991</v>
          </cell>
        </row>
        <row r="4377">
          <cell r="L4377">
            <v>100</v>
          </cell>
          <cell r="N4377">
            <v>44991</v>
          </cell>
        </row>
        <row r="4378">
          <cell r="L4378">
            <v>100</v>
          </cell>
          <cell r="N4378">
            <v>44956</v>
          </cell>
        </row>
        <row r="4379">
          <cell r="L4379">
            <v>100</v>
          </cell>
          <cell r="N4379">
            <v>44991</v>
          </cell>
        </row>
        <row r="4380">
          <cell r="L4380">
            <v>100</v>
          </cell>
          <cell r="N4380">
            <v>44985</v>
          </cell>
        </row>
        <row r="4381">
          <cell r="L4381">
            <v>100</v>
          </cell>
          <cell r="N4381">
            <v>44993</v>
          </cell>
        </row>
        <row r="4382">
          <cell r="L4382">
            <v>100</v>
          </cell>
          <cell r="N4382">
            <v>44993</v>
          </cell>
        </row>
        <row r="4383">
          <cell r="L4383">
            <v>100</v>
          </cell>
          <cell r="N4383">
            <v>44964</v>
          </cell>
        </row>
        <row r="4384">
          <cell r="L4384">
            <v>100</v>
          </cell>
          <cell r="N4384">
            <v>44966</v>
          </cell>
        </row>
        <row r="4385">
          <cell r="L4385">
            <v>100</v>
          </cell>
          <cell r="N4385">
            <v>44985</v>
          </cell>
        </row>
        <row r="4386">
          <cell r="L4386">
            <v>100</v>
          </cell>
          <cell r="N4386">
            <v>44956</v>
          </cell>
        </row>
        <row r="4387">
          <cell r="L4387">
            <v>100</v>
          </cell>
          <cell r="N4387">
            <v>44959</v>
          </cell>
        </row>
        <row r="4388">
          <cell r="L4388">
            <v>100</v>
          </cell>
          <cell r="N4388">
            <v>44946</v>
          </cell>
        </row>
        <row r="4389">
          <cell r="L4389">
            <v>100</v>
          </cell>
          <cell r="N4389">
            <v>44991</v>
          </cell>
        </row>
        <row r="4390">
          <cell r="L4390">
            <v>100</v>
          </cell>
          <cell r="N4390">
            <v>44991</v>
          </cell>
        </row>
        <row r="4391">
          <cell r="L4391">
            <v>100</v>
          </cell>
          <cell r="N4391">
            <v>44985</v>
          </cell>
        </row>
        <row r="4392">
          <cell r="L4392">
            <v>100</v>
          </cell>
          <cell r="N4392">
            <v>45008</v>
          </cell>
        </row>
        <row r="4393">
          <cell r="L4393">
            <v>100</v>
          </cell>
          <cell r="N4393">
            <v>45001</v>
          </cell>
        </row>
        <row r="4394">
          <cell r="L4394">
            <v>100</v>
          </cell>
          <cell r="N4394">
            <v>45002</v>
          </cell>
        </row>
        <row r="4395">
          <cell r="L4395">
            <v>100</v>
          </cell>
          <cell r="N4395">
            <v>45002</v>
          </cell>
        </row>
        <row r="4396">
          <cell r="L4396">
            <v>100</v>
          </cell>
          <cell r="N4396">
            <v>45002</v>
          </cell>
        </row>
        <row r="4397">
          <cell r="L4397">
            <v>100</v>
          </cell>
          <cell r="N4397">
            <v>45000</v>
          </cell>
        </row>
        <row r="4398">
          <cell r="L4398">
            <v>100</v>
          </cell>
          <cell r="N4398">
            <v>45008</v>
          </cell>
        </row>
        <row r="4399">
          <cell r="L4399">
            <v>100</v>
          </cell>
          <cell r="N4399">
            <v>45001</v>
          </cell>
        </row>
        <row r="4400">
          <cell r="L4400">
            <v>100</v>
          </cell>
          <cell r="N4400">
            <v>45002</v>
          </cell>
        </row>
        <row r="4401">
          <cell r="L4401">
            <v>100</v>
          </cell>
          <cell r="N4401">
            <v>45002</v>
          </cell>
        </row>
        <row r="4402">
          <cell r="L4402">
            <v>100</v>
          </cell>
          <cell r="N4402">
            <v>45001</v>
          </cell>
        </row>
        <row r="4403">
          <cell r="L4403">
            <v>100</v>
          </cell>
          <cell r="N4403">
            <v>45000</v>
          </cell>
        </row>
        <row r="4404">
          <cell r="L4404">
            <v>100</v>
          </cell>
          <cell r="N4404">
            <v>44996</v>
          </cell>
        </row>
        <row r="4405">
          <cell r="L4405">
            <v>100</v>
          </cell>
          <cell r="N4405">
            <v>44996</v>
          </cell>
        </row>
        <row r="4406">
          <cell r="L4406">
            <v>100</v>
          </cell>
          <cell r="N4406">
            <v>45002</v>
          </cell>
        </row>
        <row r="4407">
          <cell r="L4407">
            <v>100</v>
          </cell>
          <cell r="N4407">
            <v>45002</v>
          </cell>
        </row>
        <row r="4408">
          <cell r="L4408">
            <v>100</v>
          </cell>
          <cell r="N4408">
            <v>45002</v>
          </cell>
        </row>
        <row r="4409">
          <cell r="L4409">
            <v>100</v>
          </cell>
          <cell r="N4409">
            <v>45008</v>
          </cell>
        </row>
        <row r="4410">
          <cell r="L4410">
            <v>100</v>
          </cell>
          <cell r="N4410">
            <v>44985</v>
          </cell>
        </row>
        <row r="4411">
          <cell r="L4411">
            <v>100</v>
          </cell>
          <cell r="N4411">
            <v>44985</v>
          </cell>
        </row>
        <row r="4412">
          <cell r="L4412">
            <v>100</v>
          </cell>
          <cell r="N4412">
            <v>44985</v>
          </cell>
        </row>
        <row r="4413">
          <cell r="L4413">
            <v>100</v>
          </cell>
          <cell r="N4413">
            <v>44985</v>
          </cell>
        </row>
        <row r="4414">
          <cell r="L4414">
            <v>100</v>
          </cell>
          <cell r="N4414">
            <v>44956</v>
          </cell>
        </row>
        <row r="4415">
          <cell r="L4415">
            <v>100</v>
          </cell>
          <cell r="N4415">
            <v>44957</v>
          </cell>
        </row>
        <row r="4416">
          <cell r="L4416">
            <v>100</v>
          </cell>
          <cell r="N4416">
            <v>44956</v>
          </cell>
        </row>
        <row r="4417">
          <cell r="L4417">
            <v>100</v>
          </cell>
          <cell r="N4417">
            <v>45005</v>
          </cell>
        </row>
        <row r="4418">
          <cell r="L4418">
            <v>100</v>
          </cell>
          <cell r="N4418">
            <v>45002</v>
          </cell>
        </row>
        <row r="4419">
          <cell r="L4419">
            <v>100</v>
          </cell>
          <cell r="N4419">
            <v>45002</v>
          </cell>
        </row>
        <row r="4420">
          <cell r="L4420">
            <v>100</v>
          </cell>
          <cell r="N4420">
            <v>45002</v>
          </cell>
        </row>
        <row r="4421">
          <cell r="L4421">
            <v>100</v>
          </cell>
          <cell r="N4421">
            <v>45002</v>
          </cell>
        </row>
        <row r="4422">
          <cell r="L4422">
            <v>100</v>
          </cell>
          <cell r="N4422">
            <v>45002</v>
          </cell>
        </row>
        <row r="4423">
          <cell r="L4423">
            <v>100</v>
          </cell>
          <cell r="N4423">
            <v>45002</v>
          </cell>
        </row>
        <row r="4424">
          <cell r="L4424">
            <v>100</v>
          </cell>
          <cell r="N4424">
            <v>45002</v>
          </cell>
        </row>
        <row r="4425">
          <cell r="L4425">
            <v>100</v>
          </cell>
          <cell r="N4425">
            <v>45002</v>
          </cell>
        </row>
        <row r="4426">
          <cell r="L4426">
            <v>100</v>
          </cell>
          <cell r="N4426">
            <v>45002</v>
          </cell>
        </row>
        <row r="4427">
          <cell r="L4427">
            <v>100</v>
          </cell>
          <cell r="N4427">
            <v>45008</v>
          </cell>
        </row>
        <row r="4428">
          <cell r="L4428">
            <v>100</v>
          </cell>
          <cell r="N4428">
            <v>45008</v>
          </cell>
        </row>
        <row r="4429">
          <cell r="L4429">
            <v>100</v>
          </cell>
          <cell r="N4429">
            <v>45008</v>
          </cell>
        </row>
        <row r="4430">
          <cell r="L4430">
            <v>100</v>
          </cell>
          <cell r="N4430">
            <v>45008</v>
          </cell>
        </row>
        <row r="4431">
          <cell r="L4431">
            <v>100</v>
          </cell>
          <cell r="N4431">
            <v>44963</v>
          </cell>
        </row>
        <row r="4432">
          <cell r="L4432">
            <v>100</v>
          </cell>
          <cell r="N4432">
            <v>44963</v>
          </cell>
        </row>
        <row r="4433">
          <cell r="L4433">
            <v>100</v>
          </cell>
          <cell r="N4433">
            <v>44963</v>
          </cell>
        </row>
        <row r="4434">
          <cell r="L4434">
            <v>100</v>
          </cell>
          <cell r="N4434">
            <v>44963</v>
          </cell>
        </row>
        <row r="4435">
          <cell r="L4435">
            <v>100</v>
          </cell>
          <cell r="N4435">
            <v>45002</v>
          </cell>
        </row>
        <row r="4436">
          <cell r="L4436">
            <v>100</v>
          </cell>
          <cell r="N4436">
            <v>44868</v>
          </cell>
        </row>
        <row r="4437">
          <cell r="L4437">
            <v>100</v>
          </cell>
          <cell r="N4437">
            <v>44868</v>
          </cell>
        </row>
        <row r="4438">
          <cell r="L4438">
            <v>100</v>
          </cell>
          <cell r="N4438">
            <v>44868</v>
          </cell>
        </row>
        <row r="4439">
          <cell r="L4439">
            <v>100</v>
          </cell>
          <cell r="N4439">
            <v>44868</v>
          </cell>
        </row>
        <row r="4440">
          <cell r="L4440">
            <v>100</v>
          </cell>
          <cell r="N4440">
            <v>44868</v>
          </cell>
        </row>
        <row r="4441">
          <cell r="L4441">
            <v>100</v>
          </cell>
          <cell r="N4441">
            <v>44963</v>
          </cell>
        </row>
        <row r="4442">
          <cell r="L4442">
            <v>100</v>
          </cell>
          <cell r="N4442">
            <v>44963</v>
          </cell>
        </row>
        <row r="4443">
          <cell r="L4443">
            <v>100</v>
          </cell>
          <cell r="N4443">
            <v>44963</v>
          </cell>
        </row>
        <row r="4444">
          <cell r="L4444">
            <v>100</v>
          </cell>
          <cell r="N4444">
            <v>44963</v>
          </cell>
        </row>
        <row r="4445">
          <cell r="L4445">
            <v>100</v>
          </cell>
          <cell r="N4445">
            <v>44963</v>
          </cell>
        </row>
        <row r="4446">
          <cell r="L4446">
            <v>100</v>
          </cell>
          <cell r="N4446">
            <v>44963</v>
          </cell>
        </row>
        <row r="4447">
          <cell r="L4447">
            <v>100</v>
          </cell>
          <cell r="N4447">
            <v>44963</v>
          </cell>
        </row>
        <row r="4448">
          <cell r="L4448">
            <v>100</v>
          </cell>
          <cell r="N4448">
            <v>44783</v>
          </cell>
        </row>
        <row r="4449">
          <cell r="L4449">
            <v>100</v>
          </cell>
          <cell r="N4449">
            <v>44783</v>
          </cell>
        </row>
        <row r="4450">
          <cell r="L4450">
            <v>100</v>
          </cell>
          <cell r="N4450">
            <v>44963</v>
          </cell>
        </row>
        <row r="4451">
          <cell r="L4451">
            <v>100</v>
          </cell>
          <cell r="N4451">
            <v>44963</v>
          </cell>
        </row>
        <row r="4452">
          <cell r="L4452">
            <v>100</v>
          </cell>
          <cell r="N4452">
            <v>44783</v>
          </cell>
        </row>
        <row r="4453">
          <cell r="L4453">
            <v>100</v>
          </cell>
          <cell r="N4453">
            <v>44783</v>
          </cell>
        </row>
        <row r="4454">
          <cell r="L4454">
            <v>100</v>
          </cell>
          <cell r="N4454">
            <v>44963</v>
          </cell>
        </row>
        <row r="4455">
          <cell r="L4455">
            <v>100</v>
          </cell>
          <cell r="N4455">
            <v>44963</v>
          </cell>
        </row>
        <row r="4456">
          <cell r="L4456">
            <v>100</v>
          </cell>
          <cell r="N4456">
            <v>44963</v>
          </cell>
        </row>
        <row r="4457">
          <cell r="L4457">
            <v>100</v>
          </cell>
          <cell r="N4457">
            <v>44963</v>
          </cell>
        </row>
        <row r="4458">
          <cell r="L4458">
            <v>100</v>
          </cell>
          <cell r="N4458">
            <v>44963</v>
          </cell>
        </row>
        <row r="4459">
          <cell r="L4459">
            <v>100</v>
          </cell>
          <cell r="N4459">
            <v>44783</v>
          </cell>
        </row>
        <row r="4460">
          <cell r="L4460">
            <v>100</v>
          </cell>
          <cell r="N4460">
            <v>44963</v>
          </cell>
        </row>
        <row r="4461">
          <cell r="L4461">
            <v>100</v>
          </cell>
          <cell r="N4461">
            <v>44963</v>
          </cell>
        </row>
        <row r="4462">
          <cell r="L4462">
            <v>100</v>
          </cell>
          <cell r="N4462">
            <v>44963</v>
          </cell>
        </row>
        <row r="4463">
          <cell r="L4463">
            <v>100</v>
          </cell>
          <cell r="N4463">
            <v>44963</v>
          </cell>
        </row>
        <row r="4464">
          <cell r="L4464">
            <v>100</v>
          </cell>
          <cell r="N4464">
            <v>44783</v>
          </cell>
        </row>
        <row r="4465">
          <cell r="L4465">
            <v>100</v>
          </cell>
          <cell r="N4465">
            <v>44783</v>
          </cell>
        </row>
        <row r="4466">
          <cell r="L4466">
            <v>100</v>
          </cell>
          <cell r="N4466">
            <v>44783</v>
          </cell>
        </row>
        <row r="4467">
          <cell r="L4467">
            <v>100</v>
          </cell>
          <cell r="N4467">
            <v>44963</v>
          </cell>
        </row>
        <row r="4468">
          <cell r="L4468">
            <v>100</v>
          </cell>
          <cell r="N4468">
            <v>44963</v>
          </cell>
        </row>
        <row r="4469">
          <cell r="L4469">
            <v>100</v>
          </cell>
          <cell r="N4469">
            <v>44963</v>
          </cell>
        </row>
        <row r="4470">
          <cell r="L4470">
            <v>100</v>
          </cell>
          <cell r="N4470">
            <v>44783</v>
          </cell>
        </row>
        <row r="4471">
          <cell r="L4471">
            <v>100</v>
          </cell>
          <cell r="N4471">
            <v>44783</v>
          </cell>
        </row>
        <row r="4472">
          <cell r="L4472">
            <v>100</v>
          </cell>
          <cell r="N4472">
            <v>44783</v>
          </cell>
        </row>
        <row r="4473">
          <cell r="L4473">
            <v>100</v>
          </cell>
          <cell r="N4473">
            <v>44963</v>
          </cell>
        </row>
        <row r="4474">
          <cell r="L4474">
            <v>100</v>
          </cell>
          <cell r="N4474">
            <v>44963</v>
          </cell>
        </row>
        <row r="4475">
          <cell r="L4475">
            <v>100</v>
          </cell>
          <cell r="N4475">
            <v>44963</v>
          </cell>
        </row>
        <row r="4476">
          <cell r="L4476">
            <v>100</v>
          </cell>
          <cell r="N4476">
            <v>44963</v>
          </cell>
        </row>
        <row r="4477">
          <cell r="L4477">
            <v>100</v>
          </cell>
          <cell r="N4477">
            <v>44963</v>
          </cell>
        </row>
        <row r="4478">
          <cell r="L4478">
            <v>100</v>
          </cell>
          <cell r="N4478">
            <v>44837</v>
          </cell>
        </row>
        <row r="4479">
          <cell r="L4479">
            <v>100</v>
          </cell>
          <cell r="N4479">
            <v>44963</v>
          </cell>
        </row>
        <row r="4480">
          <cell r="L4480">
            <v>100</v>
          </cell>
          <cell r="N4480">
            <v>44963</v>
          </cell>
        </row>
        <row r="4481">
          <cell r="L4481">
            <v>100</v>
          </cell>
          <cell r="N4481">
            <v>44783</v>
          </cell>
        </row>
        <row r="4482">
          <cell r="L4482">
            <v>100</v>
          </cell>
          <cell r="N4482">
            <v>44831</v>
          </cell>
        </row>
        <row r="4483">
          <cell r="L4483">
            <v>100</v>
          </cell>
          <cell r="N4483">
            <v>44831</v>
          </cell>
        </row>
        <row r="4484">
          <cell r="L4484">
            <v>100</v>
          </cell>
          <cell r="N4484">
            <v>44831</v>
          </cell>
        </row>
        <row r="4485">
          <cell r="L4485">
            <v>100</v>
          </cell>
          <cell r="N4485">
            <v>44831</v>
          </cell>
        </row>
        <row r="4486">
          <cell r="L4486">
            <v>100</v>
          </cell>
          <cell r="N4486">
            <v>44831</v>
          </cell>
        </row>
        <row r="4487">
          <cell r="L4487">
            <v>100</v>
          </cell>
          <cell r="N4487">
            <v>44831</v>
          </cell>
        </row>
        <row r="4488">
          <cell r="L4488">
            <v>100</v>
          </cell>
          <cell r="N4488">
            <v>44803</v>
          </cell>
        </row>
        <row r="4489">
          <cell r="L4489">
            <v>100</v>
          </cell>
          <cell r="N4489">
            <v>44803</v>
          </cell>
        </row>
        <row r="4490">
          <cell r="L4490">
            <v>100</v>
          </cell>
          <cell r="N4490">
            <v>44837</v>
          </cell>
        </row>
        <row r="4491">
          <cell r="L4491">
            <v>100</v>
          </cell>
          <cell r="N4491">
            <v>44837</v>
          </cell>
        </row>
        <row r="4492">
          <cell r="L4492">
            <v>100</v>
          </cell>
          <cell r="N4492">
            <v>44754</v>
          </cell>
        </row>
        <row r="4493">
          <cell r="L4493">
            <v>100</v>
          </cell>
          <cell r="N4493">
            <v>44783</v>
          </cell>
        </row>
        <row r="4494">
          <cell r="L4494">
            <v>0</v>
          </cell>
          <cell r="N4494">
            <v>45007</v>
          </cell>
        </row>
        <row r="4495">
          <cell r="L4495">
            <v>100</v>
          </cell>
          <cell r="N4495">
            <v>44837</v>
          </cell>
        </row>
        <row r="4496">
          <cell r="L4496">
            <v>100</v>
          </cell>
          <cell r="N4496">
            <v>44837</v>
          </cell>
        </row>
        <row r="4497">
          <cell r="L4497">
            <v>100</v>
          </cell>
          <cell r="N4497"/>
        </row>
        <row r="4498">
          <cell r="L4498">
            <v>100</v>
          </cell>
          <cell r="N4498"/>
        </row>
        <row r="4499">
          <cell r="L4499">
            <v>100</v>
          </cell>
          <cell r="N4499"/>
        </row>
        <row r="4500">
          <cell r="L4500">
            <v>100</v>
          </cell>
          <cell r="N4500"/>
        </row>
        <row r="4501">
          <cell r="L4501">
            <v>100</v>
          </cell>
          <cell r="N4501"/>
        </row>
        <row r="4502">
          <cell r="L4502">
            <v>100</v>
          </cell>
          <cell r="N4502"/>
        </row>
        <row r="4503">
          <cell r="L4503">
            <v>100</v>
          </cell>
          <cell r="N4503"/>
        </row>
        <row r="4504">
          <cell r="L4504">
            <v>100</v>
          </cell>
          <cell r="N4504">
            <v>44781</v>
          </cell>
        </row>
        <row r="4505">
          <cell r="L4505">
            <v>100</v>
          </cell>
          <cell r="N4505">
            <v>44837</v>
          </cell>
        </row>
        <row r="4506">
          <cell r="L4506">
            <v>100</v>
          </cell>
          <cell r="N4506">
            <v>44806</v>
          </cell>
        </row>
        <row r="4507">
          <cell r="L4507">
            <v>100</v>
          </cell>
          <cell r="N4507">
            <v>44806</v>
          </cell>
        </row>
        <row r="4508">
          <cell r="L4508">
            <v>100</v>
          </cell>
          <cell r="N4508">
            <v>44509</v>
          </cell>
        </row>
        <row r="4509">
          <cell r="L4509">
            <v>100</v>
          </cell>
          <cell r="N4509">
            <v>44963</v>
          </cell>
        </row>
        <row r="4510">
          <cell r="L4510">
            <v>100</v>
          </cell>
          <cell r="N4510">
            <v>44963</v>
          </cell>
        </row>
        <row r="4511">
          <cell r="L4511">
            <v>100</v>
          </cell>
          <cell r="N4511">
            <v>44783</v>
          </cell>
        </row>
        <row r="4512">
          <cell r="L4512">
            <v>100</v>
          </cell>
          <cell r="N4512">
            <v>44783</v>
          </cell>
        </row>
        <row r="4513">
          <cell r="L4513">
            <v>100</v>
          </cell>
          <cell r="N4513">
            <v>44823</v>
          </cell>
        </row>
        <row r="4514">
          <cell r="L4514">
            <v>100</v>
          </cell>
          <cell r="N4514">
            <v>44963</v>
          </cell>
        </row>
        <row r="4515">
          <cell r="L4515">
            <v>100</v>
          </cell>
          <cell r="N4515">
            <v>44762</v>
          </cell>
        </row>
        <row r="4516">
          <cell r="L4516">
            <v>100</v>
          </cell>
          <cell r="N4516">
            <v>44963</v>
          </cell>
        </row>
        <row r="4517">
          <cell r="L4517">
            <v>100</v>
          </cell>
          <cell r="N4517">
            <v>44783</v>
          </cell>
        </row>
        <row r="4518">
          <cell r="L4518">
            <v>100</v>
          </cell>
          <cell r="N4518">
            <v>44783</v>
          </cell>
        </row>
        <row r="4519">
          <cell r="L4519">
            <v>100</v>
          </cell>
          <cell r="N4519">
            <v>44783</v>
          </cell>
        </row>
        <row r="4520">
          <cell r="L4520">
            <v>100</v>
          </cell>
          <cell r="N4520">
            <v>44783</v>
          </cell>
        </row>
        <row r="4521">
          <cell r="L4521">
            <v>100</v>
          </cell>
          <cell r="N4521">
            <v>44783</v>
          </cell>
        </row>
        <row r="4522">
          <cell r="L4522">
            <v>100</v>
          </cell>
          <cell r="N4522">
            <v>44783</v>
          </cell>
        </row>
        <row r="4523">
          <cell r="L4523">
            <v>100</v>
          </cell>
          <cell r="N4523">
            <v>44783</v>
          </cell>
        </row>
        <row r="4524">
          <cell r="L4524">
            <v>100</v>
          </cell>
          <cell r="N4524">
            <v>44963</v>
          </cell>
        </row>
        <row r="4525">
          <cell r="L4525">
            <v>100</v>
          </cell>
          <cell r="N4525">
            <v>44963</v>
          </cell>
        </row>
        <row r="4526">
          <cell r="L4526">
            <v>100</v>
          </cell>
          <cell r="N4526">
            <v>44963</v>
          </cell>
        </row>
        <row r="4527">
          <cell r="L4527">
            <v>100</v>
          </cell>
          <cell r="N4527">
            <v>44963</v>
          </cell>
        </row>
        <row r="4528">
          <cell r="L4528">
            <v>100</v>
          </cell>
          <cell r="N4528">
            <v>44963</v>
          </cell>
        </row>
        <row r="4529">
          <cell r="L4529">
            <v>100</v>
          </cell>
          <cell r="N4529">
            <v>44963</v>
          </cell>
        </row>
        <row r="4530">
          <cell r="L4530">
            <v>100</v>
          </cell>
          <cell r="N4530">
            <v>44963</v>
          </cell>
        </row>
        <row r="4531">
          <cell r="L4531">
            <v>100</v>
          </cell>
          <cell r="N4531">
            <v>44963</v>
          </cell>
        </row>
        <row r="4532">
          <cell r="L4532">
            <v>100</v>
          </cell>
          <cell r="N4532">
            <v>44963</v>
          </cell>
        </row>
        <row r="4533">
          <cell r="L4533">
            <v>100</v>
          </cell>
          <cell r="N4533">
            <v>44783</v>
          </cell>
        </row>
        <row r="4534">
          <cell r="L4534">
            <v>100</v>
          </cell>
          <cell r="N4534">
            <v>44783</v>
          </cell>
        </row>
        <row r="4535">
          <cell r="L4535">
            <v>100</v>
          </cell>
          <cell r="N4535">
            <v>44783</v>
          </cell>
        </row>
        <row r="4536">
          <cell r="L4536">
            <v>100</v>
          </cell>
          <cell r="N4536">
            <v>44783</v>
          </cell>
        </row>
        <row r="4537">
          <cell r="L4537">
            <v>100</v>
          </cell>
          <cell r="N4537">
            <v>44855</v>
          </cell>
        </row>
        <row r="4538">
          <cell r="L4538">
            <v>100</v>
          </cell>
          <cell r="N4538">
            <v>44855</v>
          </cell>
        </row>
        <row r="4539">
          <cell r="L4539">
            <v>100</v>
          </cell>
          <cell r="N4539">
            <v>44807</v>
          </cell>
        </row>
        <row r="4540">
          <cell r="L4540">
            <v>100</v>
          </cell>
          <cell r="N4540">
            <v>44807</v>
          </cell>
        </row>
        <row r="4541">
          <cell r="L4541">
            <v>100</v>
          </cell>
          <cell r="N4541">
            <v>44807</v>
          </cell>
        </row>
        <row r="4542">
          <cell r="L4542">
            <v>100</v>
          </cell>
          <cell r="N4542">
            <v>44649</v>
          </cell>
        </row>
        <row r="4543">
          <cell r="L4543">
            <v>100</v>
          </cell>
          <cell r="N4543">
            <v>44649</v>
          </cell>
        </row>
        <row r="4544">
          <cell r="L4544">
            <v>100</v>
          </cell>
          <cell r="N4544">
            <v>44649</v>
          </cell>
        </row>
        <row r="4545">
          <cell r="L4545">
            <v>100</v>
          </cell>
          <cell r="N4545">
            <v>44649</v>
          </cell>
        </row>
        <row r="4546">
          <cell r="L4546">
            <v>100</v>
          </cell>
          <cell r="N4546">
            <v>44966</v>
          </cell>
        </row>
        <row r="4547">
          <cell r="L4547">
            <v>100</v>
          </cell>
          <cell r="N4547">
            <v>44966</v>
          </cell>
        </row>
        <row r="4548">
          <cell r="L4548">
            <v>100</v>
          </cell>
          <cell r="N4548">
            <v>44966</v>
          </cell>
        </row>
        <row r="4549">
          <cell r="L4549">
            <v>100</v>
          </cell>
          <cell r="N4549">
            <v>44966</v>
          </cell>
        </row>
        <row r="4550">
          <cell r="L4550">
            <v>100</v>
          </cell>
          <cell r="N4550">
            <v>44966</v>
          </cell>
        </row>
        <row r="4551">
          <cell r="L4551">
            <v>100</v>
          </cell>
          <cell r="N4551">
            <v>44966</v>
          </cell>
        </row>
        <row r="4552">
          <cell r="L4552">
            <v>100</v>
          </cell>
          <cell r="N4552">
            <v>44966</v>
          </cell>
        </row>
        <row r="4553">
          <cell r="L4553">
            <v>100</v>
          </cell>
          <cell r="N4553">
            <v>44966</v>
          </cell>
        </row>
        <row r="4554">
          <cell r="L4554">
            <v>100</v>
          </cell>
          <cell r="N4554">
            <v>44966</v>
          </cell>
        </row>
        <row r="4555">
          <cell r="L4555">
            <v>100</v>
          </cell>
          <cell r="N4555">
            <v>44966</v>
          </cell>
        </row>
        <row r="4556">
          <cell r="L4556">
            <v>100</v>
          </cell>
          <cell r="N4556">
            <v>44966</v>
          </cell>
        </row>
        <row r="4557">
          <cell r="L4557">
            <v>100</v>
          </cell>
          <cell r="N4557">
            <v>44966</v>
          </cell>
        </row>
        <row r="4558">
          <cell r="L4558">
            <v>100</v>
          </cell>
          <cell r="N4558">
            <v>44966</v>
          </cell>
        </row>
        <row r="4559">
          <cell r="L4559">
            <v>100</v>
          </cell>
          <cell r="N4559">
            <v>44966</v>
          </cell>
        </row>
        <row r="4560">
          <cell r="L4560">
            <v>100</v>
          </cell>
          <cell r="N4560">
            <v>44966</v>
          </cell>
        </row>
        <row r="4561">
          <cell r="L4561">
            <v>100</v>
          </cell>
          <cell r="N4561">
            <v>44966</v>
          </cell>
        </row>
        <row r="4562">
          <cell r="L4562">
            <v>100</v>
          </cell>
          <cell r="N4562">
            <v>44966</v>
          </cell>
        </row>
        <row r="4563">
          <cell r="L4563">
            <v>100</v>
          </cell>
          <cell r="N4563">
            <v>44855</v>
          </cell>
        </row>
        <row r="4564">
          <cell r="L4564">
            <v>100</v>
          </cell>
          <cell r="N4564">
            <v>44855</v>
          </cell>
        </row>
        <row r="4565">
          <cell r="L4565">
            <v>100</v>
          </cell>
          <cell r="N4565">
            <v>44855</v>
          </cell>
        </row>
        <row r="4566">
          <cell r="L4566">
            <v>100</v>
          </cell>
          <cell r="N4566">
            <v>44855</v>
          </cell>
        </row>
        <row r="4567">
          <cell r="L4567">
            <v>100</v>
          </cell>
          <cell r="N4567">
            <v>44855</v>
          </cell>
        </row>
        <row r="4568">
          <cell r="L4568">
            <v>100</v>
          </cell>
          <cell r="N4568">
            <v>44966</v>
          </cell>
        </row>
        <row r="4569">
          <cell r="L4569">
            <v>100</v>
          </cell>
          <cell r="N4569">
            <v>44966</v>
          </cell>
        </row>
        <row r="4570">
          <cell r="L4570">
            <v>100</v>
          </cell>
          <cell r="N4570">
            <v>44966</v>
          </cell>
        </row>
        <row r="4571">
          <cell r="L4571">
            <v>100</v>
          </cell>
          <cell r="N4571">
            <v>44966</v>
          </cell>
        </row>
        <row r="4572">
          <cell r="L4572">
            <v>100</v>
          </cell>
          <cell r="N4572">
            <v>44966</v>
          </cell>
        </row>
        <row r="4573">
          <cell r="L4573">
            <v>100</v>
          </cell>
          <cell r="N4573">
            <v>44966</v>
          </cell>
        </row>
        <row r="4574">
          <cell r="L4574">
            <v>100</v>
          </cell>
          <cell r="N4574">
            <v>44966</v>
          </cell>
        </row>
        <row r="4575">
          <cell r="L4575">
            <v>100</v>
          </cell>
          <cell r="N4575">
            <v>44966</v>
          </cell>
        </row>
        <row r="4576">
          <cell r="L4576">
            <v>100</v>
          </cell>
          <cell r="N4576">
            <v>44839</v>
          </cell>
        </row>
        <row r="4577">
          <cell r="L4577">
            <v>100</v>
          </cell>
          <cell r="N4577">
            <v>44968</v>
          </cell>
        </row>
        <row r="4578">
          <cell r="L4578">
            <v>100</v>
          </cell>
          <cell r="N4578">
            <v>44968</v>
          </cell>
        </row>
        <row r="4579">
          <cell r="L4579">
            <v>100</v>
          </cell>
          <cell r="N4579">
            <v>44938</v>
          </cell>
        </row>
        <row r="4580">
          <cell r="L4580">
            <v>100</v>
          </cell>
          <cell r="N4580">
            <v>45002</v>
          </cell>
        </row>
        <row r="4581">
          <cell r="L4581">
            <v>100</v>
          </cell>
          <cell r="N4581">
            <v>45002</v>
          </cell>
        </row>
        <row r="4582">
          <cell r="L4582">
            <v>100</v>
          </cell>
          <cell r="N4582">
            <v>45002</v>
          </cell>
        </row>
        <row r="4583">
          <cell r="L4583">
            <v>100</v>
          </cell>
          <cell r="N4583">
            <v>45002</v>
          </cell>
        </row>
        <row r="4584">
          <cell r="L4584">
            <v>100</v>
          </cell>
          <cell r="N4584">
            <v>45002</v>
          </cell>
        </row>
        <row r="4585">
          <cell r="L4585">
            <v>100</v>
          </cell>
          <cell r="N4585">
            <v>45002</v>
          </cell>
        </row>
        <row r="4586">
          <cell r="L4586">
            <v>100</v>
          </cell>
          <cell r="N4586">
            <v>45002</v>
          </cell>
        </row>
        <row r="4587">
          <cell r="L4587">
            <v>100</v>
          </cell>
          <cell r="N4587">
            <v>45002</v>
          </cell>
        </row>
        <row r="4588">
          <cell r="L4588">
            <v>100</v>
          </cell>
          <cell r="N4588">
            <v>45002</v>
          </cell>
        </row>
        <row r="4589">
          <cell r="L4589">
            <v>100</v>
          </cell>
          <cell r="N4589">
            <v>45002</v>
          </cell>
        </row>
        <row r="4590">
          <cell r="L4590">
            <v>100</v>
          </cell>
          <cell r="N4590">
            <v>45002</v>
          </cell>
        </row>
        <row r="4591">
          <cell r="L4591">
            <v>100</v>
          </cell>
          <cell r="N4591">
            <v>45002</v>
          </cell>
        </row>
        <row r="4592">
          <cell r="L4592">
            <v>100</v>
          </cell>
          <cell r="N4592">
            <v>45002</v>
          </cell>
        </row>
        <row r="4593">
          <cell r="L4593">
            <v>100</v>
          </cell>
          <cell r="N4593">
            <v>45002</v>
          </cell>
        </row>
        <row r="4594">
          <cell r="L4594">
            <v>100</v>
          </cell>
          <cell r="N4594">
            <v>45002</v>
          </cell>
        </row>
        <row r="4595">
          <cell r="L4595">
            <v>100</v>
          </cell>
          <cell r="N4595">
            <v>45002</v>
          </cell>
        </row>
        <row r="4596">
          <cell r="L4596">
            <v>100</v>
          </cell>
          <cell r="N4596">
            <v>45002</v>
          </cell>
        </row>
        <row r="4597">
          <cell r="L4597">
            <v>100</v>
          </cell>
          <cell r="N4597">
            <v>45002</v>
          </cell>
        </row>
        <row r="4598">
          <cell r="L4598">
            <v>100</v>
          </cell>
          <cell r="N4598">
            <v>45002</v>
          </cell>
        </row>
        <row r="4599">
          <cell r="L4599">
            <v>100</v>
          </cell>
          <cell r="N4599">
            <v>45002</v>
          </cell>
        </row>
        <row r="4600">
          <cell r="L4600">
            <v>100</v>
          </cell>
          <cell r="N4600">
            <v>45002</v>
          </cell>
        </row>
        <row r="4601">
          <cell r="L4601">
            <v>100</v>
          </cell>
          <cell r="N4601">
            <v>45002</v>
          </cell>
        </row>
        <row r="4602">
          <cell r="L4602">
            <v>100</v>
          </cell>
          <cell r="N4602">
            <v>45002</v>
          </cell>
        </row>
        <row r="4603">
          <cell r="L4603">
            <v>100</v>
          </cell>
          <cell r="N4603">
            <v>45002</v>
          </cell>
        </row>
        <row r="4604">
          <cell r="L4604">
            <v>100</v>
          </cell>
          <cell r="N4604">
            <v>45002</v>
          </cell>
        </row>
        <row r="4605">
          <cell r="L4605">
            <v>100</v>
          </cell>
          <cell r="N4605">
            <v>45002</v>
          </cell>
        </row>
        <row r="4606">
          <cell r="L4606">
            <v>100</v>
          </cell>
          <cell r="N4606">
            <v>45002</v>
          </cell>
        </row>
        <row r="4607">
          <cell r="L4607">
            <v>100</v>
          </cell>
          <cell r="N4607">
            <v>45002</v>
          </cell>
        </row>
        <row r="4608">
          <cell r="L4608">
            <v>100</v>
          </cell>
          <cell r="N4608">
            <v>44968</v>
          </cell>
        </row>
        <row r="4609">
          <cell r="L4609">
            <v>100</v>
          </cell>
          <cell r="N4609">
            <v>44968</v>
          </cell>
        </row>
        <row r="4610">
          <cell r="L4610">
            <v>100</v>
          </cell>
          <cell r="N4610">
            <v>44968</v>
          </cell>
        </row>
        <row r="4611">
          <cell r="L4611">
            <v>100</v>
          </cell>
          <cell r="N4611">
            <v>44962</v>
          </cell>
        </row>
        <row r="4612">
          <cell r="L4612">
            <v>100</v>
          </cell>
          <cell r="N4612">
            <v>44962</v>
          </cell>
        </row>
        <row r="4613">
          <cell r="L4613">
            <v>100</v>
          </cell>
          <cell r="N4613">
            <v>44929</v>
          </cell>
        </row>
        <row r="4614">
          <cell r="L4614">
            <v>100</v>
          </cell>
          <cell r="N4614">
            <v>44968</v>
          </cell>
        </row>
        <row r="4615">
          <cell r="L4615">
            <v>100</v>
          </cell>
          <cell r="N4615">
            <v>44968</v>
          </cell>
        </row>
        <row r="4616">
          <cell r="L4616">
            <v>100</v>
          </cell>
          <cell r="N4616">
            <v>44935</v>
          </cell>
        </row>
        <row r="4617">
          <cell r="L4617">
            <v>100</v>
          </cell>
          <cell r="N4617">
            <v>44923</v>
          </cell>
        </row>
        <row r="4618">
          <cell r="L4618">
            <v>100</v>
          </cell>
          <cell r="N4618">
            <v>45002</v>
          </cell>
        </row>
        <row r="4619">
          <cell r="L4619">
            <v>100</v>
          </cell>
          <cell r="N4619">
            <v>44956</v>
          </cell>
        </row>
        <row r="4620">
          <cell r="L4620">
            <v>100</v>
          </cell>
          <cell r="N4620">
            <v>45002</v>
          </cell>
        </row>
        <row r="4621">
          <cell r="L4621">
            <v>100</v>
          </cell>
          <cell r="N4621">
            <v>45002</v>
          </cell>
        </row>
        <row r="4622">
          <cell r="L4622">
            <v>100</v>
          </cell>
          <cell r="N4622">
            <v>45002</v>
          </cell>
        </row>
        <row r="4623">
          <cell r="L4623">
            <v>100</v>
          </cell>
          <cell r="N4623">
            <v>45002</v>
          </cell>
        </row>
        <row r="4624">
          <cell r="L4624">
            <v>100</v>
          </cell>
          <cell r="N4624">
            <v>45002</v>
          </cell>
        </row>
        <row r="4625">
          <cell r="L4625">
            <v>100</v>
          </cell>
          <cell r="N4625">
            <v>45002</v>
          </cell>
        </row>
        <row r="4626">
          <cell r="L4626">
            <v>100</v>
          </cell>
          <cell r="N4626">
            <v>45002</v>
          </cell>
        </row>
        <row r="4627">
          <cell r="L4627">
            <v>100</v>
          </cell>
          <cell r="N4627">
            <v>44968</v>
          </cell>
        </row>
        <row r="4628">
          <cell r="L4628">
            <v>100</v>
          </cell>
          <cell r="N4628">
            <v>44968</v>
          </cell>
        </row>
        <row r="4629">
          <cell r="L4629">
            <v>100</v>
          </cell>
          <cell r="N4629">
            <v>44968</v>
          </cell>
        </row>
        <row r="4630">
          <cell r="L4630">
            <v>100</v>
          </cell>
          <cell r="N4630">
            <v>44968</v>
          </cell>
        </row>
        <row r="4631">
          <cell r="L4631">
            <v>100</v>
          </cell>
          <cell r="N4631">
            <v>44970</v>
          </cell>
        </row>
        <row r="4632">
          <cell r="L4632">
            <v>100</v>
          </cell>
          <cell r="N4632">
            <v>44970</v>
          </cell>
        </row>
        <row r="4633">
          <cell r="L4633">
            <v>100</v>
          </cell>
          <cell r="N4633">
            <v>44898</v>
          </cell>
        </row>
        <row r="4634">
          <cell r="L4634">
            <v>100</v>
          </cell>
          <cell r="N4634">
            <v>45002</v>
          </cell>
        </row>
        <row r="4635">
          <cell r="L4635">
            <v>100</v>
          </cell>
          <cell r="N4635">
            <v>44897</v>
          </cell>
        </row>
        <row r="4636">
          <cell r="L4636">
            <v>100</v>
          </cell>
          <cell r="N4636">
            <v>45002</v>
          </cell>
        </row>
        <row r="4637">
          <cell r="L4637">
            <v>100</v>
          </cell>
          <cell r="N4637">
            <v>45002</v>
          </cell>
        </row>
        <row r="4638">
          <cell r="L4638">
            <v>100</v>
          </cell>
          <cell r="N4638">
            <v>45002</v>
          </cell>
        </row>
        <row r="4639">
          <cell r="L4639">
            <v>100</v>
          </cell>
          <cell r="N4639">
            <v>45002</v>
          </cell>
        </row>
        <row r="4640">
          <cell r="L4640">
            <v>100</v>
          </cell>
          <cell r="N4640">
            <v>44833</v>
          </cell>
        </row>
        <row r="4641">
          <cell r="L4641">
            <v>100</v>
          </cell>
          <cell r="N4641">
            <v>45002</v>
          </cell>
        </row>
        <row r="4642">
          <cell r="L4642">
            <v>100</v>
          </cell>
          <cell r="N4642">
            <v>45002</v>
          </cell>
        </row>
        <row r="4643">
          <cell r="L4643">
            <v>100</v>
          </cell>
          <cell r="N4643">
            <v>45002</v>
          </cell>
        </row>
        <row r="4644">
          <cell r="L4644">
            <v>100</v>
          </cell>
          <cell r="N4644">
            <v>45002</v>
          </cell>
        </row>
        <row r="4645">
          <cell r="L4645">
            <v>100</v>
          </cell>
          <cell r="N4645">
            <v>45002</v>
          </cell>
        </row>
        <row r="4646">
          <cell r="L4646">
            <v>100</v>
          </cell>
          <cell r="N4646">
            <v>45002</v>
          </cell>
        </row>
        <row r="4647">
          <cell r="L4647">
            <v>100</v>
          </cell>
          <cell r="N4647">
            <v>45002</v>
          </cell>
        </row>
        <row r="4648">
          <cell r="L4648">
            <v>100</v>
          </cell>
          <cell r="N4648">
            <v>44968</v>
          </cell>
        </row>
        <row r="4649">
          <cell r="L4649">
            <v>100</v>
          </cell>
          <cell r="N4649">
            <v>44968</v>
          </cell>
        </row>
        <row r="4650">
          <cell r="L4650">
            <v>100</v>
          </cell>
          <cell r="N4650">
            <v>44968</v>
          </cell>
        </row>
        <row r="4651">
          <cell r="L4651">
            <v>100</v>
          </cell>
          <cell r="N4651">
            <v>44968</v>
          </cell>
        </row>
        <row r="4652">
          <cell r="L4652">
            <v>100</v>
          </cell>
          <cell r="N4652">
            <v>44962</v>
          </cell>
        </row>
        <row r="4653">
          <cell r="L4653">
            <v>100</v>
          </cell>
          <cell r="N4653">
            <v>44962</v>
          </cell>
        </row>
        <row r="4654">
          <cell r="L4654">
            <v>100</v>
          </cell>
          <cell r="N4654">
            <v>44897</v>
          </cell>
        </row>
        <row r="4655">
          <cell r="L4655">
            <v>100</v>
          </cell>
          <cell r="N4655">
            <v>44968</v>
          </cell>
        </row>
        <row r="4656">
          <cell r="L4656">
            <v>100</v>
          </cell>
          <cell r="N4656">
            <v>44968</v>
          </cell>
        </row>
        <row r="4657">
          <cell r="L4657">
            <v>100</v>
          </cell>
          <cell r="N4657">
            <v>44968</v>
          </cell>
        </row>
        <row r="4658">
          <cell r="L4658">
            <v>100</v>
          </cell>
          <cell r="N4658">
            <v>44968</v>
          </cell>
        </row>
        <row r="4659">
          <cell r="L4659">
            <v>100</v>
          </cell>
          <cell r="N4659">
            <v>44968</v>
          </cell>
        </row>
        <row r="4660">
          <cell r="L4660">
            <v>100</v>
          </cell>
          <cell r="N4660">
            <v>44968</v>
          </cell>
        </row>
        <row r="4661">
          <cell r="L4661">
            <v>100</v>
          </cell>
          <cell r="N4661">
            <v>44968</v>
          </cell>
        </row>
        <row r="4662">
          <cell r="L4662">
            <v>100</v>
          </cell>
          <cell r="N4662">
            <v>44968</v>
          </cell>
        </row>
        <row r="4663">
          <cell r="L4663">
            <v>100</v>
          </cell>
          <cell r="N4663">
            <v>44968</v>
          </cell>
        </row>
        <row r="4664">
          <cell r="L4664">
            <v>100</v>
          </cell>
          <cell r="N4664">
            <v>44968</v>
          </cell>
        </row>
        <row r="4665">
          <cell r="L4665">
            <v>100</v>
          </cell>
          <cell r="N4665">
            <v>44968</v>
          </cell>
        </row>
        <row r="4666">
          <cell r="L4666">
            <v>100</v>
          </cell>
          <cell r="N4666">
            <v>44968</v>
          </cell>
        </row>
        <row r="4667">
          <cell r="L4667">
            <v>100</v>
          </cell>
          <cell r="N4667">
            <v>44968</v>
          </cell>
        </row>
        <row r="4668">
          <cell r="L4668">
            <v>100</v>
          </cell>
          <cell r="N4668">
            <v>44968</v>
          </cell>
        </row>
        <row r="4669">
          <cell r="L4669">
            <v>100</v>
          </cell>
          <cell r="N4669">
            <v>44968</v>
          </cell>
        </row>
        <row r="4670">
          <cell r="L4670">
            <v>100</v>
          </cell>
          <cell r="N4670">
            <v>44968</v>
          </cell>
        </row>
        <row r="4671">
          <cell r="L4671">
            <v>100</v>
          </cell>
          <cell r="N4671">
            <v>44968</v>
          </cell>
        </row>
        <row r="4672">
          <cell r="L4672">
            <v>100</v>
          </cell>
          <cell r="N4672">
            <v>44968</v>
          </cell>
        </row>
        <row r="4673">
          <cell r="L4673">
            <v>100</v>
          </cell>
          <cell r="N4673">
            <v>44839</v>
          </cell>
        </row>
        <row r="4674">
          <cell r="L4674">
            <v>100</v>
          </cell>
          <cell r="N4674">
            <v>44839</v>
          </cell>
        </row>
        <row r="4675">
          <cell r="L4675">
            <v>100</v>
          </cell>
          <cell r="N4675">
            <v>44968</v>
          </cell>
        </row>
        <row r="4676">
          <cell r="L4676">
            <v>100</v>
          </cell>
          <cell r="N4676">
            <v>44968</v>
          </cell>
        </row>
        <row r="4677">
          <cell r="L4677">
            <v>100</v>
          </cell>
          <cell r="N4677">
            <v>44968</v>
          </cell>
        </row>
        <row r="4678">
          <cell r="L4678">
            <v>100</v>
          </cell>
          <cell r="N4678">
            <v>44968</v>
          </cell>
        </row>
        <row r="4679">
          <cell r="L4679">
            <v>100</v>
          </cell>
          <cell r="N4679">
            <v>45002</v>
          </cell>
        </row>
        <row r="4680">
          <cell r="L4680">
            <v>100</v>
          </cell>
          <cell r="N4680">
            <v>45002</v>
          </cell>
        </row>
        <row r="4681">
          <cell r="L4681">
            <v>100</v>
          </cell>
          <cell r="N4681">
            <v>45002</v>
          </cell>
        </row>
        <row r="4682">
          <cell r="L4682">
            <v>100</v>
          </cell>
          <cell r="N4682">
            <v>45002</v>
          </cell>
        </row>
        <row r="4683">
          <cell r="L4683">
            <v>100</v>
          </cell>
          <cell r="N4683">
            <v>45002</v>
          </cell>
        </row>
        <row r="4684">
          <cell r="L4684">
            <v>100</v>
          </cell>
          <cell r="N4684">
            <v>45002</v>
          </cell>
        </row>
        <row r="4685">
          <cell r="L4685">
            <v>100</v>
          </cell>
          <cell r="N4685">
            <v>45002</v>
          </cell>
        </row>
        <row r="4686">
          <cell r="L4686">
            <v>100</v>
          </cell>
          <cell r="N4686">
            <v>45002</v>
          </cell>
        </row>
        <row r="4687">
          <cell r="L4687">
            <v>100</v>
          </cell>
          <cell r="N4687">
            <v>44839</v>
          </cell>
        </row>
        <row r="4688">
          <cell r="L4688">
            <v>100</v>
          </cell>
          <cell r="N4688">
            <v>45002</v>
          </cell>
        </row>
        <row r="4689">
          <cell r="L4689">
            <v>100</v>
          </cell>
          <cell r="N4689">
            <v>44968</v>
          </cell>
        </row>
        <row r="4690">
          <cell r="L4690">
            <v>100</v>
          </cell>
          <cell r="N4690">
            <v>44968</v>
          </cell>
        </row>
        <row r="4691">
          <cell r="L4691">
            <v>100</v>
          </cell>
          <cell r="N4691">
            <v>44968</v>
          </cell>
        </row>
        <row r="4692">
          <cell r="L4692">
            <v>100</v>
          </cell>
          <cell r="N4692">
            <v>44968</v>
          </cell>
        </row>
        <row r="4693">
          <cell r="L4693">
            <v>100</v>
          </cell>
          <cell r="N4693">
            <v>44939</v>
          </cell>
        </row>
        <row r="4694">
          <cell r="L4694">
            <v>100</v>
          </cell>
          <cell r="N4694">
            <v>44939</v>
          </cell>
        </row>
        <row r="4695">
          <cell r="L4695">
            <v>100</v>
          </cell>
          <cell r="N4695">
            <v>44880</v>
          </cell>
        </row>
        <row r="4696">
          <cell r="L4696">
            <v>100</v>
          </cell>
          <cell r="N4696">
            <v>45002</v>
          </cell>
        </row>
        <row r="4697">
          <cell r="L4697">
            <v>100</v>
          </cell>
          <cell r="N4697">
            <v>45002</v>
          </cell>
        </row>
        <row r="4698">
          <cell r="L4698">
            <v>100</v>
          </cell>
          <cell r="N4698">
            <v>45002</v>
          </cell>
        </row>
        <row r="4699">
          <cell r="L4699">
            <v>100</v>
          </cell>
          <cell r="N4699">
            <v>45002</v>
          </cell>
        </row>
        <row r="4700">
          <cell r="L4700">
            <v>100</v>
          </cell>
          <cell r="N4700">
            <v>44839</v>
          </cell>
        </row>
        <row r="4701">
          <cell r="L4701">
            <v>100</v>
          </cell>
          <cell r="N4701">
            <v>44938</v>
          </cell>
        </row>
        <row r="4702">
          <cell r="L4702">
            <v>100</v>
          </cell>
          <cell r="N4702">
            <v>45002</v>
          </cell>
        </row>
        <row r="4703">
          <cell r="L4703">
            <v>100</v>
          </cell>
          <cell r="N4703">
            <v>44953</v>
          </cell>
        </row>
        <row r="4704">
          <cell r="L4704">
            <v>100</v>
          </cell>
          <cell r="N4704">
            <v>44962</v>
          </cell>
        </row>
        <row r="4705">
          <cell r="L4705">
            <v>100</v>
          </cell>
          <cell r="N4705">
            <v>44953</v>
          </cell>
        </row>
        <row r="4706">
          <cell r="L4706">
            <v>100</v>
          </cell>
          <cell r="N4706">
            <v>44953</v>
          </cell>
        </row>
        <row r="4707">
          <cell r="L4707">
            <v>100</v>
          </cell>
          <cell r="N4707">
            <v>44953</v>
          </cell>
        </row>
        <row r="4708">
          <cell r="L4708">
            <v>100</v>
          </cell>
          <cell r="N4708">
            <v>44962</v>
          </cell>
        </row>
        <row r="4709">
          <cell r="L4709">
            <v>100</v>
          </cell>
          <cell r="N4709">
            <v>44962</v>
          </cell>
        </row>
        <row r="4710">
          <cell r="L4710">
            <v>100</v>
          </cell>
          <cell r="N4710">
            <v>44739</v>
          </cell>
        </row>
        <row r="4711">
          <cell r="L4711">
            <v>100</v>
          </cell>
          <cell r="N4711">
            <v>44739</v>
          </cell>
        </row>
        <row r="4712">
          <cell r="L4712">
            <v>100</v>
          </cell>
          <cell r="N4712">
            <v>44820</v>
          </cell>
        </row>
        <row r="4713">
          <cell r="L4713">
            <v>100</v>
          </cell>
          <cell r="N4713">
            <v>44820</v>
          </cell>
        </row>
        <row r="4714">
          <cell r="L4714">
            <v>100</v>
          </cell>
          <cell r="N4714">
            <v>44758</v>
          </cell>
        </row>
        <row r="4715">
          <cell r="L4715">
            <v>100</v>
          </cell>
          <cell r="N4715">
            <v>44758</v>
          </cell>
        </row>
        <row r="4716">
          <cell r="L4716">
            <v>100</v>
          </cell>
          <cell r="N4716">
            <v>44729</v>
          </cell>
        </row>
        <row r="4717">
          <cell r="L4717">
            <v>100</v>
          </cell>
          <cell r="N4717">
            <v>44953</v>
          </cell>
        </row>
        <row r="4718">
          <cell r="L4718">
            <v>100</v>
          </cell>
          <cell r="N4718">
            <v>44962</v>
          </cell>
        </row>
        <row r="4719">
          <cell r="L4719">
            <v>100</v>
          </cell>
          <cell r="N4719">
            <v>44962</v>
          </cell>
        </row>
        <row r="4720">
          <cell r="L4720">
            <v>100</v>
          </cell>
          <cell r="N4720">
            <v>44962</v>
          </cell>
        </row>
        <row r="4721">
          <cell r="L4721">
            <v>100</v>
          </cell>
          <cell r="N4721">
            <v>44962</v>
          </cell>
        </row>
        <row r="4722">
          <cell r="L4722">
            <v>100</v>
          </cell>
          <cell r="N4722">
            <v>44962</v>
          </cell>
        </row>
        <row r="4723">
          <cell r="L4723">
            <v>100</v>
          </cell>
          <cell r="N4723">
            <v>44962</v>
          </cell>
        </row>
        <row r="4724">
          <cell r="L4724">
            <v>100</v>
          </cell>
          <cell r="N4724">
            <v>44953</v>
          </cell>
        </row>
        <row r="4725">
          <cell r="L4725">
            <v>100</v>
          </cell>
          <cell r="N4725">
            <v>44953</v>
          </cell>
        </row>
        <row r="4726">
          <cell r="L4726">
            <v>100</v>
          </cell>
          <cell r="N4726">
            <v>44953</v>
          </cell>
        </row>
        <row r="4727">
          <cell r="L4727">
            <v>100</v>
          </cell>
          <cell r="N4727">
            <v>44953</v>
          </cell>
        </row>
        <row r="4728">
          <cell r="L4728">
            <v>100</v>
          </cell>
          <cell r="N4728">
            <v>44720</v>
          </cell>
        </row>
        <row r="4729">
          <cell r="L4729">
            <v>100</v>
          </cell>
          <cell r="N4729">
            <v>44720</v>
          </cell>
        </row>
        <row r="4730">
          <cell r="L4730">
            <v>100</v>
          </cell>
          <cell r="N4730">
            <v>44720</v>
          </cell>
        </row>
        <row r="4731">
          <cell r="L4731">
            <v>100</v>
          </cell>
          <cell r="N4731">
            <v>44720</v>
          </cell>
        </row>
        <row r="4732">
          <cell r="L4732">
            <v>100</v>
          </cell>
          <cell r="N4732">
            <v>44720</v>
          </cell>
        </row>
        <row r="4733">
          <cell r="L4733">
            <v>100</v>
          </cell>
          <cell r="N4733">
            <v>44720</v>
          </cell>
        </row>
        <row r="4734">
          <cell r="L4734">
            <v>100</v>
          </cell>
          <cell r="N4734">
            <v>44962</v>
          </cell>
        </row>
        <row r="4735">
          <cell r="L4735">
            <v>100</v>
          </cell>
          <cell r="N4735">
            <v>44962</v>
          </cell>
        </row>
        <row r="4736">
          <cell r="L4736">
            <v>100</v>
          </cell>
          <cell r="N4736">
            <v>44962</v>
          </cell>
        </row>
        <row r="4737">
          <cell r="L4737">
            <v>100</v>
          </cell>
          <cell r="N4737">
            <v>44962</v>
          </cell>
        </row>
        <row r="4738">
          <cell r="L4738">
            <v>100</v>
          </cell>
          <cell r="N4738">
            <v>44953</v>
          </cell>
        </row>
        <row r="4739">
          <cell r="L4739">
            <v>100</v>
          </cell>
          <cell r="N4739">
            <v>44957</v>
          </cell>
        </row>
        <row r="4740">
          <cell r="L4740">
            <v>100</v>
          </cell>
          <cell r="N4740">
            <v>44953</v>
          </cell>
        </row>
        <row r="4741">
          <cell r="L4741">
            <v>100</v>
          </cell>
          <cell r="N4741">
            <v>44953</v>
          </cell>
        </row>
        <row r="4742">
          <cell r="L4742">
            <v>100</v>
          </cell>
          <cell r="N4742">
            <v>44953</v>
          </cell>
        </row>
        <row r="4743">
          <cell r="L4743">
            <v>100</v>
          </cell>
          <cell r="N4743">
            <v>44953</v>
          </cell>
        </row>
        <row r="4744">
          <cell r="L4744">
            <v>100</v>
          </cell>
          <cell r="N4744">
            <v>44953</v>
          </cell>
        </row>
        <row r="4745">
          <cell r="L4745">
            <v>100</v>
          </cell>
          <cell r="N4745">
            <v>44953</v>
          </cell>
        </row>
        <row r="4746">
          <cell r="L4746">
            <v>100</v>
          </cell>
          <cell r="N4746">
            <v>44953</v>
          </cell>
        </row>
        <row r="4747">
          <cell r="L4747">
            <v>100</v>
          </cell>
          <cell r="N4747">
            <v>44962</v>
          </cell>
        </row>
        <row r="4748">
          <cell r="L4748">
            <v>100</v>
          </cell>
          <cell r="N4748">
            <v>44953</v>
          </cell>
        </row>
        <row r="4749">
          <cell r="L4749">
            <v>100</v>
          </cell>
          <cell r="N4749">
            <v>44953</v>
          </cell>
        </row>
        <row r="4750">
          <cell r="L4750">
            <v>100</v>
          </cell>
          <cell r="N4750">
            <v>44953</v>
          </cell>
        </row>
        <row r="4751">
          <cell r="L4751">
            <v>100</v>
          </cell>
          <cell r="N4751">
            <v>44962</v>
          </cell>
        </row>
        <row r="4752">
          <cell r="L4752">
            <v>100</v>
          </cell>
          <cell r="N4752">
            <v>44962</v>
          </cell>
        </row>
        <row r="4753">
          <cell r="L4753">
            <v>100</v>
          </cell>
          <cell r="N4753">
            <v>44957</v>
          </cell>
        </row>
        <row r="4754">
          <cell r="L4754">
            <v>100</v>
          </cell>
          <cell r="N4754">
            <v>44957</v>
          </cell>
        </row>
        <row r="4755">
          <cell r="L4755">
            <v>100</v>
          </cell>
          <cell r="N4755">
            <v>44957</v>
          </cell>
        </row>
        <row r="4756">
          <cell r="L4756">
            <v>100</v>
          </cell>
          <cell r="N4756">
            <v>44957</v>
          </cell>
        </row>
        <row r="4757">
          <cell r="L4757">
            <v>100</v>
          </cell>
          <cell r="N4757">
            <v>44957</v>
          </cell>
        </row>
        <row r="4758">
          <cell r="L4758">
            <v>100</v>
          </cell>
          <cell r="N4758">
            <v>44957</v>
          </cell>
        </row>
        <row r="4759">
          <cell r="L4759">
            <v>100</v>
          </cell>
          <cell r="N4759">
            <v>44957</v>
          </cell>
        </row>
        <row r="4760">
          <cell r="L4760">
            <v>100</v>
          </cell>
          <cell r="N4760">
            <v>44957</v>
          </cell>
        </row>
        <row r="4761">
          <cell r="L4761">
            <v>100</v>
          </cell>
          <cell r="N4761">
            <v>44957</v>
          </cell>
        </row>
        <row r="4762">
          <cell r="L4762">
            <v>100</v>
          </cell>
          <cell r="N4762">
            <v>44957</v>
          </cell>
        </row>
        <row r="4763">
          <cell r="L4763">
            <v>100</v>
          </cell>
          <cell r="N4763">
            <v>44957</v>
          </cell>
        </row>
        <row r="4764">
          <cell r="L4764">
            <v>100</v>
          </cell>
          <cell r="N4764">
            <v>44957</v>
          </cell>
        </row>
        <row r="4765">
          <cell r="L4765">
            <v>100</v>
          </cell>
          <cell r="N4765">
            <v>44957</v>
          </cell>
        </row>
        <row r="4766">
          <cell r="L4766">
            <v>100</v>
          </cell>
          <cell r="N4766">
            <v>44957</v>
          </cell>
        </row>
        <row r="4767">
          <cell r="L4767">
            <v>100</v>
          </cell>
          <cell r="N4767">
            <v>44957</v>
          </cell>
        </row>
        <row r="4768">
          <cell r="L4768">
            <v>100</v>
          </cell>
          <cell r="N4768">
            <v>44957</v>
          </cell>
        </row>
        <row r="4769">
          <cell r="L4769">
            <v>100</v>
          </cell>
          <cell r="N4769">
            <v>44957</v>
          </cell>
        </row>
        <row r="4770">
          <cell r="L4770">
            <v>100</v>
          </cell>
          <cell r="N4770">
            <v>44957</v>
          </cell>
        </row>
        <row r="4771">
          <cell r="L4771">
            <v>100</v>
          </cell>
          <cell r="N4771">
            <v>44957</v>
          </cell>
        </row>
        <row r="4772">
          <cell r="L4772">
            <v>100</v>
          </cell>
          <cell r="N4772">
            <v>44957</v>
          </cell>
        </row>
        <row r="4773">
          <cell r="L4773">
            <v>100</v>
          </cell>
          <cell r="N4773">
            <v>44957</v>
          </cell>
        </row>
        <row r="4774">
          <cell r="L4774">
            <v>100</v>
          </cell>
          <cell r="N4774">
            <v>44957</v>
          </cell>
        </row>
        <row r="4775">
          <cell r="L4775">
            <v>100</v>
          </cell>
          <cell r="N4775">
            <v>44957</v>
          </cell>
        </row>
        <row r="4776">
          <cell r="L4776">
            <v>100</v>
          </cell>
          <cell r="N4776">
            <v>44957</v>
          </cell>
        </row>
        <row r="4777">
          <cell r="L4777">
            <v>100</v>
          </cell>
          <cell r="N4777">
            <v>44957</v>
          </cell>
        </row>
        <row r="4778">
          <cell r="L4778">
            <v>100</v>
          </cell>
          <cell r="N4778">
            <v>44957</v>
          </cell>
        </row>
        <row r="4779">
          <cell r="L4779">
            <v>100</v>
          </cell>
          <cell r="N4779">
            <v>44957</v>
          </cell>
        </row>
        <row r="4780">
          <cell r="L4780">
            <v>100</v>
          </cell>
          <cell r="N4780">
            <v>44957</v>
          </cell>
        </row>
        <row r="4781">
          <cell r="L4781">
            <v>100</v>
          </cell>
          <cell r="N4781">
            <v>44957</v>
          </cell>
        </row>
        <row r="4782">
          <cell r="L4782">
            <v>100</v>
          </cell>
          <cell r="N4782">
            <v>44957</v>
          </cell>
        </row>
        <row r="4783">
          <cell r="L4783">
            <v>100</v>
          </cell>
          <cell r="N4783">
            <v>44957</v>
          </cell>
        </row>
        <row r="4784">
          <cell r="L4784">
            <v>100</v>
          </cell>
          <cell r="N4784">
            <v>44957</v>
          </cell>
        </row>
        <row r="4785">
          <cell r="L4785">
            <v>100</v>
          </cell>
          <cell r="N4785">
            <v>44957</v>
          </cell>
        </row>
        <row r="4786">
          <cell r="L4786">
            <v>100</v>
          </cell>
          <cell r="N4786">
            <v>44957</v>
          </cell>
        </row>
        <row r="4787">
          <cell r="L4787">
            <v>100</v>
          </cell>
          <cell r="N4787">
            <v>44957</v>
          </cell>
        </row>
        <row r="4788">
          <cell r="L4788">
            <v>100</v>
          </cell>
          <cell r="N4788">
            <v>44957</v>
          </cell>
        </row>
        <row r="4789">
          <cell r="L4789">
            <v>100</v>
          </cell>
          <cell r="N4789">
            <v>44957</v>
          </cell>
        </row>
        <row r="4790">
          <cell r="L4790">
            <v>100</v>
          </cell>
          <cell r="N4790">
            <v>44957</v>
          </cell>
        </row>
        <row r="4791">
          <cell r="L4791">
            <v>100</v>
          </cell>
          <cell r="N4791">
            <v>44957</v>
          </cell>
        </row>
        <row r="4792">
          <cell r="L4792">
            <v>100</v>
          </cell>
          <cell r="N4792">
            <v>44957</v>
          </cell>
        </row>
        <row r="4793">
          <cell r="L4793">
            <v>100</v>
          </cell>
          <cell r="N4793">
            <v>44957</v>
          </cell>
        </row>
        <row r="4794">
          <cell r="L4794">
            <v>100</v>
          </cell>
          <cell r="N4794">
            <v>44922</v>
          </cell>
        </row>
        <row r="4795">
          <cell r="L4795">
            <v>100</v>
          </cell>
          <cell r="N4795">
            <v>44922</v>
          </cell>
        </row>
        <row r="4796">
          <cell r="L4796">
            <v>100</v>
          </cell>
          <cell r="N4796">
            <v>44928</v>
          </cell>
        </row>
        <row r="4797">
          <cell r="L4797">
            <v>100</v>
          </cell>
          <cell r="N4797"/>
        </row>
        <row r="4798">
          <cell r="L4798">
            <v>100</v>
          </cell>
          <cell r="N4798"/>
        </row>
        <row r="4799">
          <cell r="L4799">
            <v>100</v>
          </cell>
          <cell r="N4799"/>
        </row>
        <row r="4800">
          <cell r="L4800">
            <v>100</v>
          </cell>
          <cell r="N4800">
            <v>44949</v>
          </cell>
        </row>
        <row r="4801">
          <cell r="L4801">
            <v>100</v>
          </cell>
          <cell r="N4801"/>
        </row>
        <row r="4802">
          <cell r="L4802">
            <v>100</v>
          </cell>
          <cell r="N4802"/>
        </row>
        <row r="4803">
          <cell r="L4803">
            <v>100</v>
          </cell>
          <cell r="N4803"/>
        </row>
        <row r="4804">
          <cell r="L4804">
            <v>100</v>
          </cell>
          <cell r="N4804"/>
        </row>
        <row r="4805">
          <cell r="L4805">
            <v>100</v>
          </cell>
          <cell r="N4805">
            <v>44949</v>
          </cell>
        </row>
        <row r="4806">
          <cell r="L4806">
            <v>100</v>
          </cell>
          <cell r="N4806">
            <v>44928</v>
          </cell>
        </row>
        <row r="4807">
          <cell r="L4807">
            <v>100</v>
          </cell>
          <cell r="N4807">
            <v>44928</v>
          </cell>
        </row>
        <row r="4808">
          <cell r="L4808">
            <v>100</v>
          </cell>
          <cell r="N4808">
            <v>44928</v>
          </cell>
        </row>
        <row r="4809">
          <cell r="L4809">
            <v>0</v>
          </cell>
          <cell r="N4809">
            <v>45001</v>
          </cell>
        </row>
        <row r="4810">
          <cell r="L4810">
            <v>0</v>
          </cell>
          <cell r="N4810">
            <v>45001</v>
          </cell>
        </row>
        <row r="4811">
          <cell r="L4811">
            <v>0</v>
          </cell>
          <cell r="N4811">
            <v>45001</v>
          </cell>
        </row>
        <row r="4812">
          <cell r="L4812">
            <v>0</v>
          </cell>
          <cell r="N4812">
            <v>45001</v>
          </cell>
        </row>
        <row r="4813">
          <cell r="L4813">
            <v>0</v>
          </cell>
          <cell r="N4813">
            <v>45001</v>
          </cell>
        </row>
        <row r="4814">
          <cell r="L4814">
            <v>0</v>
          </cell>
          <cell r="N4814">
            <v>45001</v>
          </cell>
        </row>
        <row r="4815">
          <cell r="L4815">
            <v>100</v>
          </cell>
          <cell r="N4815">
            <v>44977</v>
          </cell>
        </row>
        <row r="4816">
          <cell r="L4816">
            <v>100</v>
          </cell>
          <cell r="N4816">
            <v>44933</v>
          </cell>
        </row>
        <row r="4817">
          <cell r="L4817">
            <v>100</v>
          </cell>
          <cell r="N4817">
            <v>44933</v>
          </cell>
        </row>
        <row r="4818">
          <cell r="L4818">
            <v>100</v>
          </cell>
          <cell r="N4818">
            <v>44924</v>
          </cell>
        </row>
        <row r="4819">
          <cell r="L4819">
            <v>100</v>
          </cell>
          <cell r="N4819">
            <v>44924</v>
          </cell>
        </row>
        <row r="4820">
          <cell r="L4820">
            <v>100</v>
          </cell>
          <cell r="N4820">
            <v>44977</v>
          </cell>
        </row>
        <row r="4821">
          <cell r="L4821">
            <v>100</v>
          </cell>
          <cell r="N4821">
            <v>44904</v>
          </cell>
        </row>
        <row r="4822">
          <cell r="L4822">
            <v>100</v>
          </cell>
          <cell r="N4822">
            <v>44928</v>
          </cell>
        </row>
        <row r="4823">
          <cell r="L4823">
            <v>100</v>
          </cell>
          <cell r="N4823">
            <v>44922</v>
          </cell>
        </row>
        <row r="4824">
          <cell r="L4824">
            <v>100</v>
          </cell>
          <cell r="N4824">
            <v>44922</v>
          </cell>
        </row>
        <row r="4825">
          <cell r="L4825">
            <v>100</v>
          </cell>
          <cell r="N4825">
            <v>44977</v>
          </cell>
        </row>
        <row r="4826">
          <cell r="L4826">
            <v>100</v>
          </cell>
          <cell r="N4826">
            <v>44977</v>
          </cell>
        </row>
        <row r="4827">
          <cell r="L4827">
            <v>100</v>
          </cell>
          <cell r="N4827">
            <v>44977</v>
          </cell>
        </row>
        <row r="4828">
          <cell r="L4828">
            <v>100</v>
          </cell>
          <cell r="N4828">
            <v>44977</v>
          </cell>
        </row>
        <row r="4829">
          <cell r="L4829">
            <v>100</v>
          </cell>
          <cell r="N4829">
            <v>44966</v>
          </cell>
        </row>
        <row r="4830">
          <cell r="L4830">
            <v>100</v>
          </cell>
          <cell r="N4830">
            <v>44966</v>
          </cell>
        </row>
        <row r="4831">
          <cell r="L4831">
            <v>100</v>
          </cell>
          <cell r="N4831">
            <v>44966</v>
          </cell>
        </row>
        <row r="4832">
          <cell r="L4832">
            <v>100</v>
          </cell>
          <cell r="N4832">
            <v>44966</v>
          </cell>
        </row>
        <row r="4833">
          <cell r="L4833">
            <v>100</v>
          </cell>
          <cell r="N4833">
            <v>44966</v>
          </cell>
        </row>
        <row r="4834">
          <cell r="L4834">
            <v>100</v>
          </cell>
          <cell r="N4834">
            <v>44966</v>
          </cell>
        </row>
        <row r="4835">
          <cell r="L4835">
            <v>100</v>
          </cell>
          <cell r="N4835">
            <v>44966</v>
          </cell>
        </row>
        <row r="4836">
          <cell r="L4836">
            <v>100</v>
          </cell>
          <cell r="N4836">
            <v>44966</v>
          </cell>
        </row>
        <row r="4837">
          <cell r="L4837">
            <v>100</v>
          </cell>
          <cell r="N4837">
            <v>44966</v>
          </cell>
        </row>
        <row r="4838">
          <cell r="L4838">
            <v>100</v>
          </cell>
          <cell r="N4838">
            <v>44966</v>
          </cell>
        </row>
        <row r="4839">
          <cell r="L4839">
            <v>100</v>
          </cell>
          <cell r="N4839">
            <v>44966</v>
          </cell>
        </row>
        <row r="4840">
          <cell r="L4840">
            <v>100</v>
          </cell>
          <cell r="N4840">
            <v>44966</v>
          </cell>
        </row>
        <row r="4841">
          <cell r="L4841">
            <v>100</v>
          </cell>
          <cell r="N4841">
            <v>44966</v>
          </cell>
        </row>
        <row r="4842">
          <cell r="L4842">
            <v>100</v>
          </cell>
          <cell r="N4842">
            <v>44969</v>
          </cell>
        </row>
        <row r="4843">
          <cell r="L4843">
            <v>100</v>
          </cell>
          <cell r="N4843">
            <v>44969</v>
          </cell>
        </row>
        <row r="4844">
          <cell r="L4844">
            <v>100</v>
          </cell>
          <cell r="N4844">
            <v>44969</v>
          </cell>
        </row>
        <row r="4845">
          <cell r="L4845">
            <v>100</v>
          </cell>
          <cell r="N4845">
            <v>44969</v>
          </cell>
        </row>
        <row r="4846">
          <cell r="L4846">
            <v>100</v>
          </cell>
          <cell r="N4846">
            <v>44969</v>
          </cell>
        </row>
        <row r="4847">
          <cell r="L4847">
            <v>100</v>
          </cell>
          <cell r="N4847">
            <v>44969</v>
          </cell>
        </row>
        <row r="4848">
          <cell r="L4848">
            <v>100</v>
          </cell>
          <cell r="N4848">
            <v>44969</v>
          </cell>
        </row>
        <row r="4849">
          <cell r="L4849">
            <v>100</v>
          </cell>
          <cell r="N4849">
            <v>44969</v>
          </cell>
        </row>
        <row r="4850">
          <cell r="L4850">
            <v>100</v>
          </cell>
          <cell r="N4850">
            <v>44969</v>
          </cell>
        </row>
        <row r="4851">
          <cell r="L4851">
            <v>100</v>
          </cell>
          <cell r="N4851">
            <v>44967</v>
          </cell>
        </row>
        <row r="4852">
          <cell r="L4852">
            <v>100</v>
          </cell>
          <cell r="N4852">
            <v>44967</v>
          </cell>
        </row>
        <row r="4853">
          <cell r="L4853">
            <v>100</v>
          </cell>
          <cell r="N4853">
            <v>44967</v>
          </cell>
        </row>
        <row r="4854">
          <cell r="L4854">
            <v>100</v>
          </cell>
          <cell r="N4854">
            <v>44967</v>
          </cell>
        </row>
        <row r="4855">
          <cell r="L4855">
            <v>100</v>
          </cell>
          <cell r="N4855">
            <v>44967</v>
          </cell>
        </row>
        <row r="4856">
          <cell r="L4856">
            <v>100</v>
          </cell>
          <cell r="N4856">
            <v>44967</v>
          </cell>
        </row>
        <row r="4857">
          <cell r="L4857">
            <v>100</v>
          </cell>
          <cell r="N4857">
            <v>44967</v>
          </cell>
        </row>
        <row r="4858">
          <cell r="L4858">
            <v>100</v>
          </cell>
          <cell r="N4858">
            <v>44967</v>
          </cell>
        </row>
        <row r="4859">
          <cell r="L4859">
            <v>100</v>
          </cell>
          <cell r="N4859">
            <v>44967</v>
          </cell>
        </row>
        <row r="4860">
          <cell r="L4860">
            <v>100</v>
          </cell>
          <cell r="N4860">
            <v>44967</v>
          </cell>
        </row>
        <row r="4861">
          <cell r="L4861">
            <v>100</v>
          </cell>
          <cell r="N4861">
            <v>44967</v>
          </cell>
        </row>
        <row r="4862">
          <cell r="L4862">
            <v>100</v>
          </cell>
          <cell r="N4862">
            <v>44967</v>
          </cell>
        </row>
        <row r="4863">
          <cell r="L4863">
            <v>100</v>
          </cell>
          <cell r="N4863">
            <v>44967</v>
          </cell>
        </row>
        <row r="4864">
          <cell r="L4864">
            <v>100</v>
          </cell>
          <cell r="N4864">
            <v>44978</v>
          </cell>
        </row>
        <row r="4865">
          <cell r="L4865">
            <v>100</v>
          </cell>
          <cell r="N4865">
            <v>44978</v>
          </cell>
        </row>
        <row r="4866">
          <cell r="L4866">
            <v>100</v>
          </cell>
          <cell r="N4866">
            <v>44978</v>
          </cell>
        </row>
        <row r="4867">
          <cell r="L4867">
            <v>100</v>
          </cell>
          <cell r="N4867">
            <v>44978</v>
          </cell>
        </row>
        <row r="4868">
          <cell r="L4868">
            <v>100</v>
          </cell>
          <cell r="N4868">
            <v>44978</v>
          </cell>
        </row>
        <row r="4869">
          <cell r="L4869">
            <v>100</v>
          </cell>
          <cell r="N4869">
            <v>44978</v>
          </cell>
        </row>
        <row r="4870">
          <cell r="L4870">
            <v>100</v>
          </cell>
          <cell r="N4870">
            <v>44978</v>
          </cell>
        </row>
        <row r="4871">
          <cell r="L4871">
            <v>100</v>
          </cell>
          <cell r="N4871">
            <v>44978</v>
          </cell>
        </row>
        <row r="4872">
          <cell r="L4872">
            <v>100</v>
          </cell>
          <cell r="N4872">
            <v>44978</v>
          </cell>
        </row>
        <row r="4873">
          <cell r="L4873">
            <v>100</v>
          </cell>
          <cell r="N4873">
            <v>44978</v>
          </cell>
        </row>
        <row r="4874">
          <cell r="L4874">
            <v>100</v>
          </cell>
          <cell r="N4874">
            <v>44978</v>
          </cell>
        </row>
        <row r="4875">
          <cell r="L4875">
            <v>100</v>
          </cell>
          <cell r="N4875">
            <v>44978</v>
          </cell>
        </row>
        <row r="4876">
          <cell r="L4876">
            <v>100</v>
          </cell>
          <cell r="N4876">
            <v>44978</v>
          </cell>
        </row>
        <row r="4877">
          <cell r="L4877">
            <v>100</v>
          </cell>
          <cell r="N4877">
            <v>44901</v>
          </cell>
        </row>
        <row r="4878">
          <cell r="L4878">
            <v>100</v>
          </cell>
          <cell r="N4878">
            <v>44901</v>
          </cell>
        </row>
        <row r="4879">
          <cell r="L4879">
            <v>100</v>
          </cell>
          <cell r="N4879">
            <v>44901</v>
          </cell>
        </row>
        <row r="4880">
          <cell r="L4880">
            <v>100</v>
          </cell>
          <cell r="N4880">
            <v>44901</v>
          </cell>
        </row>
        <row r="4881">
          <cell r="L4881">
            <v>100</v>
          </cell>
          <cell r="N4881">
            <v>44901</v>
          </cell>
        </row>
        <row r="4882">
          <cell r="L4882">
            <v>100</v>
          </cell>
          <cell r="N4882">
            <v>44901</v>
          </cell>
        </row>
        <row r="4883">
          <cell r="L4883">
            <v>100</v>
          </cell>
          <cell r="N4883">
            <v>44901</v>
          </cell>
        </row>
        <row r="4884">
          <cell r="L4884">
            <v>100</v>
          </cell>
          <cell r="N4884">
            <v>44901</v>
          </cell>
        </row>
        <row r="4885">
          <cell r="L4885">
            <v>100</v>
          </cell>
          <cell r="N4885">
            <v>44901</v>
          </cell>
        </row>
        <row r="4886">
          <cell r="L4886">
            <v>100</v>
          </cell>
          <cell r="N4886">
            <v>44901</v>
          </cell>
        </row>
        <row r="4887">
          <cell r="L4887">
            <v>100</v>
          </cell>
          <cell r="N4887">
            <v>44901</v>
          </cell>
        </row>
        <row r="4888">
          <cell r="L4888">
            <v>100</v>
          </cell>
          <cell r="N4888">
            <v>44901</v>
          </cell>
        </row>
        <row r="4889">
          <cell r="L4889">
            <v>100</v>
          </cell>
          <cell r="N4889">
            <v>44901</v>
          </cell>
        </row>
        <row r="4890">
          <cell r="L4890">
            <v>100</v>
          </cell>
          <cell r="N4890">
            <v>44967</v>
          </cell>
        </row>
        <row r="4891">
          <cell r="L4891">
            <v>100</v>
          </cell>
          <cell r="N4891">
            <v>44967</v>
          </cell>
        </row>
        <row r="4892">
          <cell r="L4892">
            <v>100</v>
          </cell>
          <cell r="N4892">
            <v>44967</v>
          </cell>
        </row>
        <row r="4893">
          <cell r="L4893">
            <v>100</v>
          </cell>
          <cell r="N4893">
            <v>44967</v>
          </cell>
        </row>
        <row r="4894">
          <cell r="L4894">
            <v>100</v>
          </cell>
          <cell r="N4894">
            <v>44967</v>
          </cell>
        </row>
        <row r="4895">
          <cell r="L4895">
            <v>100</v>
          </cell>
          <cell r="N4895">
            <v>44967</v>
          </cell>
        </row>
        <row r="4896">
          <cell r="L4896">
            <v>100</v>
          </cell>
          <cell r="N4896">
            <v>44967</v>
          </cell>
        </row>
        <row r="4897">
          <cell r="L4897">
            <v>100</v>
          </cell>
          <cell r="N4897">
            <v>44967</v>
          </cell>
        </row>
        <row r="4898">
          <cell r="L4898">
            <v>100</v>
          </cell>
          <cell r="N4898">
            <v>44967</v>
          </cell>
        </row>
        <row r="4899">
          <cell r="L4899">
            <v>100</v>
          </cell>
          <cell r="N4899">
            <v>44967</v>
          </cell>
        </row>
        <row r="4900">
          <cell r="L4900">
            <v>100</v>
          </cell>
          <cell r="N4900">
            <v>44967</v>
          </cell>
        </row>
        <row r="4901">
          <cell r="L4901">
            <v>100</v>
          </cell>
          <cell r="N4901">
            <v>44967</v>
          </cell>
        </row>
        <row r="4902">
          <cell r="L4902">
            <v>100</v>
          </cell>
          <cell r="N4902">
            <v>44966</v>
          </cell>
        </row>
        <row r="4903">
          <cell r="L4903">
            <v>100</v>
          </cell>
          <cell r="N4903">
            <v>44966</v>
          </cell>
        </row>
        <row r="4904">
          <cell r="L4904">
            <v>100</v>
          </cell>
          <cell r="N4904">
            <v>44966</v>
          </cell>
        </row>
        <row r="4905">
          <cell r="L4905">
            <v>100</v>
          </cell>
          <cell r="N4905">
            <v>44966</v>
          </cell>
        </row>
        <row r="4906">
          <cell r="L4906">
            <v>100</v>
          </cell>
          <cell r="N4906">
            <v>44966</v>
          </cell>
        </row>
        <row r="4907">
          <cell r="L4907">
            <v>100</v>
          </cell>
          <cell r="N4907">
            <v>44966</v>
          </cell>
        </row>
        <row r="4908">
          <cell r="L4908">
            <v>100</v>
          </cell>
          <cell r="N4908">
            <v>44966</v>
          </cell>
        </row>
        <row r="4909">
          <cell r="L4909">
            <v>100</v>
          </cell>
          <cell r="N4909">
            <v>44966</v>
          </cell>
        </row>
        <row r="4910">
          <cell r="L4910">
            <v>100</v>
          </cell>
          <cell r="N4910">
            <v>44966</v>
          </cell>
        </row>
        <row r="4911">
          <cell r="L4911">
            <v>100</v>
          </cell>
          <cell r="N4911">
            <v>44966</v>
          </cell>
        </row>
        <row r="4912">
          <cell r="L4912">
            <v>100</v>
          </cell>
          <cell r="N4912">
            <v>44966</v>
          </cell>
        </row>
        <row r="4913">
          <cell r="L4913">
            <v>100</v>
          </cell>
          <cell r="N4913">
            <v>44966</v>
          </cell>
        </row>
        <row r="4914">
          <cell r="L4914">
            <v>100</v>
          </cell>
          <cell r="N4914">
            <v>44966</v>
          </cell>
        </row>
        <row r="4915">
          <cell r="L4915">
            <v>100</v>
          </cell>
          <cell r="N4915">
            <v>44966</v>
          </cell>
        </row>
        <row r="4916">
          <cell r="L4916">
            <v>100</v>
          </cell>
          <cell r="N4916">
            <v>44966</v>
          </cell>
        </row>
        <row r="4917">
          <cell r="L4917">
            <v>100</v>
          </cell>
          <cell r="N4917">
            <v>44966</v>
          </cell>
        </row>
        <row r="4918">
          <cell r="L4918">
            <v>100</v>
          </cell>
          <cell r="N4918">
            <v>44966</v>
          </cell>
        </row>
        <row r="4919">
          <cell r="L4919">
            <v>100</v>
          </cell>
          <cell r="N4919">
            <v>44966</v>
          </cell>
        </row>
        <row r="4920">
          <cell r="L4920">
            <v>100</v>
          </cell>
          <cell r="N4920">
            <v>44966</v>
          </cell>
        </row>
        <row r="4921">
          <cell r="L4921">
            <v>100</v>
          </cell>
          <cell r="N4921">
            <v>44966</v>
          </cell>
        </row>
        <row r="4922">
          <cell r="L4922">
            <v>100</v>
          </cell>
          <cell r="N4922">
            <v>44966</v>
          </cell>
        </row>
        <row r="4923">
          <cell r="L4923">
            <v>100</v>
          </cell>
          <cell r="N4923">
            <v>44966</v>
          </cell>
        </row>
        <row r="4924">
          <cell r="L4924">
            <v>100</v>
          </cell>
          <cell r="N4924">
            <v>44966</v>
          </cell>
        </row>
        <row r="4925">
          <cell r="L4925">
            <v>100</v>
          </cell>
          <cell r="N4925">
            <v>44966</v>
          </cell>
        </row>
        <row r="4926">
          <cell r="L4926">
            <v>100</v>
          </cell>
          <cell r="N4926">
            <v>44967</v>
          </cell>
        </row>
        <row r="4927">
          <cell r="L4927">
            <v>100</v>
          </cell>
          <cell r="N4927">
            <v>44967</v>
          </cell>
        </row>
        <row r="4928">
          <cell r="L4928">
            <v>100</v>
          </cell>
          <cell r="N4928">
            <v>44967</v>
          </cell>
        </row>
        <row r="4929">
          <cell r="L4929">
            <v>100</v>
          </cell>
          <cell r="N4929">
            <v>44967</v>
          </cell>
        </row>
        <row r="4930">
          <cell r="L4930">
            <v>100</v>
          </cell>
          <cell r="N4930">
            <v>44967</v>
          </cell>
        </row>
        <row r="4931">
          <cell r="L4931">
            <v>100</v>
          </cell>
          <cell r="N4931">
            <v>44967</v>
          </cell>
        </row>
        <row r="4932">
          <cell r="L4932">
            <v>100</v>
          </cell>
          <cell r="N4932">
            <v>44967</v>
          </cell>
        </row>
        <row r="4933">
          <cell r="L4933">
            <v>100</v>
          </cell>
          <cell r="N4933">
            <v>44967</v>
          </cell>
        </row>
        <row r="4934">
          <cell r="L4934">
            <v>100</v>
          </cell>
          <cell r="N4934">
            <v>44967</v>
          </cell>
        </row>
        <row r="4935">
          <cell r="L4935">
            <v>100</v>
          </cell>
          <cell r="N4935">
            <v>44967</v>
          </cell>
        </row>
        <row r="4936">
          <cell r="L4936">
            <v>100</v>
          </cell>
          <cell r="N4936">
            <v>44967</v>
          </cell>
        </row>
        <row r="4937">
          <cell r="L4937">
            <v>100</v>
          </cell>
          <cell r="N4937">
            <v>44967</v>
          </cell>
        </row>
        <row r="4938">
          <cell r="L4938">
            <v>100</v>
          </cell>
          <cell r="N4938">
            <v>44967</v>
          </cell>
        </row>
        <row r="4939">
          <cell r="L4939">
            <v>100</v>
          </cell>
          <cell r="N4939">
            <v>44967</v>
          </cell>
        </row>
        <row r="4940">
          <cell r="L4940">
            <v>100</v>
          </cell>
          <cell r="N4940">
            <v>44967</v>
          </cell>
        </row>
        <row r="4941">
          <cell r="L4941">
            <v>100</v>
          </cell>
          <cell r="N4941">
            <v>44967</v>
          </cell>
        </row>
        <row r="4942">
          <cell r="L4942">
            <v>100</v>
          </cell>
          <cell r="N4942">
            <v>44966</v>
          </cell>
        </row>
        <row r="4943">
          <cell r="L4943">
            <v>100</v>
          </cell>
          <cell r="N4943">
            <v>44966</v>
          </cell>
        </row>
        <row r="4944">
          <cell r="L4944">
            <v>100</v>
          </cell>
          <cell r="N4944">
            <v>44966</v>
          </cell>
        </row>
        <row r="4945">
          <cell r="L4945">
            <v>100</v>
          </cell>
          <cell r="N4945">
            <v>44966</v>
          </cell>
        </row>
        <row r="4946">
          <cell r="L4946">
            <v>100</v>
          </cell>
          <cell r="N4946">
            <v>44966</v>
          </cell>
        </row>
        <row r="4947">
          <cell r="L4947">
            <v>100</v>
          </cell>
          <cell r="N4947">
            <v>44966</v>
          </cell>
        </row>
        <row r="4948">
          <cell r="L4948">
            <v>100</v>
          </cell>
          <cell r="N4948">
            <v>44966</v>
          </cell>
        </row>
        <row r="4949">
          <cell r="L4949">
            <v>100</v>
          </cell>
          <cell r="N4949">
            <v>44966</v>
          </cell>
        </row>
        <row r="4950">
          <cell r="L4950">
            <v>100</v>
          </cell>
          <cell r="N4950">
            <v>44966</v>
          </cell>
        </row>
        <row r="4951">
          <cell r="L4951">
            <v>100</v>
          </cell>
          <cell r="N4951">
            <v>44966</v>
          </cell>
        </row>
        <row r="4952">
          <cell r="L4952">
            <v>100</v>
          </cell>
          <cell r="N4952">
            <v>44966</v>
          </cell>
        </row>
        <row r="4953">
          <cell r="L4953">
            <v>100</v>
          </cell>
          <cell r="N4953">
            <v>44966</v>
          </cell>
        </row>
        <row r="4954">
          <cell r="L4954">
            <v>100</v>
          </cell>
          <cell r="N4954">
            <v>44966</v>
          </cell>
        </row>
        <row r="4955">
          <cell r="L4955">
            <v>100</v>
          </cell>
          <cell r="N4955">
            <v>44966</v>
          </cell>
        </row>
        <row r="4956">
          <cell r="L4956">
            <v>100</v>
          </cell>
          <cell r="N4956">
            <v>44966</v>
          </cell>
        </row>
        <row r="4957">
          <cell r="L4957">
            <v>100</v>
          </cell>
          <cell r="N4957">
            <v>44966</v>
          </cell>
        </row>
        <row r="4958">
          <cell r="L4958">
            <v>100</v>
          </cell>
          <cell r="N4958">
            <v>44967</v>
          </cell>
        </row>
        <row r="4959">
          <cell r="L4959">
            <v>100</v>
          </cell>
          <cell r="N4959">
            <v>44967</v>
          </cell>
        </row>
        <row r="4960">
          <cell r="L4960">
            <v>100</v>
          </cell>
          <cell r="N4960">
            <v>44967</v>
          </cell>
        </row>
        <row r="4961">
          <cell r="L4961">
            <v>100</v>
          </cell>
          <cell r="N4961">
            <v>44967</v>
          </cell>
        </row>
        <row r="4962">
          <cell r="L4962">
            <v>100</v>
          </cell>
          <cell r="N4962">
            <v>44966</v>
          </cell>
        </row>
        <row r="4963">
          <cell r="L4963">
            <v>100</v>
          </cell>
          <cell r="N4963">
            <v>44966</v>
          </cell>
        </row>
        <row r="4964">
          <cell r="L4964">
            <v>100</v>
          </cell>
          <cell r="N4964">
            <v>44966</v>
          </cell>
        </row>
        <row r="4965">
          <cell r="L4965">
            <v>100</v>
          </cell>
          <cell r="N4965">
            <v>44966</v>
          </cell>
        </row>
        <row r="4966">
          <cell r="L4966">
            <v>100</v>
          </cell>
          <cell r="N4966">
            <v>44966</v>
          </cell>
        </row>
        <row r="4967">
          <cell r="L4967">
            <v>100</v>
          </cell>
          <cell r="N4967">
            <v>44966</v>
          </cell>
        </row>
        <row r="4968">
          <cell r="L4968">
            <v>100</v>
          </cell>
          <cell r="N4968">
            <v>44966</v>
          </cell>
        </row>
        <row r="4969">
          <cell r="L4969">
            <v>100</v>
          </cell>
          <cell r="N4969">
            <v>44966</v>
          </cell>
        </row>
        <row r="4970">
          <cell r="L4970">
            <v>100</v>
          </cell>
          <cell r="N4970">
            <v>44977</v>
          </cell>
        </row>
        <row r="4971">
          <cell r="L4971">
            <v>100</v>
          </cell>
          <cell r="N4971">
            <v>44977</v>
          </cell>
        </row>
        <row r="4972">
          <cell r="L4972">
            <v>100</v>
          </cell>
          <cell r="N4972">
            <v>44977</v>
          </cell>
        </row>
        <row r="4973">
          <cell r="L4973">
            <v>100</v>
          </cell>
          <cell r="N4973">
            <v>44977</v>
          </cell>
        </row>
        <row r="4974">
          <cell r="L4974">
            <v>100</v>
          </cell>
          <cell r="N4974">
            <v>44968</v>
          </cell>
        </row>
        <row r="4975">
          <cell r="L4975">
            <v>100</v>
          </cell>
          <cell r="N4975">
            <v>44968</v>
          </cell>
        </row>
        <row r="4976">
          <cell r="L4976">
            <v>100</v>
          </cell>
          <cell r="N4976">
            <v>44968</v>
          </cell>
        </row>
        <row r="4977">
          <cell r="L4977">
            <v>100</v>
          </cell>
          <cell r="N4977">
            <v>44968</v>
          </cell>
        </row>
        <row r="4978">
          <cell r="L4978">
            <v>100</v>
          </cell>
          <cell r="N4978">
            <v>44968</v>
          </cell>
        </row>
        <row r="4979">
          <cell r="L4979">
            <v>100</v>
          </cell>
          <cell r="N4979">
            <v>44968</v>
          </cell>
        </row>
        <row r="4980">
          <cell r="L4980">
            <v>100</v>
          </cell>
          <cell r="N4980">
            <v>44968</v>
          </cell>
        </row>
        <row r="4981">
          <cell r="L4981">
            <v>100</v>
          </cell>
          <cell r="N4981">
            <v>44968</v>
          </cell>
        </row>
        <row r="4982">
          <cell r="L4982">
            <v>100</v>
          </cell>
          <cell r="N4982">
            <v>44949</v>
          </cell>
        </row>
        <row r="4983">
          <cell r="L4983">
            <v>100</v>
          </cell>
          <cell r="N4983">
            <v>44949</v>
          </cell>
        </row>
        <row r="4984">
          <cell r="L4984">
            <v>100</v>
          </cell>
          <cell r="N4984">
            <v>44949</v>
          </cell>
        </row>
        <row r="4985">
          <cell r="L4985">
            <v>100</v>
          </cell>
          <cell r="N4985">
            <v>44949</v>
          </cell>
        </row>
        <row r="4986">
          <cell r="L4986">
            <v>100</v>
          </cell>
          <cell r="N4986">
            <v>44949</v>
          </cell>
        </row>
        <row r="4987">
          <cell r="L4987">
            <v>100</v>
          </cell>
          <cell r="N4987">
            <v>44949</v>
          </cell>
        </row>
        <row r="4988">
          <cell r="L4988">
            <v>100</v>
          </cell>
          <cell r="N4988">
            <v>44949</v>
          </cell>
        </row>
        <row r="4989">
          <cell r="L4989">
            <v>100</v>
          </cell>
          <cell r="N4989">
            <v>44949</v>
          </cell>
        </row>
        <row r="4990">
          <cell r="L4990">
            <v>100</v>
          </cell>
          <cell r="N4990">
            <v>44949</v>
          </cell>
        </row>
        <row r="4991">
          <cell r="L4991">
            <v>100</v>
          </cell>
          <cell r="N4991">
            <v>44949</v>
          </cell>
        </row>
        <row r="4992">
          <cell r="L4992">
            <v>100</v>
          </cell>
          <cell r="N4992">
            <v>44949</v>
          </cell>
        </row>
        <row r="4993">
          <cell r="L4993">
            <v>100</v>
          </cell>
          <cell r="N4993">
            <v>44949</v>
          </cell>
        </row>
        <row r="4994">
          <cell r="L4994">
            <v>100</v>
          </cell>
          <cell r="N4994">
            <v>44949</v>
          </cell>
        </row>
        <row r="4995">
          <cell r="L4995">
            <v>100</v>
          </cell>
          <cell r="N4995">
            <v>44949</v>
          </cell>
        </row>
        <row r="4996">
          <cell r="L4996">
            <v>100</v>
          </cell>
          <cell r="N4996">
            <v>44949</v>
          </cell>
        </row>
        <row r="4997">
          <cell r="L4997">
            <v>100</v>
          </cell>
          <cell r="N4997">
            <v>44949</v>
          </cell>
        </row>
        <row r="4998">
          <cell r="L4998">
            <v>100</v>
          </cell>
          <cell r="N4998">
            <v>44968</v>
          </cell>
        </row>
        <row r="4999">
          <cell r="L4999">
            <v>100</v>
          </cell>
          <cell r="N4999">
            <v>44968</v>
          </cell>
        </row>
        <row r="5000">
          <cell r="L5000">
            <v>100</v>
          </cell>
          <cell r="N5000">
            <v>44968</v>
          </cell>
        </row>
        <row r="5001">
          <cell r="L5001">
            <v>100</v>
          </cell>
          <cell r="N5001">
            <v>44968</v>
          </cell>
        </row>
        <row r="5002">
          <cell r="L5002">
            <v>100</v>
          </cell>
          <cell r="N5002">
            <v>44968</v>
          </cell>
        </row>
        <row r="5003">
          <cell r="L5003">
            <v>100</v>
          </cell>
          <cell r="N5003">
            <v>44968</v>
          </cell>
        </row>
        <row r="5004">
          <cell r="L5004">
            <v>100</v>
          </cell>
          <cell r="N5004">
            <v>44968</v>
          </cell>
        </row>
        <row r="5005">
          <cell r="L5005">
            <v>100</v>
          </cell>
          <cell r="N5005">
            <v>44968</v>
          </cell>
        </row>
        <row r="5006">
          <cell r="L5006">
            <v>100</v>
          </cell>
          <cell r="N5006">
            <v>44968</v>
          </cell>
        </row>
        <row r="5007">
          <cell r="L5007">
            <v>100</v>
          </cell>
          <cell r="N5007">
            <v>44968</v>
          </cell>
        </row>
        <row r="5008">
          <cell r="L5008">
            <v>100</v>
          </cell>
          <cell r="N5008">
            <v>44968</v>
          </cell>
        </row>
        <row r="5009">
          <cell r="L5009">
            <v>100</v>
          </cell>
          <cell r="N5009">
            <v>44968</v>
          </cell>
        </row>
        <row r="5010">
          <cell r="L5010">
            <v>100</v>
          </cell>
          <cell r="N5010">
            <v>44968</v>
          </cell>
        </row>
        <row r="5011">
          <cell r="L5011">
            <v>100</v>
          </cell>
          <cell r="N5011">
            <v>44968</v>
          </cell>
        </row>
        <row r="5012">
          <cell r="L5012">
            <v>100</v>
          </cell>
          <cell r="N5012">
            <v>44968</v>
          </cell>
        </row>
        <row r="5013">
          <cell r="L5013">
            <v>100</v>
          </cell>
          <cell r="N5013">
            <v>44968</v>
          </cell>
        </row>
        <row r="5014">
          <cell r="L5014">
            <v>100</v>
          </cell>
          <cell r="N5014">
            <v>44949</v>
          </cell>
        </row>
        <row r="5015">
          <cell r="L5015">
            <v>100</v>
          </cell>
          <cell r="N5015">
            <v>44949</v>
          </cell>
        </row>
        <row r="5016">
          <cell r="L5016">
            <v>100</v>
          </cell>
          <cell r="N5016">
            <v>44949</v>
          </cell>
        </row>
        <row r="5017">
          <cell r="L5017">
            <v>100</v>
          </cell>
          <cell r="N5017">
            <v>44949</v>
          </cell>
        </row>
        <row r="5018">
          <cell r="L5018">
            <v>100</v>
          </cell>
          <cell r="N5018">
            <v>44949</v>
          </cell>
        </row>
        <row r="5019">
          <cell r="L5019">
            <v>100</v>
          </cell>
          <cell r="N5019">
            <v>44949</v>
          </cell>
        </row>
        <row r="5020">
          <cell r="L5020">
            <v>100</v>
          </cell>
          <cell r="N5020">
            <v>44949</v>
          </cell>
        </row>
        <row r="5021">
          <cell r="L5021">
            <v>100</v>
          </cell>
          <cell r="N5021">
            <v>44949</v>
          </cell>
        </row>
        <row r="5022">
          <cell r="L5022">
            <v>100</v>
          </cell>
          <cell r="N5022">
            <v>44949</v>
          </cell>
        </row>
        <row r="5023">
          <cell r="L5023">
            <v>100</v>
          </cell>
          <cell r="N5023">
            <v>44949</v>
          </cell>
        </row>
        <row r="5024">
          <cell r="L5024">
            <v>100</v>
          </cell>
          <cell r="N5024">
            <v>44949</v>
          </cell>
        </row>
        <row r="5025">
          <cell r="L5025">
            <v>100</v>
          </cell>
          <cell r="N5025">
            <v>44949</v>
          </cell>
        </row>
        <row r="5026">
          <cell r="L5026">
            <v>100</v>
          </cell>
          <cell r="N5026">
            <v>44949</v>
          </cell>
        </row>
        <row r="5027">
          <cell r="L5027">
            <v>100</v>
          </cell>
          <cell r="N5027">
            <v>44949</v>
          </cell>
        </row>
        <row r="5028">
          <cell r="L5028">
            <v>100</v>
          </cell>
          <cell r="N5028">
            <v>44949</v>
          </cell>
        </row>
        <row r="5029">
          <cell r="L5029">
            <v>100</v>
          </cell>
          <cell r="N5029">
            <v>44949</v>
          </cell>
        </row>
        <row r="5030">
          <cell r="L5030">
            <v>100</v>
          </cell>
          <cell r="N5030">
            <v>44968</v>
          </cell>
        </row>
        <row r="5031">
          <cell r="L5031">
            <v>100</v>
          </cell>
          <cell r="N5031">
            <v>44968</v>
          </cell>
        </row>
        <row r="5032">
          <cell r="L5032">
            <v>100</v>
          </cell>
          <cell r="N5032">
            <v>44968</v>
          </cell>
        </row>
        <row r="5033">
          <cell r="L5033">
            <v>100</v>
          </cell>
          <cell r="N5033">
            <v>44968</v>
          </cell>
        </row>
        <row r="5034">
          <cell r="L5034">
            <v>100</v>
          </cell>
          <cell r="N5034">
            <v>44968</v>
          </cell>
        </row>
        <row r="5035">
          <cell r="L5035">
            <v>100</v>
          </cell>
          <cell r="N5035">
            <v>44968</v>
          </cell>
        </row>
        <row r="5036">
          <cell r="L5036">
            <v>100</v>
          </cell>
          <cell r="N5036">
            <v>44968</v>
          </cell>
        </row>
        <row r="5037">
          <cell r="L5037">
            <v>100</v>
          </cell>
          <cell r="N5037">
            <v>44968</v>
          </cell>
        </row>
        <row r="5038">
          <cell r="L5038">
            <v>100</v>
          </cell>
          <cell r="N5038">
            <v>44949</v>
          </cell>
        </row>
        <row r="5039">
          <cell r="L5039">
            <v>100</v>
          </cell>
          <cell r="N5039">
            <v>44949</v>
          </cell>
        </row>
        <row r="5040">
          <cell r="L5040">
            <v>100</v>
          </cell>
          <cell r="N5040">
            <v>44949</v>
          </cell>
        </row>
        <row r="5041">
          <cell r="L5041">
            <v>100</v>
          </cell>
          <cell r="N5041">
            <v>44949</v>
          </cell>
        </row>
        <row r="5042">
          <cell r="L5042">
            <v>100</v>
          </cell>
          <cell r="N5042">
            <v>44949</v>
          </cell>
        </row>
        <row r="5043">
          <cell r="L5043">
            <v>100</v>
          </cell>
          <cell r="N5043">
            <v>44949</v>
          </cell>
        </row>
        <row r="5044">
          <cell r="L5044">
            <v>100</v>
          </cell>
          <cell r="N5044">
            <v>44949</v>
          </cell>
        </row>
        <row r="5045">
          <cell r="L5045">
            <v>100</v>
          </cell>
          <cell r="N5045">
            <v>44949</v>
          </cell>
        </row>
        <row r="5046">
          <cell r="L5046">
            <v>100</v>
          </cell>
          <cell r="N5046">
            <v>44949</v>
          </cell>
        </row>
        <row r="5047">
          <cell r="L5047">
            <v>100</v>
          </cell>
          <cell r="N5047">
            <v>44949</v>
          </cell>
        </row>
        <row r="5048">
          <cell r="L5048">
            <v>100</v>
          </cell>
          <cell r="N5048">
            <v>44949</v>
          </cell>
        </row>
        <row r="5049">
          <cell r="L5049">
            <v>100</v>
          </cell>
          <cell r="N5049">
            <v>44949</v>
          </cell>
        </row>
        <row r="5050">
          <cell r="L5050">
            <v>100</v>
          </cell>
          <cell r="N5050">
            <v>44949</v>
          </cell>
        </row>
        <row r="5051">
          <cell r="L5051">
            <v>100</v>
          </cell>
          <cell r="N5051">
            <v>44949</v>
          </cell>
        </row>
        <row r="5052">
          <cell r="L5052">
            <v>100</v>
          </cell>
          <cell r="N5052">
            <v>44949</v>
          </cell>
        </row>
        <row r="5053">
          <cell r="L5053">
            <v>100</v>
          </cell>
          <cell r="N5053">
            <v>44949</v>
          </cell>
        </row>
        <row r="5054">
          <cell r="L5054">
            <v>100</v>
          </cell>
          <cell r="N5054">
            <v>44977</v>
          </cell>
        </row>
        <row r="5055">
          <cell r="L5055">
            <v>100</v>
          </cell>
          <cell r="N5055">
            <v>44977</v>
          </cell>
        </row>
        <row r="5056">
          <cell r="L5056">
            <v>100</v>
          </cell>
          <cell r="N5056">
            <v>44977</v>
          </cell>
        </row>
        <row r="5057">
          <cell r="L5057">
            <v>100</v>
          </cell>
          <cell r="N5057">
            <v>44977</v>
          </cell>
        </row>
        <row r="5058">
          <cell r="L5058">
            <v>100</v>
          </cell>
          <cell r="N5058">
            <v>44974</v>
          </cell>
        </row>
        <row r="5059">
          <cell r="L5059">
            <v>100</v>
          </cell>
          <cell r="N5059">
            <v>44974</v>
          </cell>
        </row>
        <row r="5060">
          <cell r="L5060">
            <v>100</v>
          </cell>
          <cell r="N5060">
            <v>44974</v>
          </cell>
        </row>
        <row r="5061">
          <cell r="L5061">
            <v>100</v>
          </cell>
          <cell r="N5061">
            <v>44974</v>
          </cell>
        </row>
        <row r="5062">
          <cell r="L5062">
            <v>100</v>
          </cell>
          <cell r="N5062">
            <v>44974</v>
          </cell>
        </row>
        <row r="5063">
          <cell r="L5063">
            <v>100</v>
          </cell>
          <cell r="N5063">
            <v>44974</v>
          </cell>
        </row>
        <row r="5064">
          <cell r="L5064">
            <v>100</v>
          </cell>
          <cell r="N5064">
            <v>44974</v>
          </cell>
        </row>
        <row r="5065">
          <cell r="L5065">
            <v>100</v>
          </cell>
          <cell r="N5065">
            <v>44974</v>
          </cell>
        </row>
        <row r="5066">
          <cell r="L5066">
            <v>100</v>
          </cell>
          <cell r="N5066">
            <v>44974</v>
          </cell>
        </row>
        <row r="5067">
          <cell r="L5067">
            <v>100</v>
          </cell>
          <cell r="N5067">
            <v>44974</v>
          </cell>
        </row>
        <row r="5068">
          <cell r="L5068">
            <v>100</v>
          </cell>
          <cell r="N5068">
            <v>44974</v>
          </cell>
        </row>
        <row r="5069">
          <cell r="L5069">
            <v>100</v>
          </cell>
          <cell r="N5069">
            <v>44974</v>
          </cell>
        </row>
        <row r="5070">
          <cell r="L5070">
            <v>100</v>
          </cell>
          <cell r="N5070">
            <v>44974</v>
          </cell>
        </row>
        <row r="5071">
          <cell r="L5071">
            <v>100</v>
          </cell>
          <cell r="N5071">
            <v>44974</v>
          </cell>
        </row>
        <row r="5072">
          <cell r="L5072">
            <v>100</v>
          </cell>
          <cell r="N5072">
            <v>44974</v>
          </cell>
        </row>
        <row r="5073">
          <cell r="L5073">
            <v>100</v>
          </cell>
          <cell r="N5073">
            <v>44974</v>
          </cell>
        </row>
        <row r="5074">
          <cell r="L5074">
            <v>100</v>
          </cell>
          <cell r="N5074">
            <v>44975</v>
          </cell>
        </row>
        <row r="5075">
          <cell r="L5075">
            <v>100</v>
          </cell>
          <cell r="N5075">
            <v>44975</v>
          </cell>
        </row>
        <row r="5076">
          <cell r="L5076">
            <v>100</v>
          </cell>
          <cell r="N5076">
            <v>44975</v>
          </cell>
        </row>
        <row r="5077">
          <cell r="L5077">
            <v>100</v>
          </cell>
          <cell r="N5077">
            <v>44975</v>
          </cell>
        </row>
        <row r="5078">
          <cell r="L5078">
            <v>100</v>
          </cell>
          <cell r="N5078">
            <v>44975</v>
          </cell>
        </row>
        <row r="5079">
          <cell r="L5079">
            <v>100</v>
          </cell>
          <cell r="N5079">
            <v>44975</v>
          </cell>
        </row>
        <row r="5080">
          <cell r="L5080">
            <v>100</v>
          </cell>
          <cell r="N5080">
            <v>44975</v>
          </cell>
        </row>
        <row r="5081">
          <cell r="L5081">
            <v>100</v>
          </cell>
          <cell r="N5081">
            <v>44975</v>
          </cell>
        </row>
        <row r="5082">
          <cell r="L5082">
            <v>100</v>
          </cell>
          <cell r="N5082">
            <v>44975</v>
          </cell>
        </row>
        <row r="5083">
          <cell r="L5083">
            <v>100</v>
          </cell>
          <cell r="N5083">
            <v>44975</v>
          </cell>
        </row>
        <row r="5084">
          <cell r="L5084">
            <v>100</v>
          </cell>
          <cell r="N5084">
            <v>44975</v>
          </cell>
        </row>
        <row r="5085">
          <cell r="L5085">
            <v>100</v>
          </cell>
          <cell r="N5085">
            <v>44975</v>
          </cell>
        </row>
        <row r="5086">
          <cell r="L5086">
            <v>100</v>
          </cell>
          <cell r="N5086">
            <v>44975</v>
          </cell>
        </row>
        <row r="5087">
          <cell r="L5087">
            <v>100</v>
          </cell>
          <cell r="N5087">
            <v>44975</v>
          </cell>
        </row>
        <row r="5088">
          <cell r="L5088">
            <v>100</v>
          </cell>
          <cell r="N5088">
            <v>44975</v>
          </cell>
        </row>
        <row r="5089">
          <cell r="L5089">
            <v>100</v>
          </cell>
          <cell r="N5089">
            <v>44975</v>
          </cell>
        </row>
        <row r="5090">
          <cell r="L5090">
            <v>100</v>
          </cell>
          <cell r="N5090">
            <v>44975</v>
          </cell>
        </row>
        <row r="5091">
          <cell r="L5091">
            <v>100</v>
          </cell>
          <cell r="N5091">
            <v>44975</v>
          </cell>
        </row>
        <row r="5092">
          <cell r="L5092">
            <v>100</v>
          </cell>
          <cell r="N5092">
            <v>44975</v>
          </cell>
        </row>
        <row r="5093">
          <cell r="L5093">
            <v>100</v>
          </cell>
          <cell r="N5093">
            <v>44975</v>
          </cell>
        </row>
        <row r="5094">
          <cell r="L5094">
            <v>100</v>
          </cell>
          <cell r="N5094">
            <v>44975</v>
          </cell>
        </row>
        <row r="5095">
          <cell r="L5095">
            <v>100</v>
          </cell>
          <cell r="N5095">
            <v>44975</v>
          </cell>
        </row>
        <row r="5096">
          <cell r="L5096">
            <v>100</v>
          </cell>
          <cell r="N5096">
            <v>44975</v>
          </cell>
        </row>
        <row r="5097">
          <cell r="L5097">
            <v>100</v>
          </cell>
          <cell r="N5097">
            <v>44975</v>
          </cell>
        </row>
        <row r="5098">
          <cell r="L5098">
            <v>100</v>
          </cell>
          <cell r="N5098">
            <v>44975</v>
          </cell>
        </row>
        <row r="5099">
          <cell r="L5099">
            <v>100</v>
          </cell>
          <cell r="N5099">
            <v>44975</v>
          </cell>
        </row>
        <row r="5100">
          <cell r="L5100">
            <v>100</v>
          </cell>
          <cell r="N5100">
            <v>44975</v>
          </cell>
        </row>
        <row r="5101">
          <cell r="L5101">
            <v>100</v>
          </cell>
          <cell r="N5101">
            <v>44975</v>
          </cell>
        </row>
        <row r="5102">
          <cell r="L5102">
            <v>100</v>
          </cell>
          <cell r="N5102">
            <v>44975</v>
          </cell>
        </row>
        <row r="5103">
          <cell r="L5103">
            <v>100</v>
          </cell>
          <cell r="N5103">
            <v>44975</v>
          </cell>
        </row>
        <row r="5104">
          <cell r="L5104">
            <v>100</v>
          </cell>
          <cell r="N5104">
            <v>44975</v>
          </cell>
        </row>
        <row r="5105">
          <cell r="L5105">
            <v>100</v>
          </cell>
          <cell r="N5105">
            <v>44975</v>
          </cell>
        </row>
        <row r="5106">
          <cell r="L5106">
            <v>100</v>
          </cell>
          <cell r="N5106">
            <v>44974</v>
          </cell>
        </row>
        <row r="5107">
          <cell r="L5107">
            <v>100</v>
          </cell>
          <cell r="N5107">
            <v>44974</v>
          </cell>
        </row>
        <row r="5108">
          <cell r="L5108">
            <v>100</v>
          </cell>
          <cell r="N5108">
            <v>44974</v>
          </cell>
        </row>
        <row r="5109">
          <cell r="L5109">
            <v>100</v>
          </cell>
          <cell r="N5109">
            <v>44974</v>
          </cell>
        </row>
        <row r="5110">
          <cell r="L5110">
            <v>100</v>
          </cell>
          <cell r="N5110">
            <v>44974</v>
          </cell>
        </row>
        <row r="5111">
          <cell r="L5111">
            <v>100</v>
          </cell>
          <cell r="N5111">
            <v>44974</v>
          </cell>
        </row>
        <row r="5112">
          <cell r="L5112">
            <v>100</v>
          </cell>
          <cell r="N5112">
            <v>44974</v>
          </cell>
        </row>
        <row r="5113">
          <cell r="L5113">
            <v>100</v>
          </cell>
          <cell r="N5113">
            <v>44974</v>
          </cell>
        </row>
        <row r="5114">
          <cell r="L5114">
            <v>100</v>
          </cell>
          <cell r="N5114">
            <v>44974</v>
          </cell>
        </row>
        <row r="5115">
          <cell r="L5115">
            <v>100</v>
          </cell>
          <cell r="N5115">
            <v>44974</v>
          </cell>
        </row>
        <row r="5116">
          <cell r="L5116">
            <v>100</v>
          </cell>
          <cell r="N5116">
            <v>44974</v>
          </cell>
        </row>
        <row r="5117">
          <cell r="L5117">
            <v>100</v>
          </cell>
          <cell r="N5117">
            <v>44974</v>
          </cell>
        </row>
        <row r="5118">
          <cell r="L5118">
            <v>100</v>
          </cell>
          <cell r="N5118">
            <v>44974</v>
          </cell>
        </row>
        <row r="5119">
          <cell r="L5119">
            <v>100</v>
          </cell>
          <cell r="N5119">
            <v>44974</v>
          </cell>
        </row>
        <row r="5120">
          <cell r="L5120">
            <v>100</v>
          </cell>
          <cell r="N5120">
            <v>44974</v>
          </cell>
        </row>
        <row r="5121">
          <cell r="L5121">
            <v>100</v>
          </cell>
          <cell r="N5121">
            <v>44974</v>
          </cell>
        </row>
        <row r="5122">
          <cell r="L5122">
            <v>100</v>
          </cell>
          <cell r="N5122">
            <v>44975</v>
          </cell>
        </row>
        <row r="5123">
          <cell r="L5123">
            <v>100</v>
          </cell>
          <cell r="N5123">
            <v>44975</v>
          </cell>
        </row>
        <row r="5124">
          <cell r="L5124">
            <v>100</v>
          </cell>
          <cell r="N5124">
            <v>44975</v>
          </cell>
        </row>
        <row r="5125">
          <cell r="L5125">
            <v>100</v>
          </cell>
          <cell r="N5125">
            <v>44975</v>
          </cell>
        </row>
        <row r="5126">
          <cell r="L5126">
            <v>100</v>
          </cell>
          <cell r="N5126">
            <v>44975</v>
          </cell>
        </row>
        <row r="5127">
          <cell r="L5127">
            <v>100</v>
          </cell>
          <cell r="N5127">
            <v>44975</v>
          </cell>
        </row>
        <row r="5128">
          <cell r="L5128">
            <v>100</v>
          </cell>
          <cell r="N5128">
            <v>44975</v>
          </cell>
        </row>
        <row r="5129">
          <cell r="L5129">
            <v>100</v>
          </cell>
          <cell r="N5129">
            <v>44975</v>
          </cell>
        </row>
        <row r="5130">
          <cell r="L5130">
            <v>100</v>
          </cell>
          <cell r="N5130">
            <v>44975</v>
          </cell>
        </row>
        <row r="5131">
          <cell r="L5131">
            <v>100</v>
          </cell>
          <cell r="N5131">
            <v>44975</v>
          </cell>
        </row>
        <row r="5132">
          <cell r="L5132">
            <v>100</v>
          </cell>
          <cell r="N5132">
            <v>44975</v>
          </cell>
        </row>
        <row r="5133">
          <cell r="L5133">
            <v>100</v>
          </cell>
          <cell r="N5133">
            <v>44975</v>
          </cell>
        </row>
        <row r="5134">
          <cell r="L5134">
            <v>100</v>
          </cell>
          <cell r="N5134">
            <v>44975</v>
          </cell>
        </row>
        <row r="5135">
          <cell r="L5135">
            <v>100</v>
          </cell>
          <cell r="N5135">
            <v>44975</v>
          </cell>
        </row>
        <row r="5136">
          <cell r="L5136">
            <v>100</v>
          </cell>
          <cell r="N5136">
            <v>44975</v>
          </cell>
        </row>
        <row r="5137">
          <cell r="L5137">
            <v>100</v>
          </cell>
          <cell r="N5137">
            <v>44975</v>
          </cell>
        </row>
        <row r="5138">
          <cell r="L5138">
            <v>100</v>
          </cell>
          <cell r="N5138">
            <v>44925</v>
          </cell>
        </row>
        <row r="5139">
          <cell r="L5139">
            <v>100</v>
          </cell>
          <cell r="N5139">
            <v>44925</v>
          </cell>
        </row>
        <row r="5140">
          <cell r="L5140">
            <v>100</v>
          </cell>
          <cell r="N5140">
            <v>44925</v>
          </cell>
        </row>
        <row r="5141">
          <cell r="L5141">
            <v>100</v>
          </cell>
          <cell r="N5141">
            <v>44925</v>
          </cell>
        </row>
        <row r="5142">
          <cell r="L5142">
            <v>100</v>
          </cell>
          <cell r="N5142">
            <v>44925</v>
          </cell>
        </row>
        <row r="5143">
          <cell r="L5143">
            <v>100</v>
          </cell>
          <cell r="N5143">
            <v>44925</v>
          </cell>
        </row>
        <row r="5144">
          <cell r="L5144">
            <v>100</v>
          </cell>
          <cell r="N5144">
            <v>44925</v>
          </cell>
        </row>
        <row r="5145">
          <cell r="L5145">
            <v>100</v>
          </cell>
          <cell r="N5145">
            <v>44925</v>
          </cell>
        </row>
        <row r="5146">
          <cell r="L5146">
            <v>100</v>
          </cell>
          <cell r="N5146">
            <v>44925</v>
          </cell>
        </row>
        <row r="5147">
          <cell r="L5147">
            <v>100</v>
          </cell>
          <cell r="N5147">
            <v>44925</v>
          </cell>
        </row>
        <row r="5148">
          <cell r="L5148">
            <v>100</v>
          </cell>
          <cell r="N5148">
            <v>44925</v>
          </cell>
        </row>
        <row r="5149">
          <cell r="L5149">
            <v>100</v>
          </cell>
          <cell r="N5149">
            <v>44925</v>
          </cell>
        </row>
        <row r="5150">
          <cell r="L5150">
            <v>100</v>
          </cell>
          <cell r="N5150">
            <v>44925</v>
          </cell>
        </row>
        <row r="5151">
          <cell r="L5151">
            <v>100</v>
          </cell>
          <cell r="N5151">
            <v>44978</v>
          </cell>
        </row>
        <row r="5152">
          <cell r="L5152">
            <v>100</v>
          </cell>
          <cell r="N5152">
            <v>44978</v>
          </cell>
        </row>
        <row r="5153">
          <cell r="L5153">
            <v>100</v>
          </cell>
          <cell r="N5153">
            <v>44978</v>
          </cell>
        </row>
        <row r="5154">
          <cell r="L5154">
            <v>100</v>
          </cell>
          <cell r="N5154">
            <v>44978</v>
          </cell>
        </row>
        <row r="5155">
          <cell r="L5155">
            <v>100</v>
          </cell>
          <cell r="N5155">
            <v>44978</v>
          </cell>
        </row>
        <row r="5156">
          <cell r="L5156">
            <v>100</v>
          </cell>
          <cell r="N5156">
            <v>44978</v>
          </cell>
        </row>
        <row r="5157">
          <cell r="L5157">
            <v>100</v>
          </cell>
          <cell r="N5157">
            <v>44978</v>
          </cell>
        </row>
        <row r="5158">
          <cell r="L5158">
            <v>100</v>
          </cell>
          <cell r="N5158">
            <v>44978</v>
          </cell>
        </row>
        <row r="5159">
          <cell r="L5159">
            <v>100</v>
          </cell>
          <cell r="N5159">
            <v>44975</v>
          </cell>
        </row>
        <row r="5160">
          <cell r="L5160">
            <v>100</v>
          </cell>
          <cell r="N5160">
            <v>44975</v>
          </cell>
        </row>
        <row r="5161">
          <cell r="L5161">
            <v>100</v>
          </cell>
          <cell r="N5161">
            <v>44975</v>
          </cell>
        </row>
        <row r="5162">
          <cell r="L5162">
            <v>100</v>
          </cell>
          <cell r="N5162">
            <v>44975</v>
          </cell>
        </row>
        <row r="5163">
          <cell r="L5163">
            <v>100</v>
          </cell>
          <cell r="N5163">
            <v>44975</v>
          </cell>
        </row>
        <row r="5164">
          <cell r="L5164">
            <v>100</v>
          </cell>
          <cell r="N5164">
            <v>44975</v>
          </cell>
        </row>
        <row r="5165">
          <cell r="L5165">
            <v>100</v>
          </cell>
          <cell r="N5165">
            <v>44975</v>
          </cell>
        </row>
        <row r="5166">
          <cell r="L5166">
            <v>100</v>
          </cell>
          <cell r="N5166">
            <v>44975</v>
          </cell>
        </row>
        <row r="5167">
          <cell r="L5167">
            <v>100</v>
          </cell>
          <cell r="N5167">
            <v>44978</v>
          </cell>
        </row>
        <row r="5168">
          <cell r="L5168">
            <v>100</v>
          </cell>
          <cell r="N5168">
            <v>44978</v>
          </cell>
        </row>
        <row r="5169">
          <cell r="L5169">
            <v>100</v>
          </cell>
          <cell r="N5169">
            <v>44978</v>
          </cell>
        </row>
        <row r="5170">
          <cell r="L5170">
            <v>100</v>
          </cell>
          <cell r="N5170">
            <v>44978</v>
          </cell>
        </row>
        <row r="5171">
          <cell r="L5171">
            <v>100</v>
          </cell>
          <cell r="N5171">
            <v>44978</v>
          </cell>
        </row>
        <row r="5172">
          <cell r="L5172">
            <v>100</v>
          </cell>
          <cell r="N5172">
            <v>44978</v>
          </cell>
        </row>
        <row r="5173">
          <cell r="L5173">
            <v>100</v>
          </cell>
          <cell r="N5173">
            <v>44978</v>
          </cell>
        </row>
        <row r="5174">
          <cell r="L5174">
            <v>100</v>
          </cell>
          <cell r="N5174">
            <v>44978</v>
          </cell>
        </row>
        <row r="5175">
          <cell r="L5175">
            <v>100</v>
          </cell>
          <cell r="N5175">
            <v>44975</v>
          </cell>
        </row>
        <row r="5176">
          <cell r="L5176">
            <v>100</v>
          </cell>
          <cell r="N5176">
            <v>44975</v>
          </cell>
        </row>
        <row r="5177">
          <cell r="L5177">
            <v>100</v>
          </cell>
          <cell r="N5177">
            <v>44975</v>
          </cell>
        </row>
        <row r="5178">
          <cell r="L5178">
            <v>100</v>
          </cell>
          <cell r="N5178">
            <v>44975</v>
          </cell>
        </row>
        <row r="5179">
          <cell r="L5179">
            <v>100</v>
          </cell>
          <cell r="N5179">
            <v>44908</v>
          </cell>
        </row>
        <row r="5180">
          <cell r="L5180">
            <v>100</v>
          </cell>
          <cell r="N5180">
            <v>44908</v>
          </cell>
        </row>
        <row r="5181">
          <cell r="L5181">
            <v>100</v>
          </cell>
          <cell r="N5181">
            <v>44908</v>
          </cell>
        </row>
        <row r="5182">
          <cell r="L5182">
            <v>100</v>
          </cell>
          <cell r="N5182">
            <v>44908</v>
          </cell>
        </row>
        <row r="5183">
          <cell r="L5183">
            <v>100</v>
          </cell>
          <cell r="N5183">
            <v>44908</v>
          </cell>
        </row>
        <row r="5184">
          <cell r="L5184">
            <v>100</v>
          </cell>
          <cell r="N5184">
            <v>44908</v>
          </cell>
        </row>
        <row r="5185">
          <cell r="L5185">
            <v>100</v>
          </cell>
          <cell r="N5185">
            <v>44908</v>
          </cell>
        </row>
        <row r="5186">
          <cell r="L5186">
            <v>100</v>
          </cell>
          <cell r="N5186">
            <v>44908</v>
          </cell>
        </row>
        <row r="5187">
          <cell r="L5187">
            <v>100</v>
          </cell>
          <cell r="N5187">
            <v>44908</v>
          </cell>
        </row>
        <row r="5188">
          <cell r="L5188">
            <v>100</v>
          </cell>
          <cell r="N5188">
            <v>44908</v>
          </cell>
        </row>
        <row r="5189">
          <cell r="L5189">
            <v>100</v>
          </cell>
          <cell r="N5189">
            <v>44908</v>
          </cell>
        </row>
        <row r="5190">
          <cell r="L5190">
            <v>100</v>
          </cell>
          <cell r="N5190">
            <v>44908</v>
          </cell>
        </row>
        <row r="5191">
          <cell r="L5191">
            <v>100</v>
          </cell>
          <cell r="N5191">
            <v>44908</v>
          </cell>
        </row>
        <row r="5192">
          <cell r="L5192">
            <v>100</v>
          </cell>
          <cell r="N5192">
            <v>44908</v>
          </cell>
        </row>
        <row r="5193">
          <cell r="L5193">
            <v>100</v>
          </cell>
          <cell r="N5193">
            <v>44908</v>
          </cell>
        </row>
        <row r="5194">
          <cell r="L5194">
            <v>100</v>
          </cell>
          <cell r="N5194">
            <v>44908</v>
          </cell>
        </row>
        <row r="5195">
          <cell r="L5195">
            <v>100</v>
          </cell>
          <cell r="N5195">
            <v>44909</v>
          </cell>
        </row>
        <row r="5196">
          <cell r="L5196">
            <v>100</v>
          </cell>
          <cell r="N5196">
            <v>44909</v>
          </cell>
        </row>
        <row r="5197">
          <cell r="L5197">
            <v>100</v>
          </cell>
          <cell r="N5197">
            <v>44909</v>
          </cell>
        </row>
        <row r="5198">
          <cell r="L5198">
            <v>100</v>
          </cell>
          <cell r="N5198">
            <v>44909</v>
          </cell>
        </row>
        <row r="5199">
          <cell r="L5199">
            <v>100</v>
          </cell>
          <cell r="N5199">
            <v>44909</v>
          </cell>
        </row>
        <row r="5200">
          <cell r="L5200">
            <v>100</v>
          </cell>
          <cell r="N5200">
            <v>44909</v>
          </cell>
        </row>
        <row r="5201">
          <cell r="L5201">
            <v>100</v>
          </cell>
          <cell r="N5201">
            <v>44909</v>
          </cell>
        </row>
        <row r="5202">
          <cell r="L5202">
            <v>100</v>
          </cell>
          <cell r="N5202">
            <v>44909</v>
          </cell>
        </row>
        <row r="5203">
          <cell r="L5203">
            <v>100</v>
          </cell>
          <cell r="N5203">
            <v>44909</v>
          </cell>
        </row>
        <row r="5204">
          <cell r="L5204">
            <v>100</v>
          </cell>
          <cell r="N5204">
            <v>44909</v>
          </cell>
        </row>
        <row r="5205">
          <cell r="L5205">
            <v>100</v>
          </cell>
          <cell r="N5205">
            <v>44909</v>
          </cell>
        </row>
        <row r="5206">
          <cell r="L5206">
            <v>100</v>
          </cell>
          <cell r="N5206">
            <v>44909</v>
          </cell>
        </row>
        <row r="5207">
          <cell r="L5207">
            <v>100</v>
          </cell>
          <cell r="N5207">
            <v>44909</v>
          </cell>
        </row>
        <row r="5208">
          <cell r="L5208">
            <v>100</v>
          </cell>
          <cell r="N5208">
            <v>44909</v>
          </cell>
        </row>
        <row r="5209">
          <cell r="L5209">
            <v>100</v>
          </cell>
          <cell r="N5209">
            <v>44909</v>
          </cell>
        </row>
        <row r="5210">
          <cell r="L5210">
            <v>100</v>
          </cell>
          <cell r="N5210">
            <v>44909</v>
          </cell>
        </row>
        <row r="5211">
          <cell r="L5211">
            <v>100</v>
          </cell>
          <cell r="N5211">
            <v>44911</v>
          </cell>
        </row>
        <row r="5212">
          <cell r="L5212">
            <v>100</v>
          </cell>
          <cell r="N5212">
            <v>44911</v>
          </cell>
        </row>
        <row r="5213">
          <cell r="L5213">
            <v>100</v>
          </cell>
          <cell r="N5213">
            <v>44911</v>
          </cell>
        </row>
        <row r="5214">
          <cell r="L5214">
            <v>100</v>
          </cell>
          <cell r="N5214">
            <v>44911</v>
          </cell>
        </row>
        <row r="5215">
          <cell r="L5215">
            <v>100</v>
          </cell>
          <cell r="N5215">
            <v>44911</v>
          </cell>
        </row>
        <row r="5216">
          <cell r="L5216">
            <v>100</v>
          </cell>
          <cell r="N5216">
            <v>44911</v>
          </cell>
        </row>
        <row r="5217">
          <cell r="L5217">
            <v>100</v>
          </cell>
          <cell r="N5217">
            <v>44911</v>
          </cell>
        </row>
        <row r="5218">
          <cell r="L5218">
            <v>100</v>
          </cell>
          <cell r="N5218">
            <v>44911</v>
          </cell>
        </row>
        <row r="5219">
          <cell r="L5219">
            <v>100</v>
          </cell>
          <cell r="N5219">
            <v>44911</v>
          </cell>
        </row>
        <row r="5220">
          <cell r="L5220">
            <v>100</v>
          </cell>
          <cell r="N5220">
            <v>44911</v>
          </cell>
        </row>
        <row r="5221">
          <cell r="L5221">
            <v>100</v>
          </cell>
          <cell r="N5221">
            <v>44911</v>
          </cell>
        </row>
        <row r="5222">
          <cell r="L5222">
            <v>100</v>
          </cell>
          <cell r="N5222">
            <v>44911</v>
          </cell>
        </row>
        <row r="5223">
          <cell r="L5223">
            <v>100</v>
          </cell>
          <cell r="N5223">
            <v>44911</v>
          </cell>
        </row>
        <row r="5224">
          <cell r="L5224">
            <v>100</v>
          </cell>
          <cell r="N5224">
            <v>44911</v>
          </cell>
        </row>
        <row r="5225">
          <cell r="L5225">
            <v>100</v>
          </cell>
          <cell r="N5225">
            <v>44911</v>
          </cell>
        </row>
        <row r="5226">
          <cell r="L5226">
            <v>100</v>
          </cell>
          <cell r="N5226">
            <v>44911</v>
          </cell>
        </row>
        <row r="5227">
          <cell r="L5227">
            <v>100</v>
          </cell>
          <cell r="N5227">
            <v>44911</v>
          </cell>
        </row>
        <row r="5228">
          <cell r="L5228">
            <v>100</v>
          </cell>
          <cell r="N5228">
            <v>44911</v>
          </cell>
        </row>
        <row r="5229">
          <cell r="L5229">
            <v>100</v>
          </cell>
          <cell r="N5229">
            <v>44911</v>
          </cell>
        </row>
        <row r="5230">
          <cell r="L5230">
            <v>100</v>
          </cell>
          <cell r="N5230">
            <v>44911</v>
          </cell>
        </row>
        <row r="5231">
          <cell r="L5231">
            <v>100</v>
          </cell>
          <cell r="N5231">
            <v>44911</v>
          </cell>
        </row>
        <row r="5232">
          <cell r="L5232">
            <v>100</v>
          </cell>
          <cell r="N5232">
            <v>44911</v>
          </cell>
        </row>
        <row r="5233">
          <cell r="L5233">
            <v>100</v>
          </cell>
          <cell r="N5233">
            <v>44911</v>
          </cell>
        </row>
        <row r="5234">
          <cell r="L5234">
            <v>100</v>
          </cell>
          <cell r="N5234">
            <v>44911</v>
          </cell>
        </row>
        <row r="5235">
          <cell r="L5235">
            <v>100</v>
          </cell>
          <cell r="N5235">
            <v>44911</v>
          </cell>
        </row>
        <row r="5236">
          <cell r="L5236">
            <v>100</v>
          </cell>
          <cell r="N5236">
            <v>44911</v>
          </cell>
        </row>
        <row r="5237">
          <cell r="L5237">
            <v>100</v>
          </cell>
          <cell r="N5237">
            <v>44911</v>
          </cell>
        </row>
        <row r="5238">
          <cell r="L5238">
            <v>100</v>
          </cell>
          <cell r="N5238">
            <v>44911</v>
          </cell>
        </row>
        <row r="5239">
          <cell r="L5239">
            <v>100</v>
          </cell>
          <cell r="N5239">
            <v>44911</v>
          </cell>
        </row>
        <row r="5240">
          <cell r="L5240">
            <v>100</v>
          </cell>
          <cell r="N5240">
            <v>44911</v>
          </cell>
        </row>
        <row r="5241">
          <cell r="L5241">
            <v>100</v>
          </cell>
          <cell r="N5241">
            <v>44911</v>
          </cell>
        </row>
        <row r="5242">
          <cell r="L5242">
            <v>100</v>
          </cell>
          <cell r="N5242">
            <v>44911</v>
          </cell>
        </row>
        <row r="5243">
          <cell r="L5243">
            <v>100</v>
          </cell>
          <cell r="N5243">
            <v>44959</v>
          </cell>
        </row>
        <row r="5244">
          <cell r="L5244">
            <v>100</v>
          </cell>
          <cell r="N5244">
            <v>44957</v>
          </cell>
        </row>
        <row r="5245">
          <cell r="L5245">
            <v>100</v>
          </cell>
          <cell r="N5245">
            <v>44994</v>
          </cell>
        </row>
        <row r="5246">
          <cell r="L5246">
            <v>100</v>
          </cell>
          <cell r="N5246">
            <v>44994</v>
          </cell>
        </row>
        <row r="5247">
          <cell r="L5247">
            <v>100</v>
          </cell>
          <cell r="N5247">
            <v>44994</v>
          </cell>
        </row>
        <row r="5248">
          <cell r="L5248">
            <v>100</v>
          </cell>
          <cell r="N5248">
            <v>44994</v>
          </cell>
        </row>
        <row r="5249">
          <cell r="L5249">
            <v>100</v>
          </cell>
          <cell r="N5249">
            <v>44928</v>
          </cell>
        </row>
        <row r="5250">
          <cell r="L5250">
            <v>100</v>
          </cell>
          <cell r="N5250">
            <v>44975</v>
          </cell>
        </row>
        <row r="5251">
          <cell r="L5251">
            <v>100</v>
          </cell>
          <cell r="N5251">
            <v>44975</v>
          </cell>
        </row>
        <row r="5252">
          <cell r="L5252">
            <v>100</v>
          </cell>
          <cell r="N5252">
            <v>44975</v>
          </cell>
        </row>
        <row r="5253">
          <cell r="L5253">
            <v>100</v>
          </cell>
          <cell r="N5253">
            <v>44975</v>
          </cell>
        </row>
        <row r="5254">
          <cell r="L5254">
            <v>100</v>
          </cell>
          <cell r="N5254">
            <v>44975</v>
          </cell>
        </row>
        <row r="5255">
          <cell r="L5255">
            <v>100</v>
          </cell>
          <cell r="N5255">
            <v>44975</v>
          </cell>
        </row>
        <row r="5256">
          <cell r="L5256">
            <v>100</v>
          </cell>
          <cell r="N5256">
            <v>44975</v>
          </cell>
        </row>
        <row r="5257">
          <cell r="L5257">
            <v>100</v>
          </cell>
          <cell r="N5257">
            <v>44975</v>
          </cell>
        </row>
        <row r="5258">
          <cell r="L5258">
            <v>100</v>
          </cell>
          <cell r="N5258">
            <v>44975</v>
          </cell>
        </row>
        <row r="5259">
          <cell r="L5259">
            <v>100</v>
          </cell>
          <cell r="N5259">
            <v>44974</v>
          </cell>
        </row>
        <row r="5260">
          <cell r="L5260">
            <v>100</v>
          </cell>
          <cell r="N5260">
            <v>44974</v>
          </cell>
        </row>
        <row r="5261">
          <cell r="L5261">
            <v>100</v>
          </cell>
          <cell r="N5261">
            <v>44974</v>
          </cell>
        </row>
        <row r="5262">
          <cell r="L5262">
            <v>100</v>
          </cell>
          <cell r="N5262">
            <v>44974</v>
          </cell>
        </row>
        <row r="5263">
          <cell r="L5263">
            <v>100</v>
          </cell>
          <cell r="N5263">
            <v>44974</v>
          </cell>
        </row>
        <row r="5264">
          <cell r="L5264">
            <v>100</v>
          </cell>
          <cell r="N5264">
            <v>44974</v>
          </cell>
        </row>
        <row r="5265">
          <cell r="L5265">
            <v>100</v>
          </cell>
          <cell r="N5265">
            <v>44974</v>
          </cell>
        </row>
        <row r="5266">
          <cell r="L5266">
            <v>100</v>
          </cell>
          <cell r="N5266">
            <v>44974</v>
          </cell>
        </row>
        <row r="5267">
          <cell r="L5267">
            <v>100</v>
          </cell>
          <cell r="N5267">
            <v>44900</v>
          </cell>
        </row>
        <row r="5268">
          <cell r="L5268">
            <v>100</v>
          </cell>
          <cell r="N5268">
            <v>44900</v>
          </cell>
        </row>
        <row r="5269">
          <cell r="L5269">
            <v>100</v>
          </cell>
          <cell r="N5269">
            <v>44900</v>
          </cell>
        </row>
        <row r="5270">
          <cell r="L5270">
            <v>100</v>
          </cell>
          <cell r="N5270">
            <v>44900</v>
          </cell>
        </row>
        <row r="5271">
          <cell r="L5271">
            <v>100</v>
          </cell>
          <cell r="N5271">
            <v>44900</v>
          </cell>
        </row>
        <row r="5272">
          <cell r="L5272">
            <v>100</v>
          </cell>
          <cell r="N5272">
            <v>44900</v>
          </cell>
        </row>
        <row r="5273">
          <cell r="L5273">
            <v>100</v>
          </cell>
          <cell r="N5273">
            <v>44900</v>
          </cell>
        </row>
        <row r="5274">
          <cell r="L5274">
            <v>100</v>
          </cell>
          <cell r="N5274">
            <v>44900</v>
          </cell>
        </row>
        <row r="5275">
          <cell r="L5275">
            <v>100</v>
          </cell>
          <cell r="N5275">
            <v>44900</v>
          </cell>
        </row>
        <row r="5276">
          <cell r="L5276">
            <v>100</v>
          </cell>
          <cell r="N5276">
            <v>44900</v>
          </cell>
        </row>
        <row r="5277">
          <cell r="L5277">
            <v>100</v>
          </cell>
          <cell r="N5277">
            <v>44900</v>
          </cell>
        </row>
        <row r="5278">
          <cell r="L5278">
            <v>100</v>
          </cell>
          <cell r="N5278">
            <v>44900</v>
          </cell>
        </row>
        <row r="5279">
          <cell r="L5279">
            <v>100</v>
          </cell>
          <cell r="N5279">
            <v>44900</v>
          </cell>
        </row>
        <row r="5280">
          <cell r="L5280">
            <v>100</v>
          </cell>
          <cell r="N5280">
            <v>44978</v>
          </cell>
        </row>
        <row r="5281">
          <cell r="L5281">
            <v>100</v>
          </cell>
          <cell r="N5281">
            <v>44978</v>
          </cell>
        </row>
        <row r="5282">
          <cell r="L5282">
            <v>100</v>
          </cell>
          <cell r="N5282">
            <v>44978</v>
          </cell>
        </row>
        <row r="5283">
          <cell r="L5283">
            <v>100</v>
          </cell>
          <cell r="N5283">
            <v>44978</v>
          </cell>
        </row>
        <row r="5284">
          <cell r="L5284">
            <v>100</v>
          </cell>
          <cell r="N5284">
            <v>44978</v>
          </cell>
        </row>
        <row r="5285">
          <cell r="L5285">
            <v>100</v>
          </cell>
          <cell r="N5285">
            <v>44978</v>
          </cell>
        </row>
        <row r="5286">
          <cell r="L5286">
            <v>100</v>
          </cell>
          <cell r="N5286">
            <v>44978</v>
          </cell>
        </row>
        <row r="5287">
          <cell r="L5287">
            <v>100</v>
          </cell>
          <cell r="N5287">
            <v>44978</v>
          </cell>
        </row>
        <row r="5288">
          <cell r="L5288">
            <v>100</v>
          </cell>
          <cell r="N5288">
            <v>44975</v>
          </cell>
        </row>
        <row r="5289">
          <cell r="L5289">
            <v>100</v>
          </cell>
          <cell r="N5289">
            <v>44975</v>
          </cell>
        </row>
        <row r="5290">
          <cell r="L5290">
            <v>100</v>
          </cell>
          <cell r="N5290">
            <v>44975</v>
          </cell>
        </row>
        <row r="5291">
          <cell r="L5291">
            <v>100</v>
          </cell>
          <cell r="N5291">
            <v>44975</v>
          </cell>
        </row>
        <row r="5292">
          <cell r="L5292">
            <v>100</v>
          </cell>
          <cell r="N5292">
            <v>44975</v>
          </cell>
        </row>
        <row r="5293">
          <cell r="L5293">
            <v>100</v>
          </cell>
          <cell r="N5293">
            <v>44975</v>
          </cell>
        </row>
        <row r="5294">
          <cell r="L5294">
            <v>100</v>
          </cell>
          <cell r="N5294">
            <v>44975</v>
          </cell>
        </row>
        <row r="5295">
          <cell r="L5295">
            <v>100</v>
          </cell>
          <cell r="N5295">
            <v>44975</v>
          </cell>
        </row>
        <row r="5296">
          <cell r="L5296">
            <v>100</v>
          </cell>
          <cell r="N5296">
            <v>44975</v>
          </cell>
        </row>
        <row r="5297">
          <cell r="L5297">
            <v>100</v>
          </cell>
          <cell r="N5297">
            <v>44975</v>
          </cell>
        </row>
        <row r="5298">
          <cell r="L5298">
            <v>100</v>
          </cell>
          <cell r="N5298">
            <v>44975</v>
          </cell>
        </row>
        <row r="5299">
          <cell r="L5299">
            <v>100</v>
          </cell>
          <cell r="N5299">
            <v>44975</v>
          </cell>
        </row>
        <row r="5300">
          <cell r="L5300">
            <v>100</v>
          </cell>
          <cell r="N5300">
            <v>44975</v>
          </cell>
        </row>
        <row r="5301">
          <cell r="L5301">
            <v>100</v>
          </cell>
          <cell r="N5301">
            <v>44975</v>
          </cell>
        </row>
        <row r="5302">
          <cell r="L5302">
            <v>100</v>
          </cell>
          <cell r="N5302">
            <v>44975</v>
          </cell>
        </row>
        <row r="5303">
          <cell r="L5303">
            <v>100</v>
          </cell>
          <cell r="N5303">
            <v>44975</v>
          </cell>
        </row>
        <row r="5304">
          <cell r="L5304">
            <v>100</v>
          </cell>
          <cell r="N5304">
            <v>44975</v>
          </cell>
        </row>
        <row r="5305">
          <cell r="L5305">
            <v>100</v>
          </cell>
          <cell r="N5305">
            <v>44975</v>
          </cell>
        </row>
        <row r="5306">
          <cell r="L5306">
            <v>100</v>
          </cell>
          <cell r="N5306">
            <v>44975</v>
          </cell>
        </row>
        <row r="5307">
          <cell r="L5307">
            <v>100</v>
          </cell>
          <cell r="N5307">
            <v>44975</v>
          </cell>
        </row>
        <row r="5308">
          <cell r="L5308">
            <v>100</v>
          </cell>
          <cell r="N5308">
            <v>44975</v>
          </cell>
        </row>
        <row r="5309">
          <cell r="L5309">
            <v>100</v>
          </cell>
          <cell r="N5309">
            <v>44975</v>
          </cell>
        </row>
        <row r="5310">
          <cell r="L5310">
            <v>100</v>
          </cell>
          <cell r="N5310">
            <v>44975</v>
          </cell>
        </row>
        <row r="5311">
          <cell r="L5311">
            <v>100</v>
          </cell>
          <cell r="N5311">
            <v>44975</v>
          </cell>
        </row>
        <row r="5312">
          <cell r="L5312">
            <v>100</v>
          </cell>
          <cell r="N5312">
            <v>44978</v>
          </cell>
        </row>
        <row r="5313">
          <cell r="L5313">
            <v>100</v>
          </cell>
          <cell r="N5313">
            <v>44978</v>
          </cell>
        </row>
        <row r="5314">
          <cell r="L5314">
            <v>100</v>
          </cell>
          <cell r="N5314">
            <v>44978</v>
          </cell>
        </row>
        <row r="5315">
          <cell r="L5315">
            <v>100</v>
          </cell>
          <cell r="N5315">
            <v>44978</v>
          </cell>
        </row>
        <row r="5316">
          <cell r="L5316">
            <v>100</v>
          </cell>
          <cell r="N5316">
            <v>44978</v>
          </cell>
        </row>
        <row r="5317">
          <cell r="L5317">
            <v>100</v>
          </cell>
          <cell r="N5317">
            <v>44978</v>
          </cell>
        </row>
        <row r="5318">
          <cell r="L5318">
            <v>100</v>
          </cell>
          <cell r="N5318">
            <v>44978</v>
          </cell>
        </row>
        <row r="5319">
          <cell r="L5319">
            <v>100</v>
          </cell>
          <cell r="N5319">
            <v>44978</v>
          </cell>
        </row>
        <row r="5320">
          <cell r="L5320">
            <v>100</v>
          </cell>
          <cell r="N5320">
            <v>44975</v>
          </cell>
        </row>
        <row r="5321">
          <cell r="L5321">
            <v>100</v>
          </cell>
          <cell r="N5321">
            <v>44975</v>
          </cell>
        </row>
        <row r="5322">
          <cell r="L5322">
            <v>100</v>
          </cell>
          <cell r="N5322">
            <v>44975</v>
          </cell>
        </row>
        <row r="5323">
          <cell r="L5323">
            <v>100</v>
          </cell>
          <cell r="N5323">
            <v>44975</v>
          </cell>
        </row>
        <row r="5324">
          <cell r="L5324">
            <v>100</v>
          </cell>
          <cell r="N5324">
            <v>44975</v>
          </cell>
        </row>
        <row r="5325">
          <cell r="L5325">
            <v>100</v>
          </cell>
          <cell r="N5325">
            <v>44975</v>
          </cell>
        </row>
        <row r="5326">
          <cell r="L5326">
            <v>100</v>
          </cell>
          <cell r="N5326">
            <v>44975</v>
          </cell>
        </row>
        <row r="5327">
          <cell r="L5327">
            <v>100</v>
          </cell>
          <cell r="N5327">
            <v>44975</v>
          </cell>
        </row>
        <row r="5328">
          <cell r="L5328">
            <v>100</v>
          </cell>
          <cell r="N5328">
            <v>44975</v>
          </cell>
        </row>
        <row r="5329">
          <cell r="L5329">
            <v>100</v>
          </cell>
          <cell r="N5329">
            <v>44975</v>
          </cell>
        </row>
        <row r="5330">
          <cell r="L5330">
            <v>100</v>
          </cell>
          <cell r="N5330">
            <v>44975</v>
          </cell>
        </row>
        <row r="5331">
          <cell r="L5331">
            <v>100</v>
          </cell>
          <cell r="N5331">
            <v>44975</v>
          </cell>
        </row>
        <row r="5332">
          <cell r="L5332">
            <v>100</v>
          </cell>
          <cell r="N5332">
            <v>44975</v>
          </cell>
        </row>
        <row r="5333">
          <cell r="L5333">
            <v>100</v>
          </cell>
          <cell r="N5333">
            <v>44975</v>
          </cell>
        </row>
        <row r="5334">
          <cell r="L5334">
            <v>100</v>
          </cell>
          <cell r="N5334">
            <v>44975</v>
          </cell>
        </row>
        <row r="5335">
          <cell r="L5335">
            <v>100</v>
          </cell>
          <cell r="N5335">
            <v>44975</v>
          </cell>
        </row>
        <row r="5336">
          <cell r="L5336">
            <v>100</v>
          </cell>
          <cell r="N5336">
            <v>44975</v>
          </cell>
        </row>
        <row r="5337">
          <cell r="L5337">
            <v>100</v>
          </cell>
          <cell r="N5337">
            <v>44975</v>
          </cell>
        </row>
        <row r="5338">
          <cell r="L5338">
            <v>100</v>
          </cell>
          <cell r="N5338">
            <v>44975</v>
          </cell>
        </row>
        <row r="5339">
          <cell r="L5339">
            <v>100</v>
          </cell>
          <cell r="N5339">
            <v>44975</v>
          </cell>
        </row>
        <row r="5340">
          <cell r="L5340">
            <v>100</v>
          </cell>
          <cell r="N5340">
            <v>44975</v>
          </cell>
        </row>
        <row r="5341">
          <cell r="L5341">
            <v>100</v>
          </cell>
          <cell r="N5341">
            <v>44975</v>
          </cell>
        </row>
        <row r="5342">
          <cell r="L5342">
            <v>100</v>
          </cell>
          <cell r="N5342">
            <v>44975</v>
          </cell>
        </row>
        <row r="5343">
          <cell r="L5343">
            <v>100</v>
          </cell>
          <cell r="N5343">
            <v>44975</v>
          </cell>
        </row>
        <row r="5344">
          <cell r="L5344">
            <v>100</v>
          </cell>
          <cell r="N5344">
            <v>44975</v>
          </cell>
        </row>
        <row r="5345">
          <cell r="L5345">
            <v>100</v>
          </cell>
          <cell r="N5345">
            <v>44975</v>
          </cell>
        </row>
        <row r="5346">
          <cell r="L5346">
            <v>100</v>
          </cell>
          <cell r="N5346">
            <v>44975</v>
          </cell>
        </row>
        <row r="5347">
          <cell r="L5347">
            <v>100</v>
          </cell>
          <cell r="N5347">
            <v>44975</v>
          </cell>
        </row>
        <row r="5348">
          <cell r="L5348">
            <v>100</v>
          </cell>
          <cell r="N5348">
            <v>44975</v>
          </cell>
        </row>
        <row r="5349">
          <cell r="L5349">
            <v>100</v>
          </cell>
          <cell r="N5349">
            <v>44974</v>
          </cell>
        </row>
        <row r="5350">
          <cell r="L5350">
            <v>100</v>
          </cell>
          <cell r="N5350">
            <v>44974</v>
          </cell>
        </row>
        <row r="5351">
          <cell r="L5351">
            <v>100</v>
          </cell>
          <cell r="N5351">
            <v>44974</v>
          </cell>
        </row>
        <row r="5352">
          <cell r="L5352">
            <v>100</v>
          </cell>
          <cell r="N5352">
            <v>44974</v>
          </cell>
        </row>
        <row r="5353">
          <cell r="L5353">
            <v>100</v>
          </cell>
          <cell r="N5353">
            <v>44974</v>
          </cell>
        </row>
        <row r="5354">
          <cell r="L5354">
            <v>100</v>
          </cell>
          <cell r="N5354">
            <v>44909</v>
          </cell>
        </row>
        <row r="5355">
          <cell r="L5355">
            <v>100</v>
          </cell>
          <cell r="N5355">
            <v>44909</v>
          </cell>
        </row>
        <row r="5356">
          <cell r="L5356">
            <v>100</v>
          </cell>
          <cell r="N5356"/>
        </row>
        <row r="5357">
          <cell r="L5357">
            <v>100</v>
          </cell>
          <cell r="N5357"/>
        </row>
        <row r="5358">
          <cell r="L5358">
            <v>100</v>
          </cell>
          <cell r="N5358"/>
        </row>
        <row r="5359">
          <cell r="L5359">
            <v>100</v>
          </cell>
          <cell r="N5359"/>
        </row>
        <row r="5360">
          <cell r="L5360">
            <v>100</v>
          </cell>
          <cell r="N5360"/>
        </row>
        <row r="5361">
          <cell r="L5361">
            <v>100</v>
          </cell>
          <cell r="N5361"/>
        </row>
        <row r="5362">
          <cell r="L5362">
            <v>100</v>
          </cell>
          <cell r="N5362">
            <v>44909</v>
          </cell>
        </row>
        <row r="5363">
          <cell r="L5363">
            <v>100</v>
          </cell>
          <cell r="N5363">
            <v>44909</v>
          </cell>
        </row>
        <row r="5364">
          <cell r="L5364">
            <v>100</v>
          </cell>
          <cell r="N5364"/>
        </row>
        <row r="5365">
          <cell r="L5365">
            <v>100</v>
          </cell>
          <cell r="N5365"/>
        </row>
        <row r="5366">
          <cell r="L5366">
            <v>100</v>
          </cell>
          <cell r="N5366"/>
        </row>
        <row r="5367">
          <cell r="L5367">
            <v>100</v>
          </cell>
          <cell r="N5367">
            <v>44937</v>
          </cell>
        </row>
        <row r="5368">
          <cell r="L5368">
            <v>100</v>
          </cell>
          <cell r="N5368">
            <v>44937</v>
          </cell>
        </row>
        <row r="5369">
          <cell r="L5369">
            <v>100</v>
          </cell>
          <cell r="N5369">
            <v>44937</v>
          </cell>
        </row>
        <row r="5370">
          <cell r="L5370">
            <v>100</v>
          </cell>
          <cell r="N5370"/>
        </row>
        <row r="5371">
          <cell r="L5371">
            <v>100</v>
          </cell>
          <cell r="N5371"/>
        </row>
        <row r="5372">
          <cell r="L5372">
            <v>100</v>
          </cell>
          <cell r="N5372">
            <v>44903</v>
          </cell>
        </row>
        <row r="5373">
          <cell r="L5373">
            <v>100</v>
          </cell>
          <cell r="N5373">
            <v>44903</v>
          </cell>
        </row>
        <row r="5374">
          <cell r="L5374">
            <v>100</v>
          </cell>
          <cell r="N5374">
            <v>44909</v>
          </cell>
        </row>
        <row r="5375">
          <cell r="L5375">
            <v>100</v>
          </cell>
          <cell r="N5375">
            <v>44909</v>
          </cell>
        </row>
        <row r="5376">
          <cell r="L5376">
            <v>100</v>
          </cell>
          <cell r="N5376">
            <v>44887</v>
          </cell>
        </row>
        <row r="5377">
          <cell r="L5377">
            <v>100</v>
          </cell>
          <cell r="N5377">
            <v>44928</v>
          </cell>
        </row>
        <row r="5378">
          <cell r="L5378">
            <v>100</v>
          </cell>
          <cell r="N5378"/>
        </row>
        <row r="5379">
          <cell r="L5379">
            <v>100</v>
          </cell>
          <cell r="N5379"/>
        </row>
        <row r="5380">
          <cell r="L5380">
            <v>100</v>
          </cell>
          <cell r="N5380">
            <v>44968</v>
          </cell>
        </row>
        <row r="5381">
          <cell r="L5381">
            <v>100</v>
          </cell>
          <cell r="N5381">
            <v>44957</v>
          </cell>
        </row>
        <row r="5382">
          <cell r="L5382">
            <v>100</v>
          </cell>
          <cell r="N5382">
            <v>44949</v>
          </cell>
        </row>
        <row r="5383">
          <cell r="L5383">
            <v>100</v>
          </cell>
          <cell r="N5383">
            <v>44949</v>
          </cell>
        </row>
        <row r="5384">
          <cell r="L5384">
            <v>100</v>
          </cell>
          <cell r="N5384">
            <v>44949</v>
          </cell>
        </row>
        <row r="5385">
          <cell r="L5385">
            <v>100</v>
          </cell>
          <cell r="N5385">
            <v>44949</v>
          </cell>
        </row>
        <row r="5386">
          <cell r="L5386">
            <v>100</v>
          </cell>
          <cell r="N5386">
            <v>44949</v>
          </cell>
        </row>
        <row r="5387">
          <cell r="L5387">
            <v>100</v>
          </cell>
          <cell r="N5387">
            <v>44949</v>
          </cell>
        </row>
        <row r="5388">
          <cell r="L5388">
            <v>100</v>
          </cell>
          <cell r="N5388">
            <v>44949</v>
          </cell>
        </row>
        <row r="5389">
          <cell r="L5389">
            <v>100</v>
          </cell>
          <cell r="N5389">
            <v>44949</v>
          </cell>
        </row>
        <row r="5390">
          <cell r="L5390">
            <v>100</v>
          </cell>
          <cell r="N5390">
            <v>44949</v>
          </cell>
        </row>
        <row r="5391">
          <cell r="L5391">
            <v>100</v>
          </cell>
          <cell r="N5391">
            <v>44949</v>
          </cell>
        </row>
        <row r="5392">
          <cell r="L5392">
            <v>100</v>
          </cell>
          <cell r="N5392">
            <v>44949</v>
          </cell>
        </row>
        <row r="5393">
          <cell r="L5393">
            <v>100</v>
          </cell>
          <cell r="N5393">
            <v>44949</v>
          </cell>
        </row>
        <row r="5394">
          <cell r="L5394">
            <v>100</v>
          </cell>
          <cell r="N5394">
            <v>44949</v>
          </cell>
        </row>
        <row r="5395">
          <cell r="L5395">
            <v>100</v>
          </cell>
          <cell r="N5395">
            <v>44968</v>
          </cell>
        </row>
        <row r="5396">
          <cell r="L5396">
            <v>100</v>
          </cell>
          <cell r="N5396">
            <v>44968</v>
          </cell>
        </row>
        <row r="5397">
          <cell r="L5397">
            <v>100</v>
          </cell>
          <cell r="N5397">
            <v>44968</v>
          </cell>
        </row>
        <row r="5398">
          <cell r="L5398">
            <v>100</v>
          </cell>
          <cell r="N5398">
            <v>44968</v>
          </cell>
        </row>
        <row r="5399">
          <cell r="L5399">
            <v>100</v>
          </cell>
          <cell r="N5399">
            <v>44968</v>
          </cell>
        </row>
        <row r="5400">
          <cell r="L5400">
            <v>100</v>
          </cell>
          <cell r="N5400">
            <v>44968</v>
          </cell>
        </row>
        <row r="5401">
          <cell r="L5401">
            <v>100</v>
          </cell>
          <cell r="N5401">
            <v>44968</v>
          </cell>
        </row>
        <row r="5402">
          <cell r="L5402">
            <v>100</v>
          </cell>
          <cell r="N5402">
            <v>44968</v>
          </cell>
        </row>
        <row r="5403">
          <cell r="L5403">
            <v>100</v>
          </cell>
          <cell r="N5403">
            <v>44968</v>
          </cell>
        </row>
        <row r="5404">
          <cell r="L5404">
            <v>100</v>
          </cell>
          <cell r="N5404">
            <v>44968</v>
          </cell>
        </row>
        <row r="5405">
          <cell r="L5405">
            <v>100</v>
          </cell>
          <cell r="N5405">
            <v>44968</v>
          </cell>
        </row>
        <row r="5406">
          <cell r="L5406">
            <v>100</v>
          </cell>
          <cell r="N5406">
            <v>44968</v>
          </cell>
        </row>
        <row r="5407">
          <cell r="L5407">
            <v>100</v>
          </cell>
          <cell r="N5407">
            <v>44968</v>
          </cell>
        </row>
        <row r="5408">
          <cell r="L5408">
            <v>100</v>
          </cell>
          <cell r="N5408">
            <v>44900</v>
          </cell>
        </row>
        <row r="5409">
          <cell r="L5409">
            <v>100</v>
          </cell>
          <cell r="N5409">
            <v>44900</v>
          </cell>
        </row>
        <row r="5410">
          <cell r="L5410">
            <v>100</v>
          </cell>
          <cell r="N5410">
            <v>44900</v>
          </cell>
        </row>
        <row r="5411">
          <cell r="L5411">
            <v>100</v>
          </cell>
          <cell r="N5411">
            <v>44900</v>
          </cell>
        </row>
        <row r="5412">
          <cell r="L5412">
            <v>100</v>
          </cell>
          <cell r="N5412">
            <v>44900</v>
          </cell>
        </row>
        <row r="5413">
          <cell r="L5413">
            <v>100</v>
          </cell>
          <cell r="N5413">
            <v>44900</v>
          </cell>
        </row>
        <row r="5414">
          <cell r="L5414">
            <v>100</v>
          </cell>
          <cell r="N5414">
            <v>44900</v>
          </cell>
        </row>
        <row r="5415">
          <cell r="L5415">
            <v>100</v>
          </cell>
          <cell r="N5415">
            <v>44900</v>
          </cell>
        </row>
        <row r="5416">
          <cell r="L5416">
            <v>100</v>
          </cell>
          <cell r="N5416">
            <v>44900</v>
          </cell>
        </row>
        <row r="5417">
          <cell r="L5417">
            <v>100</v>
          </cell>
          <cell r="N5417">
            <v>44900</v>
          </cell>
        </row>
        <row r="5418">
          <cell r="L5418">
            <v>100</v>
          </cell>
          <cell r="N5418">
            <v>44900</v>
          </cell>
        </row>
        <row r="5419">
          <cell r="L5419">
            <v>100</v>
          </cell>
          <cell r="N5419">
            <v>44900</v>
          </cell>
        </row>
        <row r="5420">
          <cell r="L5420">
            <v>100</v>
          </cell>
          <cell r="N5420">
            <v>44900</v>
          </cell>
        </row>
        <row r="5421">
          <cell r="L5421">
            <v>100</v>
          </cell>
          <cell r="N5421">
            <v>44943</v>
          </cell>
        </row>
        <row r="5422">
          <cell r="L5422">
            <v>100</v>
          </cell>
          <cell r="N5422">
            <v>44994</v>
          </cell>
        </row>
        <row r="5423">
          <cell r="L5423">
            <v>100</v>
          </cell>
          <cell r="N5423">
            <v>44960</v>
          </cell>
        </row>
        <row r="5424">
          <cell r="L5424">
            <v>100</v>
          </cell>
          <cell r="N5424">
            <v>44960</v>
          </cell>
        </row>
        <row r="5425">
          <cell r="L5425">
            <v>100</v>
          </cell>
          <cell r="N5425">
            <v>44910</v>
          </cell>
        </row>
        <row r="5426">
          <cell r="L5426">
            <v>100</v>
          </cell>
          <cell r="N5426">
            <v>44910</v>
          </cell>
        </row>
        <row r="5427">
          <cell r="L5427">
            <v>100</v>
          </cell>
          <cell r="N5427">
            <v>44910</v>
          </cell>
        </row>
        <row r="5428">
          <cell r="L5428">
            <v>100</v>
          </cell>
          <cell r="N5428">
            <v>44806</v>
          </cell>
        </row>
        <row r="5429">
          <cell r="L5429">
            <v>100</v>
          </cell>
          <cell r="N5429">
            <v>44806</v>
          </cell>
        </row>
        <row r="5430">
          <cell r="L5430">
            <v>100</v>
          </cell>
          <cell r="N5430"/>
        </row>
        <row r="5431">
          <cell r="L5431">
            <v>100</v>
          </cell>
          <cell r="N5431"/>
        </row>
        <row r="5432">
          <cell r="L5432">
            <v>100</v>
          </cell>
          <cell r="N5432"/>
        </row>
        <row r="5433">
          <cell r="L5433">
            <v>100</v>
          </cell>
          <cell r="N5433"/>
        </row>
        <row r="5434">
          <cell r="L5434">
            <v>100</v>
          </cell>
          <cell r="N5434">
            <v>44910</v>
          </cell>
        </row>
        <row r="5435">
          <cell r="L5435">
            <v>100</v>
          </cell>
          <cell r="N5435">
            <v>44994</v>
          </cell>
        </row>
        <row r="5436">
          <cell r="L5436">
            <v>100</v>
          </cell>
          <cell r="N5436">
            <v>44839</v>
          </cell>
        </row>
        <row r="5437">
          <cell r="L5437">
            <v>100</v>
          </cell>
          <cell r="N5437">
            <v>44839</v>
          </cell>
        </row>
        <row r="5438">
          <cell r="L5438">
            <v>100</v>
          </cell>
          <cell r="N5438">
            <v>44839</v>
          </cell>
        </row>
        <row r="5439">
          <cell r="L5439">
            <v>100</v>
          </cell>
          <cell r="N5439">
            <v>44839</v>
          </cell>
        </row>
        <row r="5440">
          <cell r="L5440">
            <v>100</v>
          </cell>
          <cell r="N5440">
            <v>44839</v>
          </cell>
        </row>
        <row r="5441">
          <cell r="L5441">
            <v>100</v>
          </cell>
          <cell r="N5441">
            <v>44839</v>
          </cell>
        </row>
        <row r="5442">
          <cell r="L5442">
            <v>100</v>
          </cell>
          <cell r="N5442">
            <v>44917</v>
          </cell>
        </row>
        <row r="5443">
          <cell r="L5443">
            <v>100</v>
          </cell>
          <cell r="N5443">
            <v>44917</v>
          </cell>
        </row>
        <row r="5444">
          <cell r="L5444">
            <v>100</v>
          </cell>
          <cell r="N5444">
            <v>44917</v>
          </cell>
        </row>
        <row r="5445">
          <cell r="L5445">
            <v>100</v>
          </cell>
          <cell r="N5445">
            <v>44917</v>
          </cell>
        </row>
        <row r="5446">
          <cell r="L5446">
            <v>100</v>
          </cell>
          <cell r="N5446">
            <v>44789</v>
          </cell>
        </row>
        <row r="5447">
          <cell r="L5447">
            <v>100</v>
          </cell>
          <cell r="N5447">
            <v>44789</v>
          </cell>
        </row>
        <row r="5448">
          <cell r="L5448">
            <v>100</v>
          </cell>
          <cell r="N5448">
            <v>44788</v>
          </cell>
        </row>
        <row r="5449">
          <cell r="L5449">
            <v>100</v>
          </cell>
          <cell r="N5449">
            <v>44788</v>
          </cell>
        </row>
        <row r="5450">
          <cell r="L5450">
            <v>100</v>
          </cell>
          <cell r="N5450">
            <v>44788</v>
          </cell>
        </row>
        <row r="5451">
          <cell r="L5451">
            <v>100</v>
          </cell>
          <cell r="N5451">
            <v>44789</v>
          </cell>
        </row>
        <row r="5452">
          <cell r="L5452">
            <v>100</v>
          </cell>
          <cell r="N5452">
            <v>44789</v>
          </cell>
        </row>
        <row r="5453">
          <cell r="L5453">
            <v>100</v>
          </cell>
          <cell r="N5453">
            <v>44789</v>
          </cell>
        </row>
        <row r="5454">
          <cell r="L5454">
            <v>100</v>
          </cell>
          <cell r="N5454">
            <v>44789</v>
          </cell>
        </row>
        <row r="5455">
          <cell r="L5455">
            <v>100</v>
          </cell>
          <cell r="N5455">
            <v>44789</v>
          </cell>
        </row>
        <row r="5456">
          <cell r="L5456">
            <v>100</v>
          </cell>
          <cell r="N5456">
            <v>44789</v>
          </cell>
        </row>
        <row r="5457">
          <cell r="L5457">
            <v>100</v>
          </cell>
          <cell r="N5457">
            <v>44789</v>
          </cell>
        </row>
        <row r="5458">
          <cell r="L5458">
            <v>100</v>
          </cell>
          <cell r="N5458">
            <v>44789</v>
          </cell>
        </row>
        <row r="5459">
          <cell r="L5459">
            <v>100</v>
          </cell>
          <cell r="N5459">
            <v>44789</v>
          </cell>
        </row>
        <row r="5460">
          <cell r="L5460">
            <v>100</v>
          </cell>
          <cell r="N5460">
            <v>44789</v>
          </cell>
        </row>
        <row r="5461">
          <cell r="L5461">
            <v>100</v>
          </cell>
          <cell r="N5461">
            <v>44789</v>
          </cell>
        </row>
        <row r="5462">
          <cell r="L5462">
            <v>100</v>
          </cell>
          <cell r="N5462">
            <v>44789</v>
          </cell>
        </row>
        <row r="5463">
          <cell r="L5463">
            <v>100</v>
          </cell>
          <cell r="N5463">
            <v>44789</v>
          </cell>
        </row>
        <row r="5464">
          <cell r="L5464">
            <v>100</v>
          </cell>
          <cell r="N5464">
            <v>44778</v>
          </cell>
        </row>
        <row r="5465">
          <cell r="L5465">
            <v>100</v>
          </cell>
          <cell r="N5465">
            <v>44727</v>
          </cell>
        </row>
        <row r="5466">
          <cell r="L5466">
            <v>100</v>
          </cell>
          <cell r="N5466">
            <v>44727</v>
          </cell>
        </row>
        <row r="5467">
          <cell r="L5467">
            <v>100</v>
          </cell>
          <cell r="N5467">
            <v>44727</v>
          </cell>
        </row>
        <row r="5468">
          <cell r="L5468">
            <v>100</v>
          </cell>
          <cell r="N5468">
            <v>44727</v>
          </cell>
        </row>
        <row r="5469">
          <cell r="L5469">
            <v>100</v>
          </cell>
          <cell r="N5469">
            <v>44727</v>
          </cell>
        </row>
        <row r="5470">
          <cell r="L5470">
            <v>100</v>
          </cell>
          <cell r="N5470">
            <v>44727</v>
          </cell>
        </row>
        <row r="5471">
          <cell r="L5471">
            <v>100</v>
          </cell>
          <cell r="N5471">
            <v>44727</v>
          </cell>
        </row>
        <row r="5472">
          <cell r="L5472">
            <v>100</v>
          </cell>
          <cell r="N5472">
            <v>44727</v>
          </cell>
        </row>
        <row r="5473">
          <cell r="L5473">
            <v>100</v>
          </cell>
          <cell r="N5473">
            <v>44741</v>
          </cell>
        </row>
        <row r="5474">
          <cell r="L5474">
            <v>100</v>
          </cell>
          <cell r="N5474">
            <v>44741</v>
          </cell>
        </row>
        <row r="5475">
          <cell r="L5475">
            <v>100</v>
          </cell>
          <cell r="N5475">
            <v>44753</v>
          </cell>
        </row>
        <row r="5476">
          <cell r="L5476">
            <v>100</v>
          </cell>
          <cell r="N5476">
            <v>44778</v>
          </cell>
        </row>
        <row r="5477">
          <cell r="L5477">
            <v>100</v>
          </cell>
          <cell r="N5477">
            <v>44778</v>
          </cell>
        </row>
        <row r="5478">
          <cell r="L5478">
            <v>100</v>
          </cell>
          <cell r="N5478">
            <v>44783</v>
          </cell>
        </row>
        <row r="5479">
          <cell r="L5479">
            <v>100</v>
          </cell>
          <cell r="N5479">
            <v>44783</v>
          </cell>
        </row>
        <row r="5480">
          <cell r="L5480">
            <v>100</v>
          </cell>
          <cell r="N5480">
            <v>44789</v>
          </cell>
        </row>
        <row r="5481">
          <cell r="L5481">
            <v>100</v>
          </cell>
          <cell r="N5481">
            <v>44789</v>
          </cell>
        </row>
        <row r="5482">
          <cell r="L5482">
            <v>100</v>
          </cell>
          <cell r="N5482">
            <v>44789</v>
          </cell>
        </row>
        <row r="5483">
          <cell r="L5483">
            <v>100</v>
          </cell>
          <cell r="N5483">
            <v>44789</v>
          </cell>
        </row>
        <row r="5484">
          <cell r="L5484">
            <v>100</v>
          </cell>
          <cell r="N5484">
            <v>44789</v>
          </cell>
        </row>
        <row r="5485">
          <cell r="L5485">
            <v>100</v>
          </cell>
          <cell r="N5485">
            <v>44789</v>
          </cell>
        </row>
        <row r="5486">
          <cell r="L5486">
            <v>100</v>
          </cell>
          <cell r="N5486">
            <v>44789</v>
          </cell>
        </row>
        <row r="5487">
          <cell r="L5487">
            <v>100</v>
          </cell>
          <cell r="N5487">
            <v>44789</v>
          </cell>
        </row>
        <row r="5488">
          <cell r="L5488">
            <v>100</v>
          </cell>
          <cell r="N5488">
            <v>45004</v>
          </cell>
        </row>
        <row r="5489">
          <cell r="L5489">
            <v>100</v>
          </cell>
          <cell r="N5489">
            <v>45004</v>
          </cell>
        </row>
        <row r="5490">
          <cell r="L5490">
            <v>100</v>
          </cell>
          <cell r="N5490">
            <v>45004</v>
          </cell>
        </row>
        <row r="5491">
          <cell r="L5491">
            <v>100</v>
          </cell>
          <cell r="N5491">
            <v>44959</v>
          </cell>
        </row>
        <row r="5492">
          <cell r="L5492">
            <v>100</v>
          </cell>
          <cell r="N5492">
            <v>44959</v>
          </cell>
        </row>
        <row r="5493">
          <cell r="L5493">
            <v>100</v>
          </cell>
          <cell r="N5493">
            <v>44953</v>
          </cell>
        </row>
        <row r="5494">
          <cell r="L5494">
            <v>100</v>
          </cell>
          <cell r="N5494">
            <v>44986</v>
          </cell>
        </row>
        <row r="5495">
          <cell r="L5495">
            <v>100</v>
          </cell>
          <cell r="N5495">
            <v>44959</v>
          </cell>
        </row>
        <row r="5496">
          <cell r="L5496">
            <v>100</v>
          </cell>
          <cell r="N5496">
            <v>44953</v>
          </cell>
        </row>
        <row r="5497">
          <cell r="L5497">
            <v>100</v>
          </cell>
          <cell r="N5497">
            <v>45004</v>
          </cell>
        </row>
        <row r="5498">
          <cell r="L5498">
            <v>100</v>
          </cell>
          <cell r="N5498">
            <v>44986</v>
          </cell>
        </row>
        <row r="5499">
          <cell r="L5499">
            <v>100</v>
          </cell>
          <cell r="N5499">
            <v>44959</v>
          </cell>
        </row>
        <row r="5500">
          <cell r="L5500">
            <v>100</v>
          </cell>
          <cell r="N5500">
            <v>44959</v>
          </cell>
        </row>
        <row r="5501">
          <cell r="L5501">
            <v>100</v>
          </cell>
          <cell r="N5501">
            <v>44959</v>
          </cell>
        </row>
        <row r="5502">
          <cell r="L5502">
            <v>100</v>
          </cell>
          <cell r="N5502">
            <v>44959</v>
          </cell>
        </row>
        <row r="5503">
          <cell r="L5503">
            <v>100</v>
          </cell>
          <cell r="N5503">
            <v>44959</v>
          </cell>
        </row>
        <row r="5504">
          <cell r="L5504">
            <v>100</v>
          </cell>
          <cell r="N5504">
            <v>44959</v>
          </cell>
        </row>
        <row r="5505">
          <cell r="L5505">
            <v>100</v>
          </cell>
          <cell r="N5505">
            <v>44959</v>
          </cell>
        </row>
        <row r="5506">
          <cell r="L5506">
            <v>100</v>
          </cell>
          <cell r="N5506">
            <v>44959</v>
          </cell>
        </row>
        <row r="5507">
          <cell r="L5507">
            <v>100</v>
          </cell>
          <cell r="N5507">
            <v>44959</v>
          </cell>
        </row>
        <row r="5508">
          <cell r="L5508">
            <v>100</v>
          </cell>
          <cell r="N5508">
            <v>44959</v>
          </cell>
        </row>
        <row r="5509">
          <cell r="L5509">
            <v>100</v>
          </cell>
          <cell r="N5509">
            <v>44959</v>
          </cell>
        </row>
        <row r="5510">
          <cell r="L5510">
            <v>100</v>
          </cell>
          <cell r="N5510">
            <v>44959</v>
          </cell>
        </row>
        <row r="5511">
          <cell r="L5511">
            <v>100</v>
          </cell>
          <cell r="N5511">
            <v>44959</v>
          </cell>
        </row>
        <row r="5512">
          <cell r="L5512">
            <v>100</v>
          </cell>
          <cell r="N5512">
            <v>44959</v>
          </cell>
        </row>
        <row r="5513">
          <cell r="L5513">
            <v>100</v>
          </cell>
          <cell r="N5513">
            <v>44959</v>
          </cell>
        </row>
        <row r="5514">
          <cell r="L5514">
            <v>100</v>
          </cell>
          <cell r="N5514">
            <v>44959</v>
          </cell>
        </row>
        <row r="5515">
          <cell r="L5515">
            <v>100</v>
          </cell>
          <cell r="N5515">
            <v>44959</v>
          </cell>
        </row>
        <row r="5516">
          <cell r="L5516">
            <v>100</v>
          </cell>
          <cell r="N5516">
            <v>44986</v>
          </cell>
        </row>
        <row r="5517">
          <cell r="L5517">
            <v>100</v>
          </cell>
          <cell r="N5517">
            <v>44953</v>
          </cell>
        </row>
        <row r="5518">
          <cell r="L5518">
            <v>100</v>
          </cell>
          <cell r="N5518">
            <v>44959</v>
          </cell>
        </row>
        <row r="5519">
          <cell r="L5519">
            <v>100</v>
          </cell>
          <cell r="N5519">
            <v>44959</v>
          </cell>
        </row>
        <row r="5520">
          <cell r="L5520">
            <v>100</v>
          </cell>
          <cell r="N5520">
            <v>44959</v>
          </cell>
        </row>
        <row r="5521">
          <cell r="L5521">
            <v>100</v>
          </cell>
          <cell r="N5521">
            <v>44986</v>
          </cell>
        </row>
        <row r="5522">
          <cell r="L5522">
            <v>100</v>
          </cell>
          <cell r="N5522">
            <v>44986</v>
          </cell>
        </row>
        <row r="5523">
          <cell r="L5523">
            <v>100</v>
          </cell>
          <cell r="N5523">
            <v>44986</v>
          </cell>
        </row>
        <row r="5524">
          <cell r="L5524">
            <v>100</v>
          </cell>
          <cell r="N5524">
            <v>44986</v>
          </cell>
        </row>
        <row r="5525">
          <cell r="L5525">
            <v>100</v>
          </cell>
          <cell r="N5525">
            <v>44959</v>
          </cell>
        </row>
        <row r="5526">
          <cell r="L5526">
            <v>100</v>
          </cell>
          <cell r="N5526">
            <v>45004</v>
          </cell>
        </row>
        <row r="5527">
          <cell r="L5527">
            <v>100</v>
          </cell>
          <cell r="N5527">
            <v>44959</v>
          </cell>
        </row>
        <row r="5528">
          <cell r="L5528">
            <v>100</v>
          </cell>
          <cell r="N5528">
            <v>44959</v>
          </cell>
        </row>
        <row r="5529">
          <cell r="L5529">
            <v>100</v>
          </cell>
          <cell r="N5529">
            <v>44986</v>
          </cell>
        </row>
        <row r="5530">
          <cell r="L5530">
            <v>100</v>
          </cell>
          <cell r="N5530">
            <v>45004</v>
          </cell>
        </row>
        <row r="5531">
          <cell r="L5531">
            <v>100</v>
          </cell>
          <cell r="N5531">
            <v>45004</v>
          </cell>
        </row>
        <row r="5532">
          <cell r="L5532">
            <v>100</v>
          </cell>
          <cell r="N5532">
            <v>45004</v>
          </cell>
        </row>
        <row r="5533">
          <cell r="L5533">
            <v>100</v>
          </cell>
          <cell r="N5533">
            <v>44953</v>
          </cell>
        </row>
        <row r="5534">
          <cell r="L5534">
            <v>100</v>
          </cell>
          <cell r="N5534">
            <v>44986</v>
          </cell>
        </row>
        <row r="5535">
          <cell r="L5535">
            <v>100</v>
          </cell>
          <cell r="N5535">
            <v>44953</v>
          </cell>
        </row>
        <row r="5536">
          <cell r="L5536">
            <v>100</v>
          </cell>
          <cell r="N5536">
            <v>44953</v>
          </cell>
        </row>
        <row r="5537">
          <cell r="L5537">
            <v>100</v>
          </cell>
          <cell r="N5537">
            <v>44986</v>
          </cell>
        </row>
        <row r="5538">
          <cell r="L5538">
            <v>100</v>
          </cell>
          <cell r="N5538">
            <v>44986</v>
          </cell>
        </row>
        <row r="5539">
          <cell r="L5539">
            <v>100</v>
          </cell>
          <cell r="N5539">
            <v>44986</v>
          </cell>
        </row>
        <row r="5540">
          <cell r="L5540">
            <v>100</v>
          </cell>
          <cell r="N5540">
            <v>45004</v>
          </cell>
        </row>
        <row r="5541">
          <cell r="L5541">
            <v>100</v>
          </cell>
          <cell r="N5541">
            <v>45004</v>
          </cell>
        </row>
        <row r="5542">
          <cell r="L5542">
            <v>100</v>
          </cell>
          <cell r="N5542">
            <v>45004</v>
          </cell>
        </row>
        <row r="5543">
          <cell r="L5543">
            <v>100</v>
          </cell>
          <cell r="N5543">
            <v>45004</v>
          </cell>
        </row>
        <row r="5544">
          <cell r="L5544">
            <v>100</v>
          </cell>
          <cell r="N5544">
            <v>45004</v>
          </cell>
        </row>
        <row r="5545">
          <cell r="L5545">
            <v>100</v>
          </cell>
          <cell r="N5545">
            <v>45004</v>
          </cell>
        </row>
        <row r="5546">
          <cell r="L5546">
            <v>100</v>
          </cell>
          <cell r="N5546">
            <v>45004</v>
          </cell>
        </row>
        <row r="5547">
          <cell r="L5547">
            <v>100</v>
          </cell>
          <cell r="N5547">
            <v>45004</v>
          </cell>
        </row>
        <row r="5548">
          <cell r="L5548">
            <v>100</v>
          </cell>
          <cell r="N5548">
            <v>45004</v>
          </cell>
        </row>
        <row r="5549">
          <cell r="L5549">
            <v>100</v>
          </cell>
          <cell r="N5549">
            <v>45004</v>
          </cell>
        </row>
        <row r="5550">
          <cell r="L5550">
            <v>100</v>
          </cell>
          <cell r="N5550">
            <v>45004</v>
          </cell>
        </row>
        <row r="5551">
          <cell r="L5551">
            <v>100</v>
          </cell>
          <cell r="N5551">
            <v>45004</v>
          </cell>
        </row>
        <row r="5552">
          <cell r="L5552">
            <v>100</v>
          </cell>
          <cell r="N5552">
            <v>44959</v>
          </cell>
        </row>
        <row r="5553">
          <cell r="L5553">
            <v>100</v>
          </cell>
          <cell r="N5553">
            <v>44953</v>
          </cell>
        </row>
        <row r="5554">
          <cell r="L5554">
            <v>100</v>
          </cell>
          <cell r="N5554">
            <v>45004</v>
          </cell>
        </row>
        <row r="5555">
          <cell r="L5555">
            <v>100</v>
          </cell>
          <cell r="N5555">
            <v>44953</v>
          </cell>
        </row>
        <row r="5556">
          <cell r="L5556">
            <v>100</v>
          </cell>
          <cell r="N5556">
            <v>44953</v>
          </cell>
        </row>
        <row r="5557">
          <cell r="L5557">
            <v>100</v>
          </cell>
          <cell r="N5557">
            <v>44953</v>
          </cell>
        </row>
        <row r="5558">
          <cell r="L5558">
            <v>100</v>
          </cell>
          <cell r="N5558">
            <v>44953</v>
          </cell>
        </row>
        <row r="5559">
          <cell r="L5559">
            <v>100</v>
          </cell>
          <cell r="N5559">
            <v>44953</v>
          </cell>
        </row>
        <row r="5560">
          <cell r="L5560">
            <v>100</v>
          </cell>
          <cell r="N5560">
            <v>45004</v>
          </cell>
        </row>
        <row r="5561">
          <cell r="L5561">
            <v>100</v>
          </cell>
          <cell r="N5561">
            <v>45004</v>
          </cell>
        </row>
        <row r="5562">
          <cell r="L5562">
            <v>100</v>
          </cell>
          <cell r="N5562">
            <v>45004</v>
          </cell>
        </row>
        <row r="5563">
          <cell r="L5563">
            <v>100</v>
          </cell>
          <cell r="N5563">
            <v>45004</v>
          </cell>
        </row>
        <row r="5564">
          <cell r="L5564">
            <v>100</v>
          </cell>
          <cell r="N5564">
            <v>45004</v>
          </cell>
        </row>
        <row r="5565">
          <cell r="L5565">
            <v>100</v>
          </cell>
          <cell r="N5565">
            <v>44953</v>
          </cell>
        </row>
        <row r="5566">
          <cell r="L5566">
            <v>100</v>
          </cell>
          <cell r="N5566">
            <v>44986</v>
          </cell>
        </row>
        <row r="5567">
          <cell r="L5567">
            <v>100</v>
          </cell>
          <cell r="N5567">
            <v>44953</v>
          </cell>
        </row>
        <row r="5568">
          <cell r="L5568">
            <v>100</v>
          </cell>
          <cell r="N5568">
            <v>44953</v>
          </cell>
        </row>
        <row r="5569">
          <cell r="L5569">
            <v>100</v>
          </cell>
          <cell r="N5569">
            <v>44953</v>
          </cell>
        </row>
        <row r="5570">
          <cell r="L5570">
            <v>100</v>
          </cell>
          <cell r="N5570">
            <v>44953</v>
          </cell>
        </row>
        <row r="5571">
          <cell r="L5571">
            <v>100</v>
          </cell>
          <cell r="N5571">
            <v>44953</v>
          </cell>
        </row>
        <row r="5572">
          <cell r="L5572">
            <v>100</v>
          </cell>
          <cell r="N5572">
            <v>44953</v>
          </cell>
        </row>
        <row r="5573">
          <cell r="L5573">
            <v>100</v>
          </cell>
          <cell r="N5573">
            <v>44953</v>
          </cell>
        </row>
        <row r="5574">
          <cell r="L5574">
            <v>100</v>
          </cell>
          <cell r="N5574">
            <v>44953</v>
          </cell>
        </row>
        <row r="5575">
          <cell r="L5575">
            <v>100</v>
          </cell>
          <cell r="N5575">
            <v>44953</v>
          </cell>
        </row>
        <row r="5576">
          <cell r="L5576">
            <v>100</v>
          </cell>
          <cell r="N5576">
            <v>44986</v>
          </cell>
        </row>
        <row r="5577">
          <cell r="L5577">
            <v>100</v>
          </cell>
          <cell r="N5577">
            <v>44986</v>
          </cell>
        </row>
        <row r="5578">
          <cell r="L5578">
            <v>100</v>
          </cell>
          <cell r="N5578">
            <v>44959</v>
          </cell>
        </row>
        <row r="5579">
          <cell r="L5579">
            <v>100</v>
          </cell>
          <cell r="N5579">
            <v>44986</v>
          </cell>
        </row>
        <row r="5580">
          <cell r="L5580">
            <v>100</v>
          </cell>
          <cell r="N5580">
            <v>44986</v>
          </cell>
        </row>
        <row r="5581">
          <cell r="L5581">
            <v>100</v>
          </cell>
          <cell r="N5581">
            <v>44986</v>
          </cell>
        </row>
        <row r="5582">
          <cell r="L5582">
            <v>100</v>
          </cell>
          <cell r="N5582">
            <v>44953</v>
          </cell>
        </row>
        <row r="5583">
          <cell r="L5583">
            <v>100</v>
          </cell>
          <cell r="N5583">
            <v>44986</v>
          </cell>
        </row>
        <row r="5584">
          <cell r="L5584">
            <v>100</v>
          </cell>
          <cell r="N5584">
            <v>44986</v>
          </cell>
        </row>
        <row r="5585">
          <cell r="L5585">
            <v>100</v>
          </cell>
          <cell r="N5585">
            <v>44986</v>
          </cell>
        </row>
        <row r="5586">
          <cell r="L5586">
            <v>100</v>
          </cell>
          <cell r="N5586">
            <v>45004</v>
          </cell>
        </row>
        <row r="5587">
          <cell r="L5587">
            <v>100</v>
          </cell>
          <cell r="N5587">
            <v>44953</v>
          </cell>
        </row>
        <row r="5588">
          <cell r="L5588">
            <v>100</v>
          </cell>
          <cell r="N5588">
            <v>44953</v>
          </cell>
        </row>
        <row r="5589">
          <cell r="L5589">
            <v>100</v>
          </cell>
          <cell r="N5589">
            <v>45004</v>
          </cell>
        </row>
        <row r="5590">
          <cell r="L5590">
            <v>100</v>
          </cell>
          <cell r="N5590">
            <v>44953</v>
          </cell>
        </row>
        <row r="5591">
          <cell r="L5591">
            <v>100</v>
          </cell>
          <cell r="N5591">
            <v>45004</v>
          </cell>
        </row>
        <row r="5592">
          <cell r="L5592">
            <v>100</v>
          </cell>
          <cell r="N5592">
            <v>45004</v>
          </cell>
        </row>
        <row r="5593">
          <cell r="L5593">
            <v>100</v>
          </cell>
          <cell r="N5593">
            <v>45004</v>
          </cell>
        </row>
        <row r="5594">
          <cell r="L5594">
            <v>100</v>
          </cell>
          <cell r="N5594">
            <v>45004</v>
          </cell>
        </row>
        <row r="5595">
          <cell r="L5595">
            <v>100</v>
          </cell>
          <cell r="N5595">
            <v>44953</v>
          </cell>
        </row>
        <row r="5596">
          <cell r="L5596">
            <v>100</v>
          </cell>
          <cell r="N5596">
            <v>44953</v>
          </cell>
        </row>
        <row r="5597">
          <cell r="L5597">
            <v>100</v>
          </cell>
          <cell r="N5597">
            <v>45004</v>
          </cell>
        </row>
        <row r="5598">
          <cell r="L5598">
            <v>100</v>
          </cell>
          <cell r="N5598">
            <v>45004</v>
          </cell>
        </row>
        <row r="5599">
          <cell r="L5599">
            <v>100</v>
          </cell>
          <cell r="N5599">
            <v>45004</v>
          </cell>
        </row>
        <row r="5600">
          <cell r="L5600">
            <v>100</v>
          </cell>
          <cell r="N5600">
            <v>45004</v>
          </cell>
        </row>
        <row r="5601">
          <cell r="L5601">
            <v>100</v>
          </cell>
          <cell r="N5601">
            <v>44953</v>
          </cell>
        </row>
        <row r="5602">
          <cell r="L5602">
            <v>100</v>
          </cell>
          <cell r="N5602">
            <v>45004</v>
          </cell>
        </row>
        <row r="5603">
          <cell r="L5603">
            <v>100</v>
          </cell>
          <cell r="N5603">
            <v>45004</v>
          </cell>
        </row>
        <row r="5604">
          <cell r="L5604">
            <v>100</v>
          </cell>
          <cell r="N5604">
            <v>45004</v>
          </cell>
        </row>
        <row r="5605">
          <cell r="L5605">
            <v>100</v>
          </cell>
          <cell r="N5605">
            <v>45004</v>
          </cell>
        </row>
        <row r="5606">
          <cell r="L5606">
            <v>100</v>
          </cell>
          <cell r="N5606">
            <v>44986</v>
          </cell>
        </row>
        <row r="5607">
          <cell r="L5607">
            <v>100</v>
          </cell>
          <cell r="N5607">
            <v>44953</v>
          </cell>
        </row>
        <row r="5608">
          <cell r="L5608">
            <v>100</v>
          </cell>
          <cell r="N5608">
            <v>44986</v>
          </cell>
        </row>
        <row r="5609">
          <cell r="L5609">
            <v>100</v>
          </cell>
          <cell r="N5609">
            <v>44953</v>
          </cell>
        </row>
        <row r="5610">
          <cell r="L5610">
            <v>100</v>
          </cell>
          <cell r="N5610">
            <v>44953</v>
          </cell>
        </row>
        <row r="5611">
          <cell r="L5611">
            <v>100</v>
          </cell>
          <cell r="N5611">
            <v>44959</v>
          </cell>
        </row>
        <row r="5612">
          <cell r="L5612">
            <v>100</v>
          </cell>
          <cell r="N5612">
            <v>44986</v>
          </cell>
        </row>
        <row r="5613">
          <cell r="L5613">
            <v>100</v>
          </cell>
          <cell r="N5613">
            <v>44986</v>
          </cell>
        </row>
        <row r="5614">
          <cell r="L5614">
            <v>100</v>
          </cell>
          <cell r="N5614">
            <v>44953</v>
          </cell>
        </row>
        <row r="5615">
          <cell r="L5615">
            <v>100</v>
          </cell>
          <cell r="N5615">
            <v>44959</v>
          </cell>
        </row>
        <row r="5616">
          <cell r="L5616">
            <v>100</v>
          </cell>
          <cell r="N5616">
            <v>44986</v>
          </cell>
        </row>
        <row r="5617">
          <cell r="L5617">
            <v>100</v>
          </cell>
          <cell r="N5617">
            <v>44986</v>
          </cell>
        </row>
        <row r="5618">
          <cell r="L5618">
            <v>100</v>
          </cell>
          <cell r="N5618">
            <v>44986</v>
          </cell>
        </row>
        <row r="5619">
          <cell r="L5619">
            <v>100</v>
          </cell>
          <cell r="N5619">
            <v>44986</v>
          </cell>
        </row>
        <row r="5620">
          <cell r="L5620">
            <v>100</v>
          </cell>
          <cell r="N5620">
            <v>44986</v>
          </cell>
        </row>
        <row r="5621">
          <cell r="L5621">
            <v>100</v>
          </cell>
          <cell r="N5621">
            <v>44953</v>
          </cell>
        </row>
        <row r="5622">
          <cell r="L5622">
            <v>100</v>
          </cell>
          <cell r="N5622">
            <v>44959</v>
          </cell>
        </row>
        <row r="5623">
          <cell r="L5623">
            <v>100</v>
          </cell>
          <cell r="N5623">
            <v>44959</v>
          </cell>
        </row>
        <row r="5624">
          <cell r="L5624">
            <v>100</v>
          </cell>
          <cell r="N5624">
            <v>45004</v>
          </cell>
        </row>
        <row r="5625">
          <cell r="L5625">
            <v>100</v>
          </cell>
          <cell r="N5625">
            <v>45004</v>
          </cell>
        </row>
        <row r="5626">
          <cell r="L5626">
            <v>100</v>
          </cell>
          <cell r="N5626">
            <v>44959</v>
          </cell>
        </row>
        <row r="5627">
          <cell r="L5627">
            <v>100</v>
          </cell>
          <cell r="N5627">
            <v>45004</v>
          </cell>
        </row>
        <row r="5628">
          <cell r="L5628">
            <v>100</v>
          </cell>
          <cell r="N5628">
            <v>45004</v>
          </cell>
        </row>
        <row r="5629">
          <cell r="L5629">
            <v>100</v>
          </cell>
          <cell r="N5629">
            <v>44986</v>
          </cell>
        </row>
        <row r="5630">
          <cell r="L5630">
            <v>100</v>
          </cell>
          <cell r="N5630">
            <v>44986</v>
          </cell>
        </row>
        <row r="5631">
          <cell r="L5631">
            <v>100</v>
          </cell>
          <cell r="N5631">
            <v>44959</v>
          </cell>
        </row>
        <row r="5632">
          <cell r="L5632">
            <v>100</v>
          </cell>
          <cell r="N5632">
            <v>44953</v>
          </cell>
        </row>
        <row r="5633">
          <cell r="L5633">
            <v>100</v>
          </cell>
          <cell r="N5633">
            <v>44959</v>
          </cell>
        </row>
        <row r="5634">
          <cell r="L5634">
            <v>100</v>
          </cell>
          <cell r="N5634">
            <v>44953</v>
          </cell>
        </row>
        <row r="5635">
          <cell r="L5635">
            <v>100</v>
          </cell>
          <cell r="N5635">
            <v>44959</v>
          </cell>
        </row>
        <row r="5636">
          <cell r="L5636">
            <v>100</v>
          </cell>
          <cell r="N5636">
            <v>44959</v>
          </cell>
        </row>
        <row r="5637">
          <cell r="L5637">
            <v>100</v>
          </cell>
          <cell r="N5637">
            <v>44959</v>
          </cell>
        </row>
        <row r="5638">
          <cell r="L5638">
            <v>100</v>
          </cell>
          <cell r="N5638">
            <v>44953</v>
          </cell>
        </row>
        <row r="5639">
          <cell r="L5639">
            <v>100</v>
          </cell>
          <cell r="N5639">
            <v>44959</v>
          </cell>
        </row>
        <row r="5640">
          <cell r="L5640">
            <v>100</v>
          </cell>
          <cell r="N5640">
            <v>44986</v>
          </cell>
        </row>
        <row r="5641">
          <cell r="L5641">
            <v>100</v>
          </cell>
          <cell r="N5641">
            <v>44953</v>
          </cell>
        </row>
        <row r="5642">
          <cell r="L5642">
            <v>100</v>
          </cell>
          <cell r="N5642">
            <v>44959</v>
          </cell>
        </row>
        <row r="5643">
          <cell r="L5643">
            <v>100</v>
          </cell>
          <cell r="N5643">
            <v>44953</v>
          </cell>
        </row>
        <row r="5644">
          <cell r="L5644">
            <v>100</v>
          </cell>
          <cell r="N5644">
            <v>44986</v>
          </cell>
        </row>
        <row r="5645">
          <cell r="L5645">
            <v>100</v>
          </cell>
          <cell r="N5645">
            <v>44953</v>
          </cell>
        </row>
        <row r="5646">
          <cell r="L5646">
            <v>100</v>
          </cell>
          <cell r="N5646">
            <v>44986</v>
          </cell>
        </row>
        <row r="5647">
          <cell r="L5647">
            <v>100</v>
          </cell>
          <cell r="N5647">
            <v>44953</v>
          </cell>
        </row>
        <row r="5648">
          <cell r="L5648">
            <v>100</v>
          </cell>
          <cell r="N5648">
            <v>45004</v>
          </cell>
        </row>
        <row r="5649">
          <cell r="L5649">
            <v>100</v>
          </cell>
          <cell r="N5649">
            <v>45004</v>
          </cell>
        </row>
        <row r="5650">
          <cell r="L5650">
            <v>100</v>
          </cell>
          <cell r="N5650">
            <v>44886</v>
          </cell>
        </row>
        <row r="5651">
          <cell r="L5651">
            <v>100</v>
          </cell>
          <cell r="N5651">
            <v>44959</v>
          </cell>
        </row>
        <row r="5652">
          <cell r="L5652">
            <v>100</v>
          </cell>
          <cell r="N5652">
            <v>45004</v>
          </cell>
        </row>
        <row r="5653">
          <cell r="L5653">
            <v>100</v>
          </cell>
          <cell r="N5653">
            <v>44986</v>
          </cell>
        </row>
        <row r="5654">
          <cell r="L5654">
            <v>100</v>
          </cell>
          <cell r="N5654">
            <v>44986</v>
          </cell>
        </row>
        <row r="5655">
          <cell r="L5655">
            <v>100</v>
          </cell>
          <cell r="N5655">
            <v>44986</v>
          </cell>
        </row>
        <row r="5656">
          <cell r="L5656">
            <v>100</v>
          </cell>
          <cell r="N5656">
            <v>44986</v>
          </cell>
        </row>
        <row r="5657">
          <cell r="L5657">
            <v>100</v>
          </cell>
          <cell r="N5657">
            <v>44755</v>
          </cell>
        </row>
        <row r="5658">
          <cell r="L5658">
            <v>100</v>
          </cell>
          <cell r="N5658">
            <v>44951</v>
          </cell>
        </row>
        <row r="5659">
          <cell r="L5659">
            <v>100</v>
          </cell>
          <cell r="N5659">
            <v>44951</v>
          </cell>
        </row>
        <row r="5660">
          <cell r="L5660">
            <v>100</v>
          </cell>
          <cell r="N5660">
            <v>44951</v>
          </cell>
        </row>
        <row r="5661">
          <cell r="L5661">
            <v>100</v>
          </cell>
          <cell r="N5661">
            <v>44951</v>
          </cell>
        </row>
        <row r="5662">
          <cell r="L5662">
            <v>100</v>
          </cell>
          <cell r="N5662">
            <v>44951</v>
          </cell>
        </row>
        <row r="5663">
          <cell r="L5663">
            <v>100</v>
          </cell>
          <cell r="N5663">
            <v>44951</v>
          </cell>
        </row>
        <row r="5664">
          <cell r="L5664">
            <v>100</v>
          </cell>
          <cell r="N5664">
            <v>44951</v>
          </cell>
        </row>
        <row r="5665">
          <cell r="L5665">
            <v>100</v>
          </cell>
          <cell r="N5665">
            <v>44951</v>
          </cell>
        </row>
        <row r="5666">
          <cell r="L5666">
            <v>100</v>
          </cell>
          <cell r="N5666">
            <v>44951</v>
          </cell>
        </row>
        <row r="5667">
          <cell r="L5667">
            <v>100</v>
          </cell>
          <cell r="N5667">
            <v>44951</v>
          </cell>
        </row>
        <row r="5668">
          <cell r="L5668">
            <v>100</v>
          </cell>
          <cell r="N5668">
            <v>44951</v>
          </cell>
        </row>
        <row r="5669">
          <cell r="L5669">
            <v>100</v>
          </cell>
          <cell r="N5669">
            <v>44975</v>
          </cell>
        </row>
        <row r="5670">
          <cell r="L5670">
            <v>100</v>
          </cell>
          <cell r="N5670">
            <v>44975</v>
          </cell>
        </row>
        <row r="5671">
          <cell r="L5671">
            <v>100</v>
          </cell>
          <cell r="N5671">
            <v>44975</v>
          </cell>
        </row>
        <row r="5672">
          <cell r="L5672">
            <v>100</v>
          </cell>
          <cell r="N5672">
            <v>44975</v>
          </cell>
        </row>
        <row r="5673">
          <cell r="L5673">
            <v>100</v>
          </cell>
          <cell r="N5673">
            <v>44975</v>
          </cell>
        </row>
        <row r="5674">
          <cell r="L5674">
            <v>100</v>
          </cell>
          <cell r="N5674">
            <v>44975</v>
          </cell>
        </row>
        <row r="5675">
          <cell r="L5675">
            <v>100</v>
          </cell>
          <cell r="N5675">
            <v>44975</v>
          </cell>
        </row>
        <row r="5676">
          <cell r="L5676">
            <v>100</v>
          </cell>
          <cell r="N5676">
            <v>44816</v>
          </cell>
        </row>
        <row r="5677">
          <cell r="L5677">
            <v>100</v>
          </cell>
          <cell r="N5677">
            <v>44816</v>
          </cell>
        </row>
        <row r="5678">
          <cell r="L5678">
            <v>100</v>
          </cell>
          <cell r="N5678">
            <v>44951</v>
          </cell>
        </row>
        <row r="5679">
          <cell r="L5679">
            <v>100</v>
          </cell>
          <cell r="N5679">
            <v>44951</v>
          </cell>
        </row>
        <row r="5680">
          <cell r="L5680">
            <v>100</v>
          </cell>
          <cell r="N5680">
            <v>44975</v>
          </cell>
        </row>
        <row r="5681">
          <cell r="L5681">
            <v>100</v>
          </cell>
          <cell r="N5681">
            <v>44975</v>
          </cell>
        </row>
        <row r="5682">
          <cell r="L5682">
            <v>100</v>
          </cell>
          <cell r="N5682">
            <v>44959</v>
          </cell>
        </row>
        <row r="5683">
          <cell r="L5683">
            <v>100</v>
          </cell>
          <cell r="N5683">
            <v>45004</v>
          </cell>
        </row>
        <row r="5684">
          <cell r="L5684">
            <v>100</v>
          </cell>
          <cell r="N5684">
            <v>45004</v>
          </cell>
        </row>
        <row r="5685">
          <cell r="L5685">
            <v>100</v>
          </cell>
          <cell r="N5685">
            <v>45004</v>
          </cell>
        </row>
        <row r="5686">
          <cell r="L5686">
            <v>100</v>
          </cell>
          <cell r="N5686">
            <v>45004</v>
          </cell>
        </row>
        <row r="5687">
          <cell r="L5687">
            <v>100</v>
          </cell>
          <cell r="N5687">
            <v>44986</v>
          </cell>
        </row>
        <row r="5688">
          <cell r="L5688">
            <v>100</v>
          </cell>
          <cell r="N5688">
            <v>44986</v>
          </cell>
        </row>
        <row r="5689">
          <cell r="L5689">
            <v>100</v>
          </cell>
          <cell r="N5689">
            <v>44986</v>
          </cell>
        </row>
        <row r="5690">
          <cell r="L5690">
            <v>100</v>
          </cell>
          <cell r="N5690">
            <v>44986</v>
          </cell>
        </row>
        <row r="5691">
          <cell r="L5691">
            <v>100</v>
          </cell>
          <cell r="N5691">
            <v>44986</v>
          </cell>
        </row>
        <row r="5692">
          <cell r="L5692">
            <v>100</v>
          </cell>
          <cell r="N5692">
            <v>44986</v>
          </cell>
        </row>
        <row r="5693">
          <cell r="L5693">
            <v>100</v>
          </cell>
          <cell r="N5693">
            <v>44986</v>
          </cell>
        </row>
        <row r="5694">
          <cell r="L5694">
            <v>100</v>
          </cell>
          <cell r="N5694">
            <v>44986</v>
          </cell>
        </row>
        <row r="5695">
          <cell r="L5695">
            <v>100</v>
          </cell>
          <cell r="N5695">
            <v>44986</v>
          </cell>
        </row>
        <row r="5696">
          <cell r="L5696">
            <v>100</v>
          </cell>
          <cell r="N5696">
            <v>44986</v>
          </cell>
        </row>
        <row r="5697">
          <cell r="L5697">
            <v>100</v>
          </cell>
          <cell r="N5697">
            <v>44986</v>
          </cell>
        </row>
        <row r="5698">
          <cell r="L5698">
            <v>100</v>
          </cell>
          <cell r="N5698">
            <v>44986</v>
          </cell>
        </row>
        <row r="5699">
          <cell r="L5699">
            <v>100</v>
          </cell>
          <cell r="N5699">
            <v>44986</v>
          </cell>
        </row>
        <row r="5700">
          <cell r="L5700">
            <v>100</v>
          </cell>
          <cell r="N5700">
            <v>44986</v>
          </cell>
        </row>
        <row r="5701">
          <cell r="L5701">
            <v>100</v>
          </cell>
          <cell r="N5701">
            <v>44986</v>
          </cell>
        </row>
        <row r="5702">
          <cell r="L5702">
            <v>100</v>
          </cell>
          <cell r="N5702">
            <v>44986</v>
          </cell>
        </row>
        <row r="5703">
          <cell r="L5703">
            <v>100</v>
          </cell>
          <cell r="N5703">
            <v>44959</v>
          </cell>
        </row>
        <row r="5704">
          <cell r="L5704">
            <v>100</v>
          </cell>
          <cell r="N5704">
            <v>44986</v>
          </cell>
        </row>
        <row r="5705">
          <cell r="L5705">
            <v>100</v>
          </cell>
          <cell r="N5705">
            <v>44953</v>
          </cell>
        </row>
        <row r="5706">
          <cell r="L5706">
            <v>100</v>
          </cell>
          <cell r="N5706">
            <v>44959</v>
          </cell>
        </row>
        <row r="5707">
          <cell r="L5707">
            <v>100</v>
          </cell>
          <cell r="N5707">
            <v>44986</v>
          </cell>
        </row>
        <row r="5708">
          <cell r="L5708">
            <v>100</v>
          </cell>
          <cell r="N5708">
            <v>44986</v>
          </cell>
        </row>
        <row r="5709">
          <cell r="L5709">
            <v>100</v>
          </cell>
          <cell r="N5709">
            <v>44986</v>
          </cell>
        </row>
        <row r="5710">
          <cell r="L5710">
            <v>100</v>
          </cell>
          <cell r="N5710">
            <v>44986</v>
          </cell>
        </row>
        <row r="5711">
          <cell r="L5711">
            <v>100</v>
          </cell>
          <cell r="N5711">
            <v>44986</v>
          </cell>
        </row>
        <row r="5712">
          <cell r="L5712">
            <v>100</v>
          </cell>
          <cell r="N5712">
            <v>44986</v>
          </cell>
        </row>
        <row r="5713">
          <cell r="L5713">
            <v>100</v>
          </cell>
          <cell r="N5713">
            <v>44986</v>
          </cell>
        </row>
        <row r="5714">
          <cell r="L5714">
            <v>100</v>
          </cell>
          <cell r="N5714">
            <v>44986</v>
          </cell>
        </row>
        <row r="5715">
          <cell r="L5715">
            <v>100</v>
          </cell>
          <cell r="N5715">
            <v>44975</v>
          </cell>
        </row>
        <row r="5716">
          <cell r="L5716">
            <v>100</v>
          </cell>
          <cell r="N5716">
            <v>44951</v>
          </cell>
        </row>
        <row r="5717">
          <cell r="L5717">
            <v>100</v>
          </cell>
          <cell r="N5717">
            <v>44986</v>
          </cell>
        </row>
        <row r="5718">
          <cell r="L5718">
            <v>100</v>
          </cell>
          <cell r="N5718">
            <v>44986</v>
          </cell>
        </row>
        <row r="5719">
          <cell r="L5719">
            <v>100</v>
          </cell>
          <cell r="N5719">
            <v>44959</v>
          </cell>
        </row>
        <row r="5720">
          <cell r="L5720">
            <v>100</v>
          </cell>
          <cell r="N5720">
            <v>44959</v>
          </cell>
        </row>
        <row r="5721">
          <cell r="L5721">
            <v>100</v>
          </cell>
          <cell r="N5721">
            <v>44986</v>
          </cell>
        </row>
        <row r="5722">
          <cell r="L5722">
            <v>100</v>
          </cell>
          <cell r="N5722">
            <v>44986</v>
          </cell>
        </row>
        <row r="5723">
          <cell r="L5723">
            <v>100</v>
          </cell>
          <cell r="N5723">
            <v>44986</v>
          </cell>
        </row>
        <row r="5724">
          <cell r="L5724">
            <v>100</v>
          </cell>
          <cell r="N5724">
            <v>44986</v>
          </cell>
        </row>
        <row r="5725">
          <cell r="L5725">
            <v>100</v>
          </cell>
          <cell r="N5725">
            <v>44986</v>
          </cell>
        </row>
        <row r="5726">
          <cell r="L5726">
            <v>100</v>
          </cell>
          <cell r="N5726">
            <v>44986</v>
          </cell>
        </row>
        <row r="5727">
          <cell r="L5727">
            <v>100</v>
          </cell>
          <cell r="N5727">
            <v>44953</v>
          </cell>
        </row>
        <row r="5728">
          <cell r="L5728">
            <v>100</v>
          </cell>
          <cell r="N5728">
            <v>44953</v>
          </cell>
        </row>
        <row r="5729">
          <cell r="L5729">
            <v>100</v>
          </cell>
          <cell r="N5729">
            <v>44953</v>
          </cell>
        </row>
        <row r="5730">
          <cell r="L5730">
            <v>100</v>
          </cell>
          <cell r="N5730">
            <v>44953</v>
          </cell>
        </row>
        <row r="5731">
          <cell r="L5731">
            <v>100</v>
          </cell>
          <cell r="N5731">
            <v>44953</v>
          </cell>
        </row>
        <row r="5732">
          <cell r="L5732">
            <v>100</v>
          </cell>
          <cell r="N5732">
            <v>44953</v>
          </cell>
        </row>
        <row r="5733">
          <cell r="L5733">
            <v>100</v>
          </cell>
          <cell r="N5733">
            <v>44986</v>
          </cell>
        </row>
        <row r="5734">
          <cell r="L5734">
            <v>100</v>
          </cell>
          <cell r="N5734">
            <v>44986</v>
          </cell>
        </row>
        <row r="5735">
          <cell r="L5735">
            <v>100</v>
          </cell>
          <cell r="N5735">
            <v>44986</v>
          </cell>
        </row>
        <row r="5736">
          <cell r="L5736">
            <v>100</v>
          </cell>
          <cell r="N5736">
            <v>44986</v>
          </cell>
        </row>
        <row r="5737">
          <cell r="L5737">
            <v>100</v>
          </cell>
          <cell r="N5737">
            <v>44986</v>
          </cell>
        </row>
        <row r="5738">
          <cell r="L5738">
            <v>100</v>
          </cell>
          <cell r="N5738">
            <v>44986</v>
          </cell>
        </row>
        <row r="5739">
          <cell r="L5739">
            <v>100</v>
          </cell>
          <cell r="N5739">
            <v>44951</v>
          </cell>
        </row>
        <row r="5740">
          <cell r="L5740">
            <v>100</v>
          </cell>
          <cell r="N5740">
            <v>44975</v>
          </cell>
        </row>
        <row r="5741">
          <cell r="L5741">
            <v>100</v>
          </cell>
          <cell r="N5741">
            <v>44975</v>
          </cell>
        </row>
        <row r="5742">
          <cell r="L5742">
            <v>100</v>
          </cell>
          <cell r="N5742">
            <v>44975</v>
          </cell>
        </row>
        <row r="5743">
          <cell r="L5743">
            <v>100</v>
          </cell>
          <cell r="N5743">
            <v>44975</v>
          </cell>
        </row>
        <row r="5744">
          <cell r="L5744">
            <v>100</v>
          </cell>
          <cell r="N5744">
            <v>44975</v>
          </cell>
        </row>
        <row r="5745">
          <cell r="L5745">
            <v>100</v>
          </cell>
          <cell r="N5745">
            <v>44975</v>
          </cell>
        </row>
        <row r="5746">
          <cell r="L5746">
            <v>100</v>
          </cell>
          <cell r="N5746">
            <v>44697</v>
          </cell>
        </row>
        <row r="5747">
          <cell r="L5747">
            <v>100</v>
          </cell>
          <cell r="N5747">
            <v>44697</v>
          </cell>
        </row>
        <row r="5748">
          <cell r="L5748">
            <v>100</v>
          </cell>
          <cell r="N5748">
            <v>44697</v>
          </cell>
        </row>
        <row r="5749">
          <cell r="L5749">
            <v>100</v>
          </cell>
          <cell r="N5749">
            <v>44970</v>
          </cell>
        </row>
        <row r="5750">
          <cell r="L5750">
            <v>100</v>
          </cell>
          <cell r="N5750"/>
        </row>
        <row r="5751">
          <cell r="L5751">
            <v>100</v>
          </cell>
          <cell r="N5751">
            <v>44830</v>
          </cell>
        </row>
        <row r="5752">
          <cell r="L5752">
            <v>100</v>
          </cell>
          <cell r="N5752">
            <v>44830</v>
          </cell>
        </row>
        <row r="5753">
          <cell r="L5753">
            <v>100</v>
          </cell>
          <cell r="N5753">
            <v>44957</v>
          </cell>
        </row>
        <row r="5754">
          <cell r="L5754">
            <v>100</v>
          </cell>
          <cell r="N5754">
            <v>44957</v>
          </cell>
        </row>
        <row r="5755">
          <cell r="L5755">
            <v>100</v>
          </cell>
          <cell r="N5755">
            <v>44957</v>
          </cell>
        </row>
        <row r="5756">
          <cell r="L5756">
            <v>100</v>
          </cell>
          <cell r="N5756">
            <v>44957</v>
          </cell>
        </row>
        <row r="5757">
          <cell r="L5757">
            <v>100</v>
          </cell>
          <cell r="N5757">
            <v>44957</v>
          </cell>
        </row>
        <row r="5758">
          <cell r="L5758">
            <v>100</v>
          </cell>
          <cell r="N5758">
            <v>44957</v>
          </cell>
        </row>
        <row r="5759">
          <cell r="L5759">
            <v>100</v>
          </cell>
          <cell r="N5759">
            <v>44756</v>
          </cell>
        </row>
        <row r="5760">
          <cell r="L5760">
            <v>100</v>
          </cell>
          <cell r="N5760">
            <v>44756</v>
          </cell>
        </row>
        <row r="5761">
          <cell r="L5761">
            <v>100</v>
          </cell>
          <cell r="N5761">
            <v>44782</v>
          </cell>
        </row>
        <row r="5762">
          <cell r="L5762">
            <v>100</v>
          </cell>
          <cell r="N5762">
            <v>44925</v>
          </cell>
        </row>
        <row r="5763">
          <cell r="L5763">
            <v>100</v>
          </cell>
          <cell r="N5763">
            <v>44925</v>
          </cell>
        </row>
        <row r="5764">
          <cell r="L5764">
            <v>100</v>
          </cell>
          <cell r="N5764">
            <v>44925</v>
          </cell>
        </row>
        <row r="5765">
          <cell r="L5765">
            <v>100</v>
          </cell>
          <cell r="N5765"/>
        </row>
        <row r="5766">
          <cell r="L5766">
            <v>100</v>
          </cell>
          <cell r="N5766">
            <v>44957</v>
          </cell>
        </row>
        <row r="5767">
          <cell r="L5767">
            <v>100</v>
          </cell>
          <cell r="N5767">
            <v>44957</v>
          </cell>
        </row>
        <row r="5768">
          <cell r="L5768">
            <v>100</v>
          </cell>
          <cell r="N5768">
            <v>44967</v>
          </cell>
        </row>
        <row r="5769">
          <cell r="L5769">
            <v>100</v>
          </cell>
          <cell r="N5769">
            <v>44967</v>
          </cell>
        </row>
        <row r="5770">
          <cell r="L5770">
            <v>100</v>
          </cell>
          <cell r="N5770">
            <v>44967</v>
          </cell>
        </row>
        <row r="5771">
          <cell r="L5771">
            <v>100</v>
          </cell>
          <cell r="N5771">
            <v>44967</v>
          </cell>
        </row>
        <row r="5772">
          <cell r="L5772">
            <v>100</v>
          </cell>
          <cell r="N5772">
            <v>44967</v>
          </cell>
        </row>
        <row r="5773">
          <cell r="L5773">
            <v>100</v>
          </cell>
          <cell r="N5773">
            <v>44967</v>
          </cell>
        </row>
        <row r="5774">
          <cell r="L5774">
            <v>100</v>
          </cell>
          <cell r="N5774">
            <v>44967</v>
          </cell>
        </row>
        <row r="5775">
          <cell r="L5775">
            <v>100</v>
          </cell>
          <cell r="N5775">
            <v>44967</v>
          </cell>
        </row>
        <row r="5776">
          <cell r="L5776">
            <v>100</v>
          </cell>
          <cell r="N5776">
            <v>44967</v>
          </cell>
        </row>
        <row r="5777">
          <cell r="L5777">
            <v>100</v>
          </cell>
          <cell r="N5777">
            <v>44967</v>
          </cell>
        </row>
        <row r="5778">
          <cell r="L5778">
            <v>100</v>
          </cell>
          <cell r="N5778">
            <v>44967</v>
          </cell>
        </row>
        <row r="5779">
          <cell r="L5779">
            <v>100</v>
          </cell>
          <cell r="N5779">
            <v>44903</v>
          </cell>
        </row>
        <row r="5780">
          <cell r="L5780">
            <v>100</v>
          </cell>
          <cell r="N5780">
            <v>44785</v>
          </cell>
        </row>
        <row r="5781">
          <cell r="L5781">
            <v>100</v>
          </cell>
          <cell r="N5781">
            <v>44785</v>
          </cell>
        </row>
        <row r="5782">
          <cell r="L5782">
            <v>100</v>
          </cell>
          <cell r="N5782">
            <v>44967</v>
          </cell>
        </row>
        <row r="5783">
          <cell r="L5783">
            <v>100</v>
          </cell>
          <cell r="N5783">
            <v>44970</v>
          </cell>
        </row>
        <row r="5784">
          <cell r="L5784">
            <v>100</v>
          </cell>
          <cell r="N5784">
            <v>44970</v>
          </cell>
        </row>
        <row r="5785">
          <cell r="L5785">
            <v>100</v>
          </cell>
          <cell r="N5785">
            <v>44970</v>
          </cell>
        </row>
        <row r="5786">
          <cell r="L5786">
            <v>100</v>
          </cell>
          <cell r="N5786">
            <v>44970</v>
          </cell>
        </row>
        <row r="5787">
          <cell r="L5787">
            <v>100</v>
          </cell>
          <cell r="N5787">
            <v>44970</v>
          </cell>
        </row>
        <row r="5788">
          <cell r="L5788">
            <v>100</v>
          </cell>
          <cell r="N5788">
            <v>44970</v>
          </cell>
        </row>
        <row r="5789">
          <cell r="L5789">
            <v>100</v>
          </cell>
          <cell r="N5789">
            <v>44970</v>
          </cell>
        </row>
        <row r="5790">
          <cell r="L5790">
            <v>100</v>
          </cell>
          <cell r="N5790">
            <v>44970</v>
          </cell>
        </row>
        <row r="5791">
          <cell r="L5791">
            <v>100</v>
          </cell>
          <cell r="N5791">
            <v>44970</v>
          </cell>
        </row>
        <row r="5792">
          <cell r="L5792">
            <v>100</v>
          </cell>
          <cell r="N5792">
            <v>44728</v>
          </cell>
        </row>
        <row r="5793">
          <cell r="L5793">
            <v>100</v>
          </cell>
          <cell r="N5793">
            <v>44728</v>
          </cell>
        </row>
        <row r="5794">
          <cell r="L5794">
            <v>100</v>
          </cell>
          <cell r="N5794">
            <v>44728</v>
          </cell>
        </row>
        <row r="5795">
          <cell r="L5795">
            <v>100</v>
          </cell>
          <cell r="N5795">
            <v>44967</v>
          </cell>
        </row>
        <row r="5796">
          <cell r="L5796">
            <v>100</v>
          </cell>
          <cell r="N5796"/>
        </row>
        <row r="5797">
          <cell r="L5797">
            <v>100</v>
          </cell>
          <cell r="N5797"/>
        </row>
        <row r="5798">
          <cell r="L5798">
            <v>100</v>
          </cell>
          <cell r="N5798"/>
        </row>
        <row r="5799">
          <cell r="L5799">
            <v>100</v>
          </cell>
          <cell r="N5799">
            <v>44769</v>
          </cell>
        </row>
        <row r="5800">
          <cell r="L5800">
            <v>100</v>
          </cell>
          <cell r="N5800">
            <v>44739</v>
          </cell>
        </row>
        <row r="5801">
          <cell r="L5801">
            <v>100</v>
          </cell>
          <cell r="N5801"/>
        </row>
        <row r="5802">
          <cell r="L5802">
            <v>100</v>
          </cell>
          <cell r="N5802">
            <v>44970</v>
          </cell>
        </row>
        <row r="5803">
          <cell r="L5803">
            <v>100</v>
          </cell>
          <cell r="N5803">
            <v>44970</v>
          </cell>
        </row>
        <row r="5804">
          <cell r="L5804">
            <v>100</v>
          </cell>
          <cell r="N5804">
            <v>44970</v>
          </cell>
        </row>
        <row r="5805">
          <cell r="L5805">
            <v>100</v>
          </cell>
          <cell r="N5805">
            <v>44970</v>
          </cell>
        </row>
        <row r="5806">
          <cell r="L5806">
            <v>100</v>
          </cell>
          <cell r="N5806">
            <v>44970</v>
          </cell>
        </row>
        <row r="5807">
          <cell r="L5807">
            <v>100</v>
          </cell>
          <cell r="N5807">
            <v>44970</v>
          </cell>
        </row>
        <row r="5808">
          <cell r="L5808">
            <v>100</v>
          </cell>
          <cell r="N5808">
            <v>44970</v>
          </cell>
        </row>
        <row r="5809">
          <cell r="L5809">
            <v>100</v>
          </cell>
          <cell r="N5809">
            <v>44970</v>
          </cell>
        </row>
        <row r="5810">
          <cell r="L5810">
            <v>100</v>
          </cell>
          <cell r="N5810">
            <v>44970</v>
          </cell>
        </row>
        <row r="5811">
          <cell r="L5811">
            <v>100</v>
          </cell>
          <cell r="N5811">
            <v>44970</v>
          </cell>
        </row>
        <row r="5812">
          <cell r="L5812">
            <v>100</v>
          </cell>
          <cell r="N5812">
            <v>44970</v>
          </cell>
        </row>
        <row r="5813">
          <cell r="L5813">
            <v>100</v>
          </cell>
          <cell r="N5813">
            <v>44970</v>
          </cell>
        </row>
        <row r="5814">
          <cell r="L5814">
            <v>100</v>
          </cell>
          <cell r="N5814">
            <v>44966</v>
          </cell>
        </row>
        <row r="5815">
          <cell r="L5815">
            <v>100</v>
          </cell>
          <cell r="N5815">
            <v>44966</v>
          </cell>
        </row>
        <row r="5816">
          <cell r="L5816">
            <v>100</v>
          </cell>
          <cell r="N5816"/>
        </row>
        <row r="5817">
          <cell r="L5817">
            <v>100</v>
          </cell>
          <cell r="N5817"/>
        </row>
        <row r="5818">
          <cell r="L5818">
            <v>100</v>
          </cell>
          <cell r="N5818">
            <v>44828</v>
          </cell>
        </row>
        <row r="5819">
          <cell r="L5819">
            <v>100</v>
          </cell>
          <cell r="N5819"/>
        </row>
        <row r="5820">
          <cell r="L5820">
            <v>100</v>
          </cell>
          <cell r="N5820"/>
        </row>
        <row r="5821">
          <cell r="L5821">
            <v>100</v>
          </cell>
          <cell r="N5821"/>
        </row>
        <row r="5822">
          <cell r="L5822">
            <v>100</v>
          </cell>
          <cell r="N5822"/>
        </row>
        <row r="5823">
          <cell r="L5823">
            <v>100</v>
          </cell>
          <cell r="N5823">
            <v>44968</v>
          </cell>
        </row>
        <row r="5824">
          <cell r="L5824">
            <v>100</v>
          </cell>
          <cell r="N5824">
            <v>44968</v>
          </cell>
        </row>
        <row r="5825">
          <cell r="L5825">
            <v>100</v>
          </cell>
          <cell r="N5825">
            <v>44968</v>
          </cell>
        </row>
        <row r="5826">
          <cell r="L5826">
            <v>100</v>
          </cell>
          <cell r="N5826">
            <v>44968</v>
          </cell>
        </row>
        <row r="5827">
          <cell r="L5827">
            <v>100</v>
          </cell>
          <cell r="N5827">
            <v>44968</v>
          </cell>
        </row>
        <row r="5828">
          <cell r="L5828">
            <v>100</v>
          </cell>
          <cell r="N5828">
            <v>44968</v>
          </cell>
        </row>
        <row r="5829">
          <cell r="L5829">
            <v>100</v>
          </cell>
          <cell r="N5829">
            <v>44968</v>
          </cell>
        </row>
        <row r="5830">
          <cell r="L5830">
            <v>100</v>
          </cell>
          <cell r="N5830">
            <v>44944</v>
          </cell>
        </row>
        <row r="5831">
          <cell r="L5831">
            <v>100</v>
          </cell>
          <cell r="N5831">
            <v>44944</v>
          </cell>
        </row>
        <row r="5832">
          <cell r="L5832">
            <v>100</v>
          </cell>
          <cell r="N5832">
            <v>44800</v>
          </cell>
        </row>
        <row r="5833">
          <cell r="L5833">
            <v>100</v>
          </cell>
          <cell r="N5833">
            <v>44800</v>
          </cell>
        </row>
        <row r="5834">
          <cell r="L5834">
            <v>100</v>
          </cell>
          <cell r="N5834">
            <v>44800</v>
          </cell>
        </row>
        <row r="5835">
          <cell r="L5835">
            <v>100</v>
          </cell>
          <cell r="N5835">
            <v>44966</v>
          </cell>
        </row>
        <row r="5836">
          <cell r="L5836">
            <v>100</v>
          </cell>
          <cell r="N5836">
            <v>44966</v>
          </cell>
        </row>
        <row r="5837">
          <cell r="L5837">
            <v>100</v>
          </cell>
          <cell r="N5837">
            <v>44966</v>
          </cell>
        </row>
        <row r="5838">
          <cell r="L5838">
            <v>100</v>
          </cell>
          <cell r="N5838">
            <v>44830</v>
          </cell>
        </row>
        <row r="5839">
          <cell r="L5839">
            <v>100</v>
          </cell>
          <cell r="N5839">
            <v>44966</v>
          </cell>
        </row>
        <row r="5840">
          <cell r="L5840">
            <v>100</v>
          </cell>
          <cell r="N5840">
            <v>44966</v>
          </cell>
        </row>
        <row r="5841">
          <cell r="L5841">
            <v>100</v>
          </cell>
          <cell r="N5841"/>
        </row>
        <row r="5842">
          <cell r="L5842">
            <v>100</v>
          </cell>
          <cell r="N5842"/>
        </row>
        <row r="5843">
          <cell r="L5843">
            <v>100</v>
          </cell>
          <cell r="N5843"/>
        </row>
        <row r="5844">
          <cell r="L5844">
            <v>100</v>
          </cell>
          <cell r="N5844"/>
        </row>
        <row r="5845">
          <cell r="L5845">
            <v>100</v>
          </cell>
          <cell r="N5845">
            <v>44970</v>
          </cell>
        </row>
        <row r="5846">
          <cell r="L5846">
            <v>100</v>
          </cell>
          <cell r="N5846">
            <v>44802</v>
          </cell>
        </row>
        <row r="5847">
          <cell r="L5847">
            <v>100</v>
          </cell>
          <cell r="N5847">
            <v>44802</v>
          </cell>
        </row>
        <row r="5848">
          <cell r="L5848">
            <v>100</v>
          </cell>
          <cell r="N5848">
            <v>44970</v>
          </cell>
        </row>
        <row r="5849">
          <cell r="L5849">
            <v>100</v>
          </cell>
          <cell r="N5849">
            <v>44961</v>
          </cell>
        </row>
        <row r="5850">
          <cell r="L5850">
            <v>100</v>
          </cell>
          <cell r="N5850">
            <v>44961</v>
          </cell>
        </row>
        <row r="5851">
          <cell r="L5851">
            <v>100</v>
          </cell>
          <cell r="N5851">
            <v>44961</v>
          </cell>
        </row>
        <row r="5852">
          <cell r="L5852">
            <v>100</v>
          </cell>
          <cell r="N5852">
            <v>44961</v>
          </cell>
        </row>
        <row r="5853">
          <cell r="L5853">
            <v>100</v>
          </cell>
          <cell r="N5853">
            <v>44961</v>
          </cell>
        </row>
        <row r="5854">
          <cell r="L5854">
            <v>100</v>
          </cell>
          <cell r="N5854">
            <v>44961</v>
          </cell>
        </row>
        <row r="5855">
          <cell r="L5855">
            <v>100</v>
          </cell>
          <cell r="N5855">
            <v>44966</v>
          </cell>
        </row>
        <row r="5856">
          <cell r="L5856">
            <v>100</v>
          </cell>
          <cell r="N5856">
            <v>44970</v>
          </cell>
        </row>
        <row r="5857">
          <cell r="L5857">
            <v>100</v>
          </cell>
          <cell r="N5857">
            <v>44970</v>
          </cell>
        </row>
        <row r="5858">
          <cell r="L5858">
            <v>100</v>
          </cell>
          <cell r="N5858">
            <v>44970</v>
          </cell>
        </row>
        <row r="5859">
          <cell r="L5859">
            <v>100</v>
          </cell>
          <cell r="N5859">
            <v>44970</v>
          </cell>
        </row>
        <row r="5860">
          <cell r="L5860">
            <v>100</v>
          </cell>
          <cell r="N5860">
            <v>44970</v>
          </cell>
        </row>
        <row r="5861">
          <cell r="L5861">
            <v>100</v>
          </cell>
          <cell r="N5861">
            <v>44961</v>
          </cell>
        </row>
        <row r="5862">
          <cell r="L5862">
            <v>100</v>
          </cell>
          <cell r="N5862">
            <v>44740</v>
          </cell>
        </row>
        <row r="5863">
          <cell r="L5863">
            <v>100</v>
          </cell>
          <cell r="N5863">
            <v>44740</v>
          </cell>
        </row>
        <row r="5864">
          <cell r="L5864">
            <v>100</v>
          </cell>
          <cell r="N5864">
            <v>44740</v>
          </cell>
        </row>
        <row r="5865">
          <cell r="L5865">
            <v>100</v>
          </cell>
          <cell r="N5865">
            <v>44970</v>
          </cell>
        </row>
        <row r="5866">
          <cell r="L5866">
            <v>100</v>
          </cell>
          <cell r="N5866">
            <v>44740</v>
          </cell>
        </row>
        <row r="5867">
          <cell r="L5867">
            <v>100</v>
          </cell>
          <cell r="N5867">
            <v>44925</v>
          </cell>
        </row>
        <row r="5868">
          <cell r="L5868">
            <v>100</v>
          </cell>
          <cell r="N5868">
            <v>44925</v>
          </cell>
        </row>
        <row r="5869">
          <cell r="L5869">
            <v>100</v>
          </cell>
          <cell r="N5869">
            <v>44925</v>
          </cell>
        </row>
        <row r="5870">
          <cell r="L5870">
            <v>100</v>
          </cell>
          <cell r="N5870">
            <v>44925</v>
          </cell>
        </row>
        <row r="5871">
          <cell r="L5871">
            <v>100</v>
          </cell>
          <cell r="N5871">
            <v>44925</v>
          </cell>
        </row>
        <row r="5872">
          <cell r="L5872">
            <v>100</v>
          </cell>
          <cell r="N5872">
            <v>44953</v>
          </cell>
        </row>
        <row r="5873">
          <cell r="L5873">
            <v>100</v>
          </cell>
          <cell r="N5873">
            <v>44970</v>
          </cell>
        </row>
        <row r="5874">
          <cell r="L5874">
            <v>100</v>
          </cell>
          <cell r="N5874">
            <v>44970</v>
          </cell>
        </row>
        <row r="5875">
          <cell r="L5875">
            <v>100</v>
          </cell>
          <cell r="N5875">
            <v>44970</v>
          </cell>
        </row>
        <row r="5876">
          <cell r="L5876">
            <v>100</v>
          </cell>
          <cell r="N5876">
            <v>44970</v>
          </cell>
        </row>
        <row r="5877">
          <cell r="L5877">
            <v>100</v>
          </cell>
          <cell r="N5877">
            <v>44698</v>
          </cell>
        </row>
        <row r="5878">
          <cell r="L5878">
            <v>100</v>
          </cell>
          <cell r="N5878">
            <v>44953</v>
          </cell>
        </row>
        <row r="5879">
          <cell r="L5879">
            <v>100</v>
          </cell>
          <cell r="N5879">
            <v>44953</v>
          </cell>
        </row>
        <row r="5880">
          <cell r="L5880">
            <v>100</v>
          </cell>
          <cell r="N5880">
            <v>44897</v>
          </cell>
        </row>
        <row r="5881">
          <cell r="L5881">
            <v>100</v>
          </cell>
          <cell r="N5881">
            <v>44897</v>
          </cell>
        </row>
        <row r="5882">
          <cell r="L5882">
            <v>100</v>
          </cell>
          <cell r="N5882">
            <v>44739</v>
          </cell>
        </row>
        <row r="5883">
          <cell r="L5883">
            <v>100</v>
          </cell>
          <cell r="N5883"/>
        </row>
        <row r="5884">
          <cell r="L5884">
            <v>100</v>
          </cell>
          <cell r="N5884"/>
        </row>
        <row r="5885">
          <cell r="L5885">
            <v>100</v>
          </cell>
          <cell r="N5885"/>
        </row>
        <row r="5886">
          <cell r="L5886">
            <v>100</v>
          </cell>
          <cell r="N5886">
            <v>44970</v>
          </cell>
        </row>
        <row r="5887">
          <cell r="L5887">
            <v>100</v>
          </cell>
          <cell r="N5887">
            <v>44970</v>
          </cell>
        </row>
        <row r="5888">
          <cell r="L5888">
            <v>100</v>
          </cell>
          <cell r="N5888"/>
        </row>
        <row r="5889">
          <cell r="L5889">
            <v>100</v>
          </cell>
          <cell r="N5889"/>
        </row>
        <row r="5890">
          <cell r="L5890">
            <v>100</v>
          </cell>
          <cell r="N5890">
            <v>44957</v>
          </cell>
        </row>
        <row r="5891">
          <cell r="L5891">
            <v>100</v>
          </cell>
          <cell r="N5891">
            <v>44957</v>
          </cell>
        </row>
        <row r="5892">
          <cell r="L5892">
            <v>100</v>
          </cell>
          <cell r="N5892">
            <v>44970</v>
          </cell>
        </row>
        <row r="5893">
          <cell r="L5893">
            <v>100</v>
          </cell>
          <cell r="N5893">
            <v>44970</v>
          </cell>
        </row>
        <row r="5894">
          <cell r="L5894">
            <v>100</v>
          </cell>
          <cell r="N5894">
            <v>44967</v>
          </cell>
        </row>
        <row r="5895">
          <cell r="L5895">
            <v>100</v>
          </cell>
          <cell r="N5895">
            <v>44967</v>
          </cell>
        </row>
        <row r="5896">
          <cell r="L5896">
            <v>100</v>
          </cell>
          <cell r="N5896">
            <v>44903</v>
          </cell>
        </row>
        <row r="5897">
          <cell r="L5897">
            <v>100</v>
          </cell>
          <cell r="N5897">
            <v>44903</v>
          </cell>
        </row>
        <row r="5898">
          <cell r="L5898">
            <v>100</v>
          </cell>
          <cell r="N5898"/>
        </row>
        <row r="5899">
          <cell r="L5899">
            <v>100</v>
          </cell>
          <cell r="N5899"/>
        </row>
        <row r="5900">
          <cell r="L5900">
            <v>100</v>
          </cell>
          <cell r="N5900"/>
        </row>
        <row r="5901">
          <cell r="L5901">
            <v>100</v>
          </cell>
          <cell r="N5901"/>
        </row>
        <row r="5902">
          <cell r="L5902">
            <v>100</v>
          </cell>
          <cell r="N5902">
            <v>44970</v>
          </cell>
        </row>
        <row r="5903">
          <cell r="L5903">
            <v>100</v>
          </cell>
          <cell r="N5903"/>
        </row>
        <row r="5904">
          <cell r="L5904">
            <v>100</v>
          </cell>
          <cell r="N5904"/>
        </row>
        <row r="5905">
          <cell r="L5905">
            <v>100</v>
          </cell>
          <cell r="N5905"/>
        </row>
        <row r="5906">
          <cell r="L5906">
            <v>100</v>
          </cell>
          <cell r="N5906">
            <v>44966</v>
          </cell>
        </row>
        <row r="5907">
          <cell r="L5907">
            <v>100</v>
          </cell>
          <cell r="N5907"/>
        </row>
        <row r="5908">
          <cell r="L5908">
            <v>100</v>
          </cell>
          <cell r="N5908"/>
        </row>
        <row r="5909">
          <cell r="L5909">
            <v>100</v>
          </cell>
          <cell r="N5909">
            <v>44961</v>
          </cell>
        </row>
        <row r="5910">
          <cell r="L5910">
            <v>100</v>
          </cell>
          <cell r="N5910">
            <v>44966</v>
          </cell>
        </row>
        <row r="5911">
          <cell r="L5911">
            <v>100</v>
          </cell>
          <cell r="N5911">
            <v>44966</v>
          </cell>
        </row>
        <row r="5912">
          <cell r="L5912">
            <v>100</v>
          </cell>
          <cell r="N5912">
            <v>44925</v>
          </cell>
        </row>
        <row r="5913">
          <cell r="L5913">
            <v>100</v>
          </cell>
          <cell r="N5913">
            <v>44925</v>
          </cell>
        </row>
        <row r="5914">
          <cell r="L5914">
            <v>100</v>
          </cell>
          <cell r="N5914">
            <v>44698</v>
          </cell>
        </row>
        <row r="5915">
          <cell r="L5915">
            <v>100</v>
          </cell>
          <cell r="N5915">
            <v>44698</v>
          </cell>
        </row>
        <row r="5916">
          <cell r="L5916">
            <v>100</v>
          </cell>
          <cell r="N5916"/>
        </row>
        <row r="5917">
          <cell r="L5917">
            <v>100</v>
          </cell>
          <cell r="N5917"/>
        </row>
        <row r="5918">
          <cell r="L5918">
            <v>100</v>
          </cell>
          <cell r="N5918"/>
        </row>
        <row r="5919">
          <cell r="L5919">
            <v>100</v>
          </cell>
          <cell r="N5919"/>
        </row>
        <row r="5920">
          <cell r="L5920">
            <v>100</v>
          </cell>
          <cell r="N5920"/>
        </row>
        <row r="5921">
          <cell r="L5921">
            <v>100</v>
          </cell>
          <cell r="N5921"/>
        </row>
        <row r="5922">
          <cell r="L5922">
            <v>100</v>
          </cell>
          <cell r="N5922"/>
        </row>
        <row r="5923">
          <cell r="L5923">
            <v>100</v>
          </cell>
          <cell r="N5923">
            <v>44970</v>
          </cell>
        </row>
        <row r="5924">
          <cell r="L5924">
            <v>100</v>
          </cell>
          <cell r="N5924">
            <v>44970</v>
          </cell>
        </row>
        <row r="5925">
          <cell r="L5925">
            <v>100</v>
          </cell>
          <cell r="N5925">
            <v>44970</v>
          </cell>
        </row>
        <row r="5926">
          <cell r="L5926">
            <v>100</v>
          </cell>
          <cell r="N5926">
            <v>44970</v>
          </cell>
        </row>
        <row r="5927">
          <cell r="L5927">
            <v>100</v>
          </cell>
          <cell r="N5927">
            <v>44970</v>
          </cell>
        </row>
        <row r="5928">
          <cell r="L5928">
            <v>100</v>
          </cell>
          <cell r="N5928">
            <v>44970</v>
          </cell>
        </row>
        <row r="5929">
          <cell r="L5929">
            <v>100</v>
          </cell>
          <cell r="N5929">
            <v>44970</v>
          </cell>
        </row>
        <row r="5930">
          <cell r="L5930">
            <v>100</v>
          </cell>
          <cell r="N5930">
            <v>44970</v>
          </cell>
        </row>
        <row r="5931">
          <cell r="L5931">
            <v>100</v>
          </cell>
          <cell r="N5931"/>
        </row>
        <row r="5932">
          <cell r="L5932">
            <v>100</v>
          </cell>
          <cell r="N5932"/>
        </row>
        <row r="5933">
          <cell r="L5933">
            <v>100</v>
          </cell>
          <cell r="N5933"/>
        </row>
        <row r="5934">
          <cell r="L5934">
            <v>100</v>
          </cell>
          <cell r="N5934"/>
        </row>
        <row r="5935">
          <cell r="L5935">
            <v>100</v>
          </cell>
          <cell r="N5935"/>
        </row>
        <row r="5936">
          <cell r="L5936">
            <v>100</v>
          </cell>
          <cell r="N5936"/>
        </row>
        <row r="5937">
          <cell r="L5937">
            <v>100</v>
          </cell>
          <cell r="N5937"/>
        </row>
        <row r="5938">
          <cell r="L5938">
            <v>100</v>
          </cell>
          <cell r="N5938"/>
        </row>
        <row r="5939">
          <cell r="L5939">
            <v>100</v>
          </cell>
          <cell r="N5939"/>
        </row>
        <row r="5940">
          <cell r="L5940">
            <v>100</v>
          </cell>
          <cell r="N5940">
            <v>44999</v>
          </cell>
        </row>
        <row r="5941">
          <cell r="L5941">
            <v>100</v>
          </cell>
          <cell r="N5941">
            <v>44999</v>
          </cell>
        </row>
        <row r="5942">
          <cell r="L5942">
            <v>100</v>
          </cell>
          <cell r="N5942">
            <v>44999</v>
          </cell>
        </row>
        <row r="5943">
          <cell r="L5943">
            <v>100</v>
          </cell>
          <cell r="N5943">
            <v>44999</v>
          </cell>
        </row>
        <row r="5944">
          <cell r="L5944">
            <v>100</v>
          </cell>
          <cell r="N5944">
            <v>44828</v>
          </cell>
        </row>
        <row r="5945">
          <cell r="L5945">
            <v>100</v>
          </cell>
          <cell r="N5945">
            <v>44828</v>
          </cell>
        </row>
        <row r="5946">
          <cell r="L5946">
            <v>100</v>
          </cell>
          <cell r="N5946">
            <v>44828</v>
          </cell>
        </row>
        <row r="5947">
          <cell r="L5947">
            <v>100</v>
          </cell>
          <cell r="N5947">
            <v>44828</v>
          </cell>
        </row>
        <row r="5948">
          <cell r="L5948">
            <v>100</v>
          </cell>
          <cell r="N5948">
            <v>44828</v>
          </cell>
        </row>
        <row r="5949">
          <cell r="L5949">
            <v>100</v>
          </cell>
          <cell r="N5949">
            <v>44837</v>
          </cell>
        </row>
        <row r="5950">
          <cell r="L5950">
            <v>0</v>
          </cell>
          <cell r="N5950"/>
        </row>
        <row r="5951">
          <cell r="L5951">
            <v>100</v>
          </cell>
          <cell r="N5951">
            <v>44828</v>
          </cell>
        </row>
        <row r="5952">
          <cell r="L5952">
            <v>100</v>
          </cell>
          <cell r="N5952">
            <v>44828</v>
          </cell>
        </row>
        <row r="5953">
          <cell r="L5953">
            <v>100</v>
          </cell>
          <cell r="N5953">
            <v>44828</v>
          </cell>
        </row>
        <row r="5954">
          <cell r="L5954">
            <v>100</v>
          </cell>
          <cell r="N5954">
            <v>44828</v>
          </cell>
        </row>
        <row r="5955">
          <cell r="L5955">
            <v>100</v>
          </cell>
          <cell r="N5955">
            <v>44828</v>
          </cell>
        </row>
        <row r="5956">
          <cell r="L5956">
            <v>100</v>
          </cell>
          <cell r="N5956">
            <v>44828</v>
          </cell>
        </row>
        <row r="5957">
          <cell r="L5957">
            <v>100</v>
          </cell>
          <cell r="N5957">
            <v>44828</v>
          </cell>
        </row>
        <row r="5958">
          <cell r="L5958">
            <v>100</v>
          </cell>
          <cell r="N5958">
            <v>44828</v>
          </cell>
        </row>
        <row r="5959">
          <cell r="L5959">
            <v>100</v>
          </cell>
          <cell r="N5959">
            <v>44831</v>
          </cell>
        </row>
        <row r="5960">
          <cell r="L5960">
            <v>100</v>
          </cell>
          <cell r="N5960">
            <v>44771</v>
          </cell>
        </row>
        <row r="5961">
          <cell r="L5961">
            <v>100</v>
          </cell>
          <cell r="N5961">
            <v>44831</v>
          </cell>
        </row>
        <row r="5962">
          <cell r="L5962">
            <v>100</v>
          </cell>
          <cell r="N5962">
            <v>44833</v>
          </cell>
        </row>
        <row r="5963">
          <cell r="L5963">
            <v>100</v>
          </cell>
          <cell r="N5963"/>
        </row>
        <row r="5964">
          <cell r="L5964">
            <v>100</v>
          </cell>
          <cell r="N5964">
            <v>44834</v>
          </cell>
        </row>
        <row r="5965">
          <cell r="L5965">
            <v>100</v>
          </cell>
          <cell r="N5965">
            <v>44810</v>
          </cell>
        </row>
        <row r="5966">
          <cell r="L5966">
            <v>100</v>
          </cell>
          <cell r="N5966">
            <v>44972</v>
          </cell>
        </row>
        <row r="5967">
          <cell r="L5967">
            <v>100</v>
          </cell>
          <cell r="N5967">
            <v>44952</v>
          </cell>
        </row>
        <row r="5968">
          <cell r="L5968">
            <v>100</v>
          </cell>
          <cell r="N5968">
            <v>44925</v>
          </cell>
        </row>
        <row r="5969">
          <cell r="L5969">
            <v>100</v>
          </cell>
          <cell r="N5969">
            <v>44925</v>
          </cell>
        </row>
        <row r="5970">
          <cell r="L5970">
            <v>100</v>
          </cell>
          <cell r="N5970">
            <v>44925</v>
          </cell>
        </row>
        <row r="5971">
          <cell r="L5971">
            <v>100</v>
          </cell>
          <cell r="N5971">
            <v>44925</v>
          </cell>
        </row>
        <row r="5972">
          <cell r="L5972">
            <v>100</v>
          </cell>
          <cell r="N5972">
            <v>44950</v>
          </cell>
        </row>
        <row r="5973">
          <cell r="L5973">
            <v>100</v>
          </cell>
          <cell r="N5973">
            <v>44925</v>
          </cell>
        </row>
        <row r="5974">
          <cell r="L5974">
            <v>100</v>
          </cell>
          <cell r="N5974">
            <v>44925</v>
          </cell>
        </row>
        <row r="5975">
          <cell r="L5975">
            <v>100</v>
          </cell>
          <cell r="N5975">
            <v>44925</v>
          </cell>
        </row>
        <row r="5976">
          <cell r="L5976">
            <v>100</v>
          </cell>
          <cell r="N5976">
            <v>44950</v>
          </cell>
        </row>
        <row r="5977">
          <cell r="L5977">
            <v>100</v>
          </cell>
          <cell r="N5977">
            <v>44950</v>
          </cell>
        </row>
        <row r="5978">
          <cell r="L5978">
            <v>100</v>
          </cell>
          <cell r="N5978">
            <v>44925</v>
          </cell>
        </row>
        <row r="5979">
          <cell r="L5979">
            <v>100</v>
          </cell>
          <cell r="N5979">
            <v>44925</v>
          </cell>
        </row>
        <row r="5980">
          <cell r="L5980">
            <v>100</v>
          </cell>
          <cell r="N5980">
            <v>44925</v>
          </cell>
        </row>
        <row r="5981">
          <cell r="L5981">
            <v>100</v>
          </cell>
          <cell r="N5981">
            <v>44925</v>
          </cell>
        </row>
        <row r="5982">
          <cell r="L5982">
            <v>100</v>
          </cell>
          <cell r="N5982">
            <v>44952</v>
          </cell>
        </row>
        <row r="5983">
          <cell r="L5983">
            <v>100</v>
          </cell>
          <cell r="N5983">
            <v>44952</v>
          </cell>
        </row>
        <row r="5984">
          <cell r="L5984">
            <v>100</v>
          </cell>
          <cell r="N5984">
            <v>44926</v>
          </cell>
        </row>
        <row r="5985">
          <cell r="L5985">
            <v>100</v>
          </cell>
          <cell r="N5985">
            <v>44926</v>
          </cell>
        </row>
        <row r="5986">
          <cell r="L5986">
            <v>100</v>
          </cell>
          <cell r="N5986">
            <v>44926</v>
          </cell>
        </row>
        <row r="5987">
          <cell r="L5987">
            <v>100</v>
          </cell>
          <cell r="N5987">
            <v>44926</v>
          </cell>
        </row>
        <row r="5988">
          <cell r="L5988">
            <v>100</v>
          </cell>
          <cell r="N5988">
            <v>44946</v>
          </cell>
        </row>
        <row r="5989">
          <cell r="L5989">
            <v>100</v>
          </cell>
          <cell r="N5989">
            <v>44926</v>
          </cell>
        </row>
        <row r="5990">
          <cell r="L5990">
            <v>100</v>
          </cell>
          <cell r="N5990">
            <v>44926</v>
          </cell>
        </row>
        <row r="5991">
          <cell r="L5991">
            <v>100</v>
          </cell>
          <cell r="N5991">
            <v>44926</v>
          </cell>
        </row>
        <row r="5992">
          <cell r="L5992">
            <v>100</v>
          </cell>
          <cell r="N5992">
            <v>44926</v>
          </cell>
        </row>
        <row r="5993">
          <cell r="L5993">
            <v>100</v>
          </cell>
          <cell r="N5993">
            <v>44946</v>
          </cell>
        </row>
        <row r="5994">
          <cell r="L5994">
            <v>100</v>
          </cell>
          <cell r="N5994">
            <v>44926</v>
          </cell>
        </row>
        <row r="5995">
          <cell r="L5995">
            <v>100</v>
          </cell>
          <cell r="N5995">
            <v>44926</v>
          </cell>
        </row>
        <row r="5996">
          <cell r="L5996">
            <v>100</v>
          </cell>
          <cell r="N5996">
            <v>44926</v>
          </cell>
        </row>
        <row r="5997">
          <cell r="L5997">
            <v>100</v>
          </cell>
          <cell r="N5997">
            <v>44926</v>
          </cell>
        </row>
        <row r="5998">
          <cell r="L5998">
            <v>100</v>
          </cell>
          <cell r="N5998">
            <v>45002</v>
          </cell>
        </row>
        <row r="5999">
          <cell r="L5999">
            <v>100</v>
          </cell>
          <cell r="N5999">
            <v>44831</v>
          </cell>
        </row>
        <row r="6000">
          <cell r="L6000">
            <v>100</v>
          </cell>
          <cell r="N6000">
            <v>44831</v>
          </cell>
        </row>
        <row r="6001">
          <cell r="L6001">
            <v>100</v>
          </cell>
          <cell r="N6001"/>
        </row>
        <row r="6002">
          <cell r="L6002">
            <v>100</v>
          </cell>
          <cell r="N6002">
            <v>44980</v>
          </cell>
        </row>
        <row r="6003">
          <cell r="L6003">
            <v>100</v>
          </cell>
          <cell r="N6003">
            <v>44810</v>
          </cell>
        </row>
        <row r="6004">
          <cell r="L6004">
            <v>100</v>
          </cell>
          <cell r="N6004">
            <v>45002</v>
          </cell>
        </row>
        <row r="6005">
          <cell r="L6005">
            <v>100</v>
          </cell>
          <cell r="N6005">
            <v>45002</v>
          </cell>
        </row>
        <row r="6006">
          <cell r="L6006">
            <v>100</v>
          </cell>
          <cell r="N6006">
            <v>45002</v>
          </cell>
        </row>
        <row r="6007">
          <cell r="L6007">
            <v>100</v>
          </cell>
          <cell r="N6007">
            <v>45002</v>
          </cell>
        </row>
        <row r="6008">
          <cell r="L6008">
            <v>100</v>
          </cell>
          <cell r="N6008">
            <v>44952</v>
          </cell>
        </row>
        <row r="6009">
          <cell r="L6009">
            <v>100</v>
          </cell>
          <cell r="N6009">
            <v>44952</v>
          </cell>
        </row>
        <row r="6010">
          <cell r="L6010">
            <v>100</v>
          </cell>
          <cell r="N6010">
            <v>44952</v>
          </cell>
        </row>
        <row r="6011">
          <cell r="L6011">
            <v>100</v>
          </cell>
          <cell r="N6011"/>
        </row>
        <row r="6012">
          <cell r="L6012">
            <v>100</v>
          </cell>
          <cell r="N6012"/>
        </row>
        <row r="6013">
          <cell r="L6013">
            <v>100</v>
          </cell>
          <cell r="N6013"/>
        </row>
        <row r="6014">
          <cell r="L6014">
            <v>100</v>
          </cell>
          <cell r="N6014">
            <v>44952</v>
          </cell>
        </row>
        <row r="6015">
          <cell r="L6015">
            <v>100</v>
          </cell>
          <cell r="N6015">
            <v>44952</v>
          </cell>
        </row>
        <row r="6016">
          <cell r="L6016">
            <v>100</v>
          </cell>
          <cell r="N6016">
            <v>44952</v>
          </cell>
        </row>
        <row r="6017">
          <cell r="L6017">
            <v>100</v>
          </cell>
          <cell r="N6017">
            <v>44952</v>
          </cell>
        </row>
        <row r="6018">
          <cell r="L6018">
            <v>100</v>
          </cell>
          <cell r="N6018">
            <v>45002</v>
          </cell>
        </row>
        <row r="6019">
          <cell r="L6019">
            <v>100</v>
          </cell>
          <cell r="N6019">
            <v>45002</v>
          </cell>
        </row>
        <row r="6020">
          <cell r="L6020">
            <v>100</v>
          </cell>
          <cell r="N6020">
            <v>45002</v>
          </cell>
        </row>
        <row r="6021">
          <cell r="L6021">
            <v>100</v>
          </cell>
          <cell r="N6021">
            <v>45002</v>
          </cell>
        </row>
        <row r="6022">
          <cell r="L6022">
            <v>100</v>
          </cell>
          <cell r="N6022">
            <v>45002</v>
          </cell>
        </row>
        <row r="6023">
          <cell r="L6023">
            <v>100</v>
          </cell>
          <cell r="N6023">
            <v>44962</v>
          </cell>
        </row>
        <row r="6024">
          <cell r="L6024">
            <v>100</v>
          </cell>
          <cell r="N6024">
            <v>44962</v>
          </cell>
        </row>
        <row r="6025">
          <cell r="L6025">
            <v>100</v>
          </cell>
          <cell r="N6025">
            <v>44962</v>
          </cell>
        </row>
        <row r="6026">
          <cell r="L6026">
            <v>100</v>
          </cell>
          <cell r="N6026">
            <v>44962</v>
          </cell>
        </row>
        <row r="6027">
          <cell r="L6027">
            <v>100</v>
          </cell>
          <cell r="N6027">
            <v>44962</v>
          </cell>
        </row>
        <row r="6028">
          <cell r="L6028">
            <v>100</v>
          </cell>
          <cell r="N6028">
            <v>44962</v>
          </cell>
        </row>
        <row r="6029">
          <cell r="L6029">
            <v>100</v>
          </cell>
          <cell r="N6029">
            <v>44962</v>
          </cell>
        </row>
        <row r="6030">
          <cell r="L6030">
            <v>100</v>
          </cell>
          <cell r="N6030">
            <v>44962</v>
          </cell>
        </row>
        <row r="6031">
          <cell r="L6031">
            <v>100</v>
          </cell>
          <cell r="N6031">
            <v>44962</v>
          </cell>
        </row>
        <row r="6032">
          <cell r="L6032">
            <v>100</v>
          </cell>
          <cell r="N6032">
            <v>44962</v>
          </cell>
        </row>
        <row r="6033">
          <cell r="L6033">
            <v>100</v>
          </cell>
          <cell r="N6033">
            <v>44962</v>
          </cell>
        </row>
        <row r="6034">
          <cell r="L6034">
            <v>100</v>
          </cell>
          <cell r="N6034">
            <v>44962</v>
          </cell>
        </row>
        <row r="6035">
          <cell r="L6035">
            <v>100</v>
          </cell>
          <cell r="N6035">
            <v>44986</v>
          </cell>
        </row>
        <row r="6036">
          <cell r="L6036">
            <v>100</v>
          </cell>
          <cell r="N6036">
            <v>44986</v>
          </cell>
        </row>
        <row r="6037">
          <cell r="L6037">
            <v>100</v>
          </cell>
          <cell r="N6037">
            <v>44986</v>
          </cell>
        </row>
        <row r="6038">
          <cell r="L6038">
            <v>100</v>
          </cell>
          <cell r="N6038">
            <v>45002</v>
          </cell>
        </row>
        <row r="6039">
          <cell r="L6039">
            <v>100</v>
          </cell>
          <cell r="N6039">
            <v>45002</v>
          </cell>
        </row>
        <row r="6040">
          <cell r="L6040">
            <v>100</v>
          </cell>
          <cell r="N6040">
            <v>45002</v>
          </cell>
        </row>
        <row r="6041">
          <cell r="L6041">
            <v>100</v>
          </cell>
          <cell r="N6041">
            <v>45002</v>
          </cell>
        </row>
        <row r="6042">
          <cell r="L6042">
            <v>100</v>
          </cell>
          <cell r="N6042">
            <v>45002</v>
          </cell>
        </row>
        <row r="6043">
          <cell r="L6043">
            <v>100</v>
          </cell>
          <cell r="N6043">
            <v>45002</v>
          </cell>
        </row>
        <row r="6044">
          <cell r="L6044">
            <v>100</v>
          </cell>
          <cell r="N6044">
            <v>44985</v>
          </cell>
        </row>
        <row r="6045">
          <cell r="L6045">
            <v>100</v>
          </cell>
          <cell r="N6045">
            <v>44985</v>
          </cell>
        </row>
        <row r="6046">
          <cell r="L6046">
            <v>100</v>
          </cell>
          <cell r="N6046">
            <v>44975</v>
          </cell>
        </row>
        <row r="6047">
          <cell r="L6047">
            <v>100</v>
          </cell>
          <cell r="N6047">
            <v>44975</v>
          </cell>
        </row>
        <row r="6048">
          <cell r="L6048">
            <v>100</v>
          </cell>
          <cell r="N6048">
            <v>44975</v>
          </cell>
        </row>
        <row r="6049">
          <cell r="L6049">
            <v>100</v>
          </cell>
          <cell r="N6049">
            <v>44975</v>
          </cell>
        </row>
        <row r="6050">
          <cell r="L6050">
            <v>100</v>
          </cell>
          <cell r="N6050">
            <v>44975</v>
          </cell>
        </row>
        <row r="6051">
          <cell r="L6051">
            <v>100</v>
          </cell>
          <cell r="N6051">
            <v>44922</v>
          </cell>
        </row>
        <row r="6052">
          <cell r="L6052">
            <v>100</v>
          </cell>
          <cell r="N6052">
            <v>44922</v>
          </cell>
        </row>
        <row r="6053">
          <cell r="L6053">
            <v>100</v>
          </cell>
          <cell r="N6053">
            <v>44922</v>
          </cell>
        </row>
        <row r="6054">
          <cell r="L6054">
            <v>100</v>
          </cell>
          <cell r="N6054">
            <v>44922</v>
          </cell>
        </row>
        <row r="6055">
          <cell r="L6055">
            <v>100</v>
          </cell>
          <cell r="N6055">
            <v>44922</v>
          </cell>
        </row>
        <row r="6056">
          <cell r="L6056">
            <v>100</v>
          </cell>
          <cell r="N6056">
            <v>44962</v>
          </cell>
        </row>
        <row r="6057">
          <cell r="L6057">
            <v>100</v>
          </cell>
          <cell r="N6057">
            <v>44922</v>
          </cell>
        </row>
        <row r="6058">
          <cell r="L6058">
            <v>100</v>
          </cell>
          <cell r="N6058">
            <v>44922</v>
          </cell>
        </row>
        <row r="6059">
          <cell r="L6059">
            <v>100</v>
          </cell>
          <cell r="N6059">
            <v>44922</v>
          </cell>
        </row>
        <row r="6060">
          <cell r="L6060">
            <v>100</v>
          </cell>
          <cell r="N6060">
            <v>44922</v>
          </cell>
        </row>
        <row r="6061">
          <cell r="L6061">
            <v>100</v>
          </cell>
          <cell r="N6061">
            <v>44922</v>
          </cell>
        </row>
        <row r="6062">
          <cell r="L6062">
            <v>100</v>
          </cell>
          <cell r="N6062">
            <v>44922</v>
          </cell>
        </row>
        <row r="6063">
          <cell r="L6063">
            <v>100</v>
          </cell>
          <cell r="N6063">
            <v>44986</v>
          </cell>
        </row>
        <row r="6064">
          <cell r="L6064">
            <v>100</v>
          </cell>
          <cell r="N6064">
            <v>44986</v>
          </cell>
        </row>
        <row r="6065">
          <cell r="L6065">
            <v>100</v>
          </cell>
          <cell r="N6065">
            <v>44986</v>
          </cell>
        </row>
        <row r="6066">
          <cell r="L6066">
            <v>100</v>
          </cell>
          <cell r="N6066">
            <v>44980</v>
          </cell>
        </row>
        <row r="6067">
          <cell r="L6067">
            <v>100</v>
          </cell>
          <cell r="N6067">
            <v>44980</v>
          </cell>
        </row>
        <row r="6068">
          <cell r="L6068">
            <v>100</v>
          </cell>
          <cell r="N6068">
            <v>44980</v>
          </cell>
        </row>
        <row r="6069">
          <cell r="L6069">
            <v>100</v>
          </cell>
          <cell r="N6069">
            <v>44962</v>
          </cell>
        </row>
        <row r="6070">
          <cell r="L6070">
            <v>100</v>
          </cell>
          <cell r="N6070">
            <v>44962</v>
          </cell>
        </row>
        <row r="6071">
          <cell r="L6071">
            <v>100</v>
          </cell>
          <cell r="N6071">
            <v>44962</v>
          </cell>
        </row>
        <row r="6072">
          <cell r="L6072">
            <v>100</v>
          </cell>
          <cell r="N6072">
            <v>44962</v>
          </cell>
        </row>
        <row r="6073">
          <cell r="L6073">
            <v>100</v>
          </cell>
          <cell r="N6073">
            <v>44962</v>
          </cell>
        </row>
        <row r="6074">
          <cell r="L6074">
            <v>100</v>
          </cell>
          <cell r="N6074">
            <v>44962</v>
          </cell>
        </row>
        <row r="6075">
          <cell r="L6075">
            <v>100</v>
          </cell>
          <cell r="N6075">
            <v>44962</v>
          </cell>
        </row>
        <row r="6076">
          <cell r="L6076">
            <v>100</v>
          </cell>
          <cell r="N6076">
            <v>44962</v>
          </cell>
        </row>
        <row r="6077">
          <cell r="L6077">
            <v>100</v>
          </cell>
          <cell r="N6077">
            <v>45000</v>
          </cell>
        </row>
        <row r="6078">
          <cell r="L6078">
            <v>100</v>
          </cell>
          <cell r="N6078">
            <v>45000</v>
          </cell>
        </row>
        <row r="6079">
          <cell r="L6079">
            <v>100</v>
          </cell>
          <cell r="N6079">
            <v>45000</v>
          </cell>
        </row>
        <row r="6080">
          <cell r="L6080">
            <v>100</v>
          </cell>
          <cell r="N6080">
            <v>45000</v>
          </cell>
        </row>
        <row r="6081">
          <cell r="L6081">
            <v>100</v>
          </cell>
          <cell r="N6081">
            <v>44982</v>
          </cell>
        </row>
        <row r="6082">
          <cell r="L6082">
            <v>100</v>
          </cell>
          <cell r="N6082">
            <v>44982</v>
          </cell>
        </row>
        <row r="6083">
          <cell r="L6083">
            <v>100</v>
          </cell>
          <cell r="N6083">
            <v>44982</v>
          </cell>
        </row>
        <row r="6084">
          <cell r="L6084">
            <v>100</v>
          </cell>
          <cell r="N6084">
            <v>44982</v>
          </cell>
        </row>
        <row r="6085">
          <cell r="L6085">
            <v>100</v>
          </cell>
          <cell r="N6085">
            <v>44982</v>
          </cell>
        </row>
        <row r="6086">
          <cell r="L6086">
            <v>100</v>
          </cell>
          <cell r="N6086">
            <v>44953</v>
          </cell>
        </row>
        <row r="6087">
          <cell r="L6087">
            <v>100</v>
          </cell>
          <cell r="N6087">
            <v>44953</v>
          </cell>
        </row>
        <row r="6088">
          <cell r="L6088">
            <v>100</v>
          </cell>
          <cell r="N6088">
            <v>44953</v>
          </cell>
        </row>
        <row r="6089">
          <cell r="L6089">
            <v>100</v>
          </cell>
          <cell r="N6089">
            <v>44953</v>
          </cell>
        </row>
        <row r="6090">
          <cell r="L6090">
            <v>100</v>
          </cell>
          <cell r="N6090">
            <v>44953</v>
          </cell>
        </row>
        <row r="6091">
          <cell r="L6091">
            <v>100</v>
          </cell>
          <cell r="N6091">
            <v>44962</v>
          </cell>
        </row>
        <row r="6092">
          <cell r="L6092">
            <v>100</v>
          </cell>
          <cell r="N6092">
            <v>44953</v>
          </cell>
        </row>
        <row r="6093">
          <cell r="L6093">
            <v>100</v>
          </cell>
          <cell r="N6093">
            <v>44953</v>
          </cell>
        </row>
        <row r="6094">
          <cell r="L6094">
            <v>100</v>
          </cell>
          <cell r="N6094">
            <v>44953</v>
          </cell>
        </row>
        <row r="6095">
          <cell r="L6095">
            <v>100</v>
          </cell>
          <cell r="N6095">
            <v>44953</v>
          </cell>
        </row>
        <row r="6096">
          <cell r="L6096">
            <v>100</v>
          </cell>
          <cell r="N6096">
            <v>44953</v>
          </cell>
        </row>
        <row r="6097">
          <cell r="L6097">
            <v>100</v>
          </cell>
          <cell r="N6097">
            <v>44953</v>
          </cell>
        </row>
        <row r="6098">
          <cell r="L6098">
            <v>100</v>
          </cell>
          <cell r="N6098">
            <v>44982</v>
          </cell>
        </row>
        <row r="6099">
          <cell r="L6099">
            <v>100</v>
          </cell>
          <cell r="N6099"/>
        </row>
        <row r="6100">
          <cell r="L6100">
            <v>100</v>
          </cell>
          <cell r="N6100"/>
        </row>
        <row r="6101">
          <cell r="L6101">
            <v>100</v>
          </cell>
          <cell r="N6101"/>
        </row>
        <row r="6102">
          <cell r="L6102">
            <v>100</v>
          </cell>
          <cell r="N6102">
            <v>44985</v>
          </cell>
        </row>
        <row r="6103">
          <cell r="L6103">
            <v>100</v>
          </cell>
          <cell r="N6103">
            <v>44985</v>
          </cell>
        </row>
        <row r="6104">
          <cell r="L6104">
            <v>100</v>
          </cell>
          <cell r="N6104">
            <v>45002</v>
          </cell>
        </row>
        <row r="6105">
          <cell r="L6105">
            <v>100</v>
          </cell>
          <cell r="N6105">
            <v>45002</v>
          </cell>
        </row>
        <row r="6106">
          <cell r="L6106">
            <v>100</v>
          </cell>
          <cell r="N6106">
            <v>45002</v>
          </cell>
        </row>
        <row r="6107">
          <cell r="L6107">
            <v>100</v>
          </cell>
          <cell r="N6107">
            <v>45002</v>
          </cell>
        </row>
        <row r="6108">
          <cell r="L6108">
            <v>100</v>
          </cell>
          <cell r="N6108">
            <v>45002</v>
          </cell>
        </row>
        <row r="6109">
          <cell r="L6109">
            <v>100</v>
          </cell>
          <cell r="N6109">
            <v>45002</v>
          </cell>
        </row>
        <row r="6110">
          <cell r="L6110">
            <v>100</v>
          </cell>
          <cell r="N6110">
            <v>44962</v>
          </cell>
        </row>
        <row r="6111">
          <cell r="L6111">
            <v>100</v>
          </cell>
          <cell r="N6111">
            <v>44962</v>
          </cell>
        </row>
        <row r="6112">
          <cell r="L6112">
            <v>100</v>
          </cell>
          <cell r="N6112">
            <v>44962</v>
          </cell>
        </row>
        <row r="6113">
          <cell r="L6113">
            <v>100</v>
          </cell>
          <cell r="N6113">
            <v>44962</v>
          </cell>
        </row>
        <row r="6114">
          <cell r="L6114">
            <v>100</v>
          </cell>
          <cell r="N6114">
            <v>44971</v>
          </cell>
        </row>
        <row r="6115">
          <cell r="L6115">
            <v>100</v>
          </cell>
          <cell r="N6115">
            <v>44971</v>
          </cell>
        </row>
        <row r="6116">
          <cell r="L6116">
            <v>100</v>
          </cell>
          <cell r="N6116">
            <v>44971</v>
          </cell>
        </row>
        <row r="6117">
          <cell r="L6117">
            <v>100</v>
          </cell>
          <cell r="N6117">
            <v>44900</v>
          </cell>
        </row>
        <row r="6118">
          <cell r="L6118">
            <v>100</v>
          </cell>
          <cell r="N6118">
            <v>44968</v>
          </cell>
        </row>
        <row r="6119">
          <cell r="L6119">
            <v>100</v>
          </cell>
          <cell r="N6119">
            <v>44834</v>
          </cell>
        </row>
        <row r="6120">
          <cell r="L6120">
            <v>100</v>
          </cell>
          <cell r="N6120">
            <v>44834</v>
          </cell>
        </row>
        <row r="6121">
          <cell r="L6121">
            <v>100</v>
          </cell>
          <cell r="N6121">
            <v>44834</v>
          </cell>
        </row>
        <row r="6122">
          <cell r="L6122">
            <v>100</v>
          </cell>
          <cell r="N6122">
            <v>44834</v>
          </cell>
        </row>
        <row r="6123">
          <cell r="L6123">
            <v>100</v>
          </cell>
          <cell r="N6123">
            <v>44959</v>
          </cell>
        </row>
        <row r="6124">
          <cell r="L6124">
            <v>100</v>
          </cell>
          <cell r="N6124">
            <v>44959</v>
          </cell>
        </row>
        <row r="6125">
          <cell r="L6125">
            <v>100</v>
          </cell>
          <cell r="N6125">
            <v>44973</v>
          </cell>
        </row>
        <row r="6126">
          <cell r="L6126">
            <v>100</v>
          </cell>
          <cell r="N6126">
            <v>44959</v>
          </cell>
        </row>
        <row r="6127">
          <cell r="L6127">
            <v>100</v>
          </cell>
          <cell r="N6127">
            <v>44958</v>
          </cell>
        </row>
        <row r="6128">
          <cell r="L6128">
            <v>100</v>
          </cell>
          <cell r="N6128">
            <v>44958</v>
          </cell>
        </row>
        <row r="6129">
          <cell r="L6129">
            <v>100</v>
          </cell>
          <cell r="N6129">
            <v>44958</v>
          </cell>
        </row>
        <row r="6130">
          <cell r="L6130">
            <v>100</v>
          </cell>
          <cell r="N6130">
            <v>44971</v>
          </cell>
        </row>
        <row r="6131">
          <cell r="L6131">
            <v>100</v>
          </cell>
          <cell r="N6131">
            <v>44972</v>
          </cell>
        </row>
        <row r="6132">
          <cell r="L6132">
            <v>100</v>
          </cell>
          <cell r="N6132">
            <v>44972</v>
          </cell>
        </row>
        <row r="6133">
          <cell r="L6133">
            <v>100</v>
          </cell>
          <cell r="N6133">
            <v>44972</v>
          </cell>
        </row>
        <row r="6134">
          <cell r="L6134">
            <v>100</v>
          </cell>
          <cell r="N6134">
            <v>44801</v>
          </cell>
        </row>
        <row r="6135">
          <cell r="L6135">
            <v>100</v>
          </cell>
          <cell r="N6135">
            <v>44801</v>
          </cell>
        </row>
        <row r="6136">
          <cell r="L6136">
            <v>100</v>
          </cell>
          <cell r="N6136">
            <v>44972</v>
          </cell>
        </row>
        <row r="6137">
          <cell r="L6137">
            <v>100</v>
          </cell>
          <cell r="N6137">
            <v>44972</v>
          </cell>
        </row>
        <row r="6138">
          <cell r="L6138">
            <v>100</v>
          </cell>
          <cell r="N6138">
            <v>44971</v>
          </cell>
        </row>
        <row r="6139">
          <cell r="L6139">
            <v>100</v>
          </cell>
          <cell r="N6139">
            <v>44952</v>
          </cell>
        </row>
        <row r="6140">
          <cell r="L6140">
            <v>100</v>
          </cell>
          <cell r="N6140">
            <v>44952</v>
          </cell>
        </row>
        <row r="6141">
          <cell r="L6141">
            <v>100</v>
          </cell>
          <cell r="N6141">
            <v>44972</v>
          </cell>
        </row>
        <row r="6142">
          <cell r="L6142">
            <v>100</v>
          </cell>
          <cell r="N6142">
            <v>44972</v>
          </cell>
        </row>
        <row r="6143">
          <cell r="L6143">
            <v>100</v>
          </cell>
          <cell r="N6143">
            <v>44971</v>
          </cell>
        </row>
        <row r="6144">
          <cell r="L6144">
            <v>100</v>
          </cell>
          <cell r="N6144">
            <v>44952</v>
          </cell>
        </row>
        <row r="6145">
          <cell r="L6145">
            <v>100</v>
          </cell>
          <cell r="N6145">
            <v>44952</v>
          </cell>
        </row>
        <row r="6146">
          <cell r="L6146">
            <v>100</v>
          </cell>
          <cell r="N6146">
            <v>44761</v>
          </cell>
        </row>
        <row r="6147">
          <cell r="L6147">
            <v>100</v>
          </cell>
          <cell r="N6147">
            <v>44761</v>
          </cell>
        </row>
        <row r="6148">
          <cell r="L6148">
            <v>100</v>
          </cell>
          <cell r="N6148">
            <v>44761</v>
          </cell>
        </row>
        <row r="6149">
          <cell r="L6149">
            <v>100</v>
          </cell>
          <cell r="N6149">
            <v>44761</v>
          </cell>
        </row>
        <row r="6150">
          <cell r="L6150">
            <v>100</v>
          </cell>
          <cell r="N6150">
            <v>44810</v>
          </cell>
        </row>
        <row r="6151">
          <cell r="L6151">
            <v>100</v>
          </cell>
          <cell r="N6151">
            <v>44810</v>
          </cell>
        </row>
        <row r="6152">
          <cell r="L6152">
            <v>100</v>
          </cell>
          <cell r="N6152">
            <v>44810</v>
          </cell>
        </row>
        <row r="6153">
          <cell r="L6153">
            <v>100</v>
          </cell>
          <cell r="N6153">
            <v>44810</v>
          </cell>
        </row>
        <row r="6154">
          <cell r="L6154">
            <v>100</v>
          </cell>
          <cell r="N6154">
            <v>44810</v>
          </cell>
        </row>
        <row r="6155">
          <cell r="L6155">
            <v>100</v>
          </cell>
          <cell r="N6155">
            <v>44963</v>
          </cell>
        </row>
        <row r="6156">
          <cell r="L6156">
            <v>100</v>
          </cell>
          <cell r="N6156">
            <v>44963</v>
          </cell>
        </row>
        <row r="6157">
          <cell r="L6157">
            <v>100</v>
          </cell>
          <cell r="N6157">
            <v>44974</v>
          </cell>
        </row>
        <row r="6158">
          <cell r="L6158">
            <v>100</v>
          </cell>
          <cell r="N6158">
            <v>44771</v>
          </cell>
        </row>
        <row r="6159">
          <cell r="L6159">
            <v>100</v>
          </cell>
          <cell r="N6159">
            <v>44771</v>
          </cell>
        </row>
        <row r="6160">
          <cell r="L6160">
            <v>100</v>
          </cell>
          <cell r="N6160">
            <v>44771</v>
          </cell>
        </row>
        <row r="6161">
          <cell r="L6161">
            <v>100</v>
          </cell>
          <cell r="N6161">
            <v>44771</v>
          </cell>
        </row>
        <row r="6162">
          <cell r="L6162">
            <v>100</v>
          </cell>
          <cell r="N6162">
            <v>44823</v>
          </cell>
        </row>
        <row r="6163">
          <cell r="L6163">
            <v>100</v>
          </cell>
          <cell r="N6163">
            <v>44823</v>
          </cell>
        </row>
        <row r="6164">
          <cell r="L6164">
            <v>100</v>
          </cell>
          <cell r="N6164">
            <v>44810</v>
          </cell>
        </row>
        <row r="6165">
          <cell r="L6165">
            <v>100</v>
          </cell>
          <cell r="N6165">
            <v>44810</v>
          </cell>
        </row>
        <row r="6166">
          <cell r="L6166">
            <v>100</v>
          </cell>
          <cell r="N6166">
            <v>44963</v>
          </cell>
        </row>
        <row r="6167">
          <cell r="L6167">
            <v>100</v>
          </cell>
          <cell r="N6167">
            <v>44833</v>
          </cell>
        </row>
        <row r="6168">
          <cell r="L6168">
            <v>100</v>
          </cell>
          <cell r="N6168">
            <v>44833</v>
          </cell>
        </row>
        <row r="6169">
          <cell r="L6169">
            <v>100</v>
          </cell>
          <cell r="N6169">
            <v>44833</v>
          </cell>
        </row>
        <row r="6170">
          <cell r="L6170">
            <v>100</v>
          </cell>
          <cell r="N6170">
            <v>44833</v>
          </cell>
        </row>
        <row r="6171">
          <cell r="L6171">
            <v>100</v>
          </cell>
          <cell r="N6171"/>
        </row>
        <row r="6172">
          <cell r="L6172">
            <v>100</v>
          </cell>
          <cell r="N6172"/>
        </row>
        <row r="6173">
          <cell r="L6173">
            <v>100</v>
          </cell>
          <cell r="N6173">
            <v>44900</v>
          </cell>
        </row>
        <row r="6174">
          <cell r="L6174">
            <v>100</v>
          </cell>
          <cell r="N6174"/>
        </row>
        <row r="6175">
          <cell r="L6175">
            <v>100</v>
          </cell>
          <cell r="N6175"/>
        </row>
        <row r="6176">
          <cell r="L6176">
            <v>100</v>
          </cell>
          <cell r="N6176"/>
        </row>
        <row r="6177">
          <cell r="L6177">
            <v>100</v>
          </cell>
          <cell r="N6177">
            <v>44951</v>
          </cell>
        </row>
        <row r="6178">
          <cell r="L6178">
            <v>100</v>
          </cell>
          <cell r="N6178">
            <v>44988</v>
          </cell>
        </row>
        <row r="6179">
          <cell r="L6179">
            <v>100</v>
          </cell>
          <cell r="N6179">
            <v>44988</v>
          </cell>
        </row>
        <row r="6180">
          <cell r="L6180">
            <v>100</v>
          </cell>
          <cell r="N6180">
            <v>44988</v>
          </cell>
        </row>
        <row r="6181">
          <cell r="L6181">
            <v>100</v>
          </cell>
          <cell r="N6181">
            <v>44988</v>
          </cell>
        </row>
        <row r="6182">
          <cell r="L6182">
            <v>100</v>
          </cell>
          <cell r="N6182">
            <v>44962</v>
          </cell>
        </row>
        <row r="6183">
          <cell r="L6183">
            <v>100</v>
          </cell>
          <cell r="N6183">
            <v>44888</v>
          </cell>
        </row>
        <row r="6184">
          <cell r="L6184">
            <v>100</v>
          </cell>
          <cell r="N6184">
            <v>44987</v>
          </cell>
        </row>
        <row r="6185">
          <cell r="L6185">
            <v>100</v>
          </cell>
          <cell r="N6185">
            <v>44960</v>
          </cell>
        </row>
        <row r="6186">
          <cell r="L6186">
            <v>100</v>
          </cell>
          <cell r="N6186">
            <v>44962</v>
          </cell>
        </row>
        <row r="6187">
          <cell r="L6187">
            <v>100</v>
          </cell>
          <cell r="N6187">
            <v>44888</v>
          </cell>
        </row>
        <row r="6188">
          <cell r="L6188">
            <v>100</v>
          </cell>
          <cell r="N6188">
            <v>44994</v>
          </cell>
        </row>
        <row r="6189">
          <cell r="L6189">
            <v>100</v>
          </cell>
          <cell r="N6189">
            <v>44963</v>
          </cell>
        </row>
        <row r="6190">
          <cell r="L6190">
            <v>100</v>
          </cell>
          <cell r="N6190">
            <v>44888</v>
          </cell>
        </row>
        <row r="6191">
          <cell r="L6191">
            <v>100</v>
          </cell>
          <cell r="N6191">
            <v>44995</v>
          </cell>
        </row>
        <row r="6192">
          <cell r="L6192">
            <v>100</v>
          </cell>
          <cell r="N6192">
            <v>44995</v>
          </cell>
        </row>
        <row r="6193">
          <cell r="L6193">
            <v>100</v>
          </cell>
          <cell r="N6193">
            <v>44995</v>
          </cell>
        </row>
        <row r="6194">
          <cell r="L6194">
            <v>100</v>
          </cell>
          <cell r="N6194">
            <v>44995</v>
          </cell>
        </row>
        <row r="6195">
          <cell r="L6195">
            <v>100</v>
          </cell>
          <cell r="N6195">
            <v>44995</v>
          </cell>
        </row>
        <row r="6196">
          <cell r="L6196">
            <v>100</v>
          </cell>
          <cell r="N6196">
            <v>44964</v>
          </cell>
        </row>
        <row r="6197">
          <cell r="L6197">
            <v>100</v>
          </cell>
          <cell r="N6197">
            <v>44964</v>
          </cell>
        </row>
        <row r="6198">
          <cell r="L6198">
            <v>100</v>
          </cell>
          <cell r="N6198">
            <v>44964</v>
          </cell>
        </row>
        <row r="6199">
          <cell r="L6199">
            <v>100</v>
          </cell>
          <cell r="N6199">
            <v>44964</v>
          </cell>
        </row>
        <row r="6200">
          <cell r="L6200">
            <v>100</v>
          </cell>
          <cell r="N6200">
            <v>44985</v>
          </cell>
        </row>
        <row r="6201">
          <cell r="L6201">
            <v>100</v>
          </cell>
          <cell r="N6201">
            <v>44985</v>
          </cell>
        </row>
        <row r="6202">
          <cell r="L6202">
            <v>100</v>
          </cell>
          <cell r="N6202">
            <v>44945</v>
          </cell>
        </row>
        <row r="6203">
          <cell r="L6203">
            <v>100</v>
          </cell>
          <cell r="N6203">
            <v>44991</v>
          </cell>
        </row>
        <row r="6204">
          <cell r="L6204">
            <v>100</v>
          </cell>
          <cell r="N6204">
            <v>44964</v>
          </cell>
        </row>
        <row r="6205">
          <cell r="L6205">
            <v>100</v>
          </cell>
          <cell r="N6205">
            <v>44988</v>
          </cell>
        </row>
        <row r="6206">
          <cell r="L6206">
            <v>100</v>
          </cell>
          <cell r="N6206">
            <v>44987</v>
          </cell>
        </row>
        <row r="6207">
          <cell r="L6207">
            <v>100</v>
          </cell>
          <cell r="N6207">
            <v>44964</v>
          </cell>
        </row>
        <row r="6208">
          <cell r="L6208">
            <v>100</v>
          </cell>
          <cell r="N6208">
            <v>44958</v>
          </cell>
        </row>
        <row r="6209">
          <cell r="L6209">
            <v>100</v>
          </cell>
          <cell r="N6209">
            <v>44995</v>
          </cell>
        </row>
        <row r="6210">
          <cell r="L6210">
            <v>100</v>
          </cell>
          <cell r="N6210">
            <v>44995</v>
          </cell>
        </row>
        <row r="6211">
          <cell r="L6211">
            <v>100</v>
          </cell>
          <cell r="N6211">
            <v>44995</v>
          </cell>
        </row>
        <row r="6212">
          <cell r="L6212">
            <v>100</v>
          </cell>
          <cell r="N6212">
            <v>44995</v>
          </cell>
        </row>
        <row r="6213">
          <cell r="L6213">
            <v>100</v>
          </cell>
          <cell r="N6213">
            <v>44995</v>
          </cell>
        </row>
        <row r="6214">
          <cell r="L6214">
            <v>100</v>
          </cell>
          <cell r="N6214">
            <v>44951</v>
          </cell>
        </row>
        <row r="6215">
          <cell r="L6215">
            <v>100</v>
          </cell>
          <cell r="N6215">
            <v>44951</v>
          </cell>
        </row>
        <row r="6216">
          <cell r="L6216">
            <v>100</v>
          </cell>
          <cell r="N6216">
            <v>44951</v>
          </cell>
        </row>
        <row r="6217">
          <cell r="L6217">
            <v>100</v>
          </cell>
          <cell r="N6217">
            <v>44951</v>
          </cell>
        </row>
        <row r="6218">
          <cell r="L6218">
            <v>100</v>
          </cell>
          <cell r="N6218">
            <v>44951</v>
          </cell>
        </row>
        <row r="6219">
          <cell r="L6219">
            <v>100</v>
          </cell>
          <cell r="N6219">
            <v>44995</v>
          </cell>
        </row>
        <row r="6220">
          <cell r="L6220">
            <v>100</v>
          </cell>
          <cell r="N6220">
            <v>44995</v>
          </cell>
        </row>
        <row r="6221">
          <cell r="L6221">
            <v>100</v>
          </cell>
          <cell r="N6221"/>
        </row>
        <row r="6222">
          <cell r="L6222">
            <v>100</v>
          </cell>
          <cell r="N6222"/>
        </row>
        <row r="6223">
          <cell r="L6223">
            <v>100</v>
          </cell>
          <cell r="N6223"/>
        </row>
        <row r="6224">
          <cell r="L6224">
            <v>100</v>
          </cell>
          <cell r="N6224"/>
        </row>
        <row r="6225">
          <cell r="L6225">
            <v>100</v>
          </cell>
          <cell r="N6225"/>
        </row>
        <row r="6226">
          <cell r="L6226">
            <v>100</v>
          </cell>
          <cell r="N6226"/>
        </row>
        <row r="6227">
          <cell r="L6227">
            <v>100</v>
          </cell>
          <cell r="N6227">
            <v>44985</v>
          </cell>
        </row>
        <row r="6228">
          <cell r="L6228">
            <v>100</v>
          </cell>
          <cell r="N6228">
            <v>44947</v>
          </cell>
        </row>
        <row r="6229">
          <cell r="L6229">
            <v>100</v>
          </cell>
          <cell r="N6229">
            <v>44874</v>
          </cell>
        </row>
        <row r="6230">
          <cell r="L6230">
            <v>100</v>
          </cell>
          <cell r="N6230">
            <v>44985</v>
          </cell>
        </row>
        <row r="6231">
          <cell r="L6231">
            <v>100</v>
          </cell>
          <cell r="N6231">
            <v>44985</v>
          </cell>
        </row>
        <row r="6232">
          <cell r="L6232">
            <v>100</v>
          </cell>
          <cell r="N6232">
            <v>44985</v>
          </cell>
        </row>
        <row r="6233">
          <cell r="L6233">
            <v>100</v>
          </cell>
          <cell r="N6233">
            <v>44945</v>
          </cell>
        </row>
        <row r="6234">
          <cell r="L6234">
            <v>100</v>
          </cell>
          <cell r="N6234">
            <v>44970</v>
          </cell>
        </row>
        <row r="6235">
          <cell r="L6235">
            <v>100</v>
          </cell>
          <cell r="N6235">
            <v>44968</v>
          </cell>
        </row>
        <row r="6236">
          <cell r="L6236">
            <v>100</v>
          </cell>
          <cell r="N6236">
            <v>44975</v>
          </cell>
        </row>
        <row r="6237">
          <cell r="L6237">
            <v>100</v>
          </cell>
          <cell r="N6237">
            <v>44975</v>
          </cell>
        </row>
        <row r="6238">
          <cell r="L6238">
            <v>100</v>
          </cell>
          <cell r="N6238">
            <v>44985</v>
          </cell>
        </row>
        <row r="6239">
          <cell r="L6239">
            <v>100</v>
          </cell>
          <cell r="N6239">
            <v>44985</v>
          </cell>
        </row>
        <row r="6240">
          <cell r="L6240">
            <v>100</v>
          </cell>
          <cell r="N6240">
            <v>44945</v>
          </cell>
        </row>
        <row r="6241">
          <cell r="L6241">
            <v>100</v>
          </cell>
          <cell r="N6241">
            <v>44945</v>
          </cell>
        </row>
        <row r="6242">
          <cell r="L6242">
            <v>100</v>
          </cell>
          <cell r="N6242">
            <v>44945</v>
          </cell>
        </row>
        <row r="6243">
          <cell r="L6243">
            <v>100</v>
          </cell>
          <cell r="N6243">
            <v>44945</v>
          </cell>
        </row>
        <row r="6244">
          <cell r="L6244">
            <v>100</v>
          </cell>
          <cell r="N6244">
            <v>44945</v>
          </cell>
        </row>
        <row r="6245">
          <cell r="L6245">
            <v>100</v>
          </cell>
          <cell r="N6245">
            <v>44975</v>
          </cell>
        </row>
        <row r="6246">
          <cell r="L6246">
            <v>100</v>
          </cell>
          <cell r="N6246">
            <v>44975</v>
          </cell>
        </row>
        <row r="6247">
          <cell r="L6247">
            <v>100</v>
          </cell>
          <cell r="N6247">
            <v>44975</v>
          </cell>
        </row>
        <row r="6248">
          <cell r="L6248">
            <v>100</v>
          </cell>
          <cell r="N6248">
            <v>44961</v>
          </cell>
        </row>
        <row r="6249">
          <cell r="L6249">
            <v>100</v>
          </cell>
          <cell r="N6249">
            <v>44994</v>
          </cell>
        </row>
        <row r="6250">
          <cell r="L6250">
            <v>100</v>
          </cell>
          <cell r="N6250">
            <v>44994</v>
          </cell>
        </row>
        <row r="6251">
          <cell r="L6251">
            <v>100</v>
          </cell>
          <cell r="N6251">
            <v>44995</v>
          </cell>
        </row>
        <row r="6252">
          <cell r="L6252">
            <v>100</v>
          </cell>
          <cell r="N6252">
            <v>44987</v>
          </cell>
        </row>
        <row r="6253">
          <cell r="L6253">
            <v>100</v>
          </cell>
          <cell r="N6253">
            <v>44985</v>
          </cell>
        </row>
        <row r="6254">
          <cell r="L6254">
            <v>100</v>
          </cell>
          <cell r="N6254">
            <v>44985</v>
          </cell>
        </row>
        <row r="6255">
          <cell r="L6255">
            <v>100</v>
          </cell>
          <cell r="N6255">
            <v>44995</v>
          </cell>
        </row>
        <row r="6256">
          <cell r="L6256">
            <v>100</v>
          </cell>
          <cell r="N6256">
            <v>44964</v>
          </cell>
        </row>
        <row r="6257">
          <cell r="L6257">
            <v>100</v>
          </cell>
          <cell r="N6257">
            <v>44912</v>
          </cell>
        </row>
        <row r="6258">
          <cell r="L6258">
            <v>100</v>
          </cell>
          <cell r="N6258">
            <v>44995</v>
          </cell>
        </row>
        <row r="6259">
          <cell r="L6259">
            <v>100</v>
          </cell>
          <cell r="N6259">
            <v>44995</v>
          </cell>
        </row>
        <row r="6260">
          <cell r="L6260">
            <v>100</v>
          </cell>
          <cell r="N6260">
            <v>44985</v>
          </cell>
        </row>
        <row r="6261">
          <cell r="L6261">
            <v>100</v>
          </cell>
          <cell r="N6261">
            <v>44985</v>
          </cell>
        </row>
        <row r="6262">
          <cell r="L6262">
            <v>100</v>
          </cell>
          <cell r="N6262">
            <v>44985</v>
          </cell>
        </row>
        <row r="6263">
          <cell r="L6263">
            <v>100</v>
          </cell>
          <cell r="N6263">
            <v>44947</v>
          </cell>
        </row>
        <row r="6264">
          <cell r="L6264">
            <v>100</v>
          </cell>
          <cell r="N6264">
            <v>44987</v>
          </cell>
        </row>
        <row r="6265">
          <cell r="L6265">
            <v>100</v>
          </cell>
          <cell r="N6265">
            <v>44960</v>
          </cell>
        </row>
        <row r="6266">
          <cell r="L6266">
            <v>100</v>
          </cell>
          <cell r="N6266">
            <v>44960</v>
          </cell>
        </row>
        <row r="6267">
          <cell r="L6267">
            <v>100</v>
          </cell>
          <cell r="N6267">
            <v>44960</v>
          </cell>
        </row>
        <row r="6268">
          <cell r="L6268">
            <v>100</v>
          </cell>
          <cell r="N6268">
            <v>44987</v>
          </cell>
        </row>
        <row r="6269">
          <cell r="L6269">
            <v>100</v>
          </cell>
          <cell r="N6269">
            <v>44987</v>
          </cell>
        </row>
        <row r="6270">
          <cell r="L6270">
            <v>100</v>
          </cell>
          <cell r="N6270">
            <v>44994</v>
          </cell>
        </row>
        <row r="6271">
          <cell r="L6271">
            <v>100</v>
          </cell>
          <cell r="N6271">
            <v>44961</v>
          </cell>
        </row>
        <row r="6272">
          <cell r="L6272">
            <v>100</v>
          </cell>
          <cell r="N6272">
            <v>44961</v>
          </cell>
        </row>
        <row r="6273">
          <cell r="L6273">
            <v>100</v>
          </cell>
          <cell r="N6273">
            <v>44961</v>
          </cell>
        </row>
        <row r="6274">
          <cell r="L6274">
            <v>100</v>
          </cell>
          <cell r="N6274">
            <v>44961</v>
          </cell>
        </row>
        <row r="6275">
          <cell r="L6275">
            <v>100</v>
          </cell>
          <cell r="N6275">
            <v>44985</v>
          </cell>
        </row>
        <row r="6276">
          <cell r="L6276">
            <v>100</v>
          </cell>
          <cell r="N6276">
            <v>44985</v>
          </cell>
        </row>
        <row r="6277">
          <cell r="L6277">
            <v>100</v>
          </cell>
          <cell r="N6277">
            <v>44972</v>
          </cell>
        </row>
        <row r="6278">
          <cell r="L6278">
            <v>100</v>
          </cell>
          <cell r="N6278">
            <v>44988</v>
          </cell>
        </row>
        <row r="6279">
          <cell r="L6279">
            <v>100</v>
          </cell>
          <cell r="N6279">
            <v>44949</v>
          </cell>
        </row>
        <row r="6280">
          <cell r="L6280">
            <v>100</v>
          </cell>
          <cell r="N6280">
            <v>44949</v>
          </cell>
        </row>
        <row r="6281">
          <cell r="L6281">
            <v>100</v>
          </cell>
          <cell r="N6281">
            <v>44949</v>
          </cell>
        </row>
        <row r="6282">
          <cell r="L6282">
            <v>100</v>
          </cell>
          <cell r="N6282">
            <v>44949</v>
          </cell>
        </row>
        <row r="6283">
          <cell r="L6283">
            <v>100</v>
          </cell>
          <cell r="N6283">
            <v>44988</v>
          </cell>
        </row>
        <row r="6284">
          <cell r="L6284">
            <v>100</v>
          </cell>
          <cell r="N6284">
            <v>44988</v>
          </cell>
        </row>
        <row r="6285">
          <cell r="L6285">
            <v>100</v>
          </cell>
          <cell r="N6285">
            <v>44988</v>
          </cell>
        </row>
        <row r="6286">
          <cell r="L6286">
            <v>100</v>
          </cell>
          <cell r="N6286">
            <v>44985</v>
          </cell>
        </row>
        <row r="6287">
          <cell r="L6287">
            <v>100</v>
          </cell>
          <cell r="N6287">
            <v>44995</v>
          </cell>
        </row>
        <row r="6288">
          <cell r="L6288">
            <v>100</v>
          </cell>
          <cell r="N6288">
            <v>44970</v>
          </cell>
        </row>
        <row r="6289">
          <cell r="L6289">
            <v>100</v>
          </cell>
          <cell r="N6289">
            <v>44951</v>
          </cell>
        </row>
        <row r="6290">
          <cell r="L6290">
            <v>100</v>
          </cell>
          <cell r="N6290">
            <v>44987</v>
          </cell>
        </row>
        <row r="6291">
          <cell r="L6291">
            <v>100</v>
          </cell>
          <cell r="N6291">
            <v>44987</v>
          </cell>
        </row>
        <row r="6292">
          <cell r="L6292">
            <v>100</v>
          </cell>
          <cell r="N6292">
            <v>44987</v>
          </cell>
        </row>
        <row r="6293">
          <cell r="L6293">
            <v>100</v>
          </cell>
          <cell r="N6293">
            <v>44994</v>
          </cell>
        </row>
        <row r="6294">
          <cell r="L6294">
            <v>100</v>
          </cell>
          <cell r="N6294">
            <v>44994</v>
          </cell>
        </row>
        <row r="6295">
          <cell r="L6295">
            <v>100</v>
          </cell>
          <cell r="N6295">
            <v>44994</v>
          </cell>
        </row>
        <row r="6296">
          <cell r="L6296">
            <v>100</v>
          </cell>
          <cell r="N6296">
            <v>44994</v>
          </cell>
        </row>
        <row r="6297">
          <cell r="L6297">
            <v>100</v>
          </cell>
          <cell r="N6297">
            <v>44975</v>
          </cell>
        </row>
        <row r="6298">
          <cell r="L6298">
            <v>100</v>
          </cell>
          <cell r="N6298">
            <v>44804</v>
          </cell>
        </row>
        <row r="6299">
          <cell r="L6299">
            <v>100</v>
          </cell>
          <cell r="N6299">
            <v>44804</v>
          </cell>
        </row>
        <row r="6300">
          <cell r="L6300">
            <v>100</v>
          </cell>
          <cell r="N6300">
            <v>44804</v>
          </cell>
        </row>
        <row r="6301">
          <cell r="L6301">
            <v>100</v>
          </cell>
          <cell r="N6301">
            <v>44804</v>
          </cell>
        </row>
        <row r="6302">
          <cell r="L6302">
            <v>100</v>
          </cell>
          <cell r="N6302">
            <v>44740</v>
          </cell>
        </row>
        <row r="6303">
          <cell r="L6303">
            <v>100</v>
          </cell>
          <cell r="N6303">
            <v>44741</v>
          </cell>
        </row>
        <row r="6304">
          <cell r="L6304">
            <v>100</v>
          </cell>
          <cell r="N6304">
            <v>44804</v>
          </cell>
        </row>
        <row r="6305">
          <cell r="L6305">
            <v>100</v>
          </cell>
          <cell r="N6305">
            <v>44726</v>
          </cell>
        </row>
        <row r="6306">
          <cell r="L6306">
            <v>100</v>
          </cell>
          <cell r="N6306">
            <v>44726</v>
          </cell>
        </row>
        <row r="6307">
          <cell r="L6307">
            <v>100</v>
          </cell>
          <cell r="N6307">
            <v>44726</v>
          </cell>
        </row>
        <row r="6308">
          <cell r="L6308">
            <v>100</v>
          </cell>
          <cell r="N6308">
            <v>44726</v>
          </cell>
        </row>
        <row r="6309">
          <cell r="L6309">
            <v>100</v>
          </cell>
          <cell r="N6309">
            <v>44726</v>
          </cell>
        </row>
        <row r="6310">
          <cell r="L6310">
            <v>100</v>
          </cell>
          <cell r="N6310">
            <v>44644</v>
          </cell>
        </row>
        <row r="6311">
          <cell r="L6311">
            <v>100</v>
          </cell>
          <cell r="N6311">
            <v>44568</v>
          </cell>
        </row>
        <row r="6312">
          <cell r="L6312">
            <v>100</v>
          </cell>
          <cell r="N6312">
            <v>44568</v>
          </cell>
        </row>
        <row r="6313">
          <cell r="L6313">
            <v>100</v>
          </cell>
          <cell r="N6313">
            <v>44804</v>
          </cell>
        </row>
        <row r="6314">
          <cell r="L6314">
            <v>100</v>
          </cell>
          <cell r="N6314">
            <v>44804</v>
          </cell>
        </row>
        <row r="6315">
          <cell r="L6315">
            <v>100</v>
          </cell>
          <cell r="N6315">
            <v>44804</v>
          </cell>
        </row>
        <row r="6316">
          <cell r="L6316">
            <v>100</v>
          </cell>
          <cell r="N6316">
            <v>44767</v>
          </cell>
        </row>
        <row r="6317">
          <cell r="L6317">
            <v>100</v>
          </cell>
          <cell r="N6317">
            <v>44767</v>
          </cell>
        </row>
        <row r="6318">
          <cell r="L6318">
            <v>100</v>
          </cell>
          <cell r="N6318">
            <v>44767</v>
          </cell>
        </row>
        <row r="6319">
          <cell r="L6319">
            <v>100</v>
          </cell>
          <cell r="N6319">
            <v>44804</v>
          </cell>
        </row>
        <row r="6320">
          <cell r="L6320">
            <v>100</v>
          </cell>
          <cell r="N6320">
            <v>44831</v>
          </cell>
        </row>
        <row r="6321">
          <cell r="L6321">
            <v>100</v>
          </cell>
          <cell r="N6321">
            <v>44754</v>
          </cell>
        </row>
        <row r="6322">
          <cell r="L6322">
            <v>100</v>
          </cell>
          <cell r="N6322">
            <v>44754</v>
          </cell>
        </row>
        <row r="6323">
          <cell r="L6323">
            <v>100</v>
          </cell>
          <cell r="N6323">
            <v>44754</v>
          </cell>
        </row>
        <row r="6324">
          <cell r="L6324">
            <v>100</v>
          </cell>
          <cell r="N6324">
            <v>44754</v>
          </cell>
        </row>
        <row r="6325">
          <cell r="L6325">
            <v>100</v>
          </cell>
          <cell r="N6325">
            <v>44737</v>
          </cell>
        </row>
        <row r="6326">
          <cell r="L6326">
            <v>100</v>
          </cell>
          <cell r="N6326">
            <v>44737</v>
          </cell>
        </row>
        <row r="6327">
          <cell r="L6327">
            <v>100</v>
          </cell>
          <cell r="N6327">
            <v>44704</v>
          </cell>
        </row>
        <row r="6328">
          <cell r="L6328">
            <v>100</v>
          </cell>
          <cell r="N6328">
            <v>44704</v>
          </cell>
        </row>
        <row r="6329">
          <cell r="L6329">
            <v>100</v>
          </cell>
          <cell r="N6329">
            <v>44804</v>
          </cell>
        </row>
        <row r="6330">
          <cell r="L6330">
            <v>100</v>
          </cell>
          <cell r="N6330">
            <v>44767</v>
          </cell>
        </row>
        <row r="6331">
          <cell r="L6331">
            <v>100</v>
          </cell>
          <cell r="N6331">
            <v>44760</v>
          </cell>
        </row>
        <row r="6332">
          <cell r="L6332">
            <v>100</v>
          </cell>
          <cell r="N6332">
            <v>44804</v>
          </cell>
        </row>
        <row r="6333">
          <cell r="L6333">
            <v>100</v>
          </cell>
          <cell r="N6333">
            <v>44804</v>
          </cell>
        </row>
        <row r="6334">
          <cell r="L6334">
            <v>100</v>
          </cell>
          <cell r="N6334">
            <v>44804</v>
          </cell>
        </row>
        <row r="6335">
          <cell r="L6335">
            <v>100</v>
          </cell>
          <cell r="N6335">
            <v>44728</v>
          </cell>
        </row>
        <row r="6336">
          <cell r="L6336">
            <v>100</v>
          </cell>
          <cell r="N6336">
            <v>44728</v>
          </cell>
        </row>
        <row r="6337">
          <cell r="L6337">
            <v>100</v>
          </cell>
          <cell r="N6337">
            <v>44831</v>
          </cell>
        </row>
        <row r="6338">
          <cell r="L6338">
            <v>100</v>
          </cell>
          <cell r="N6338">
            <v>44831</v>
          </cell>
        </row>
        <row r="6339">
          <cell r="L6339">
            <v>100</v>
          </cell>
          <cell r="N6339">
            <v>44758</v>
          </cell>
        </row>
        <row r="6340">
          <cell r="L6340">
            <v>100</v>
          </cell>
          <cell r="N6340">
            <v>45012</v>
          </cell>
        </row>
        <row r="6341">
          <cell r="L6341">
            <v>100</v>
          </cell>
          <cell r="N6341">
            <v>44804</v>
          </cell>
        </row>
        <row r="6342">
          <cell r="L6342">
            <v>100</v>
          </cell>
          <cell r="N6342">
            <v>44804</v>
          </cell>
        </row>
        <row r="6343">
          <cell r="L6343">
            <v>100</v>
          </cell>
          <cell r="N6343">
            <v>44804</v>
          </cell>
        </row>
        <row r="6344">
          <cell r="L6344">
            <v>100</v>
          </cell>
          <cell r="N6344">
            <v>44758</v>
          </cell>
        </row>
        <row r="6345">
          <cell r="L6345">
            <v>100</v>
          </cell>
          <cell r="N6345">
            <v>44761</v>
          </cell>
        </row>
        <row r="6346">
          <cell r="L6346">
            <v>100</v>
          </cell>
          <cell r="N6346">
            <v>44831</v>
          </cell>
        </row>
        <row r="6347">
          <cell r="L6347">
            <v>100</v>
          </cell>
          <cell r="N6347">
            <v>44831</v>
          </cell>
        </row>
        <row r="6348">
          <cell r="L6348">
            <v>100</v>
          </cell>
          <cell r="N6348">
            <v>44831</v>
          </cell>
        </row>
        <row r="6349">
          <cell r="L6349">
            <v>100</v>
          </cell>
          <cell r="N6349">
            <v>44740</v>
          </cell>
        </row>
        <row r="6350">
          <cell r="L6350">
            <v>100</v>
          </cell>
          <cell r="N6350">
            <v>44790</v>
          </cell>
        </row>
        <row r="6351">
          <cell r="L6351">
            <v>100</v>
          </cell>
          <cell r="N6351">
            <v>44790</v>
          </cell>
        </row>
        <row r="6352">
          <cell r="L6352">
            <v>100</v>
          </cell>
          <cell r="N6352">
            <v>44831</v>
          </cell>
        </row>
        <row r="6353">
          <cell r="L6353">
            <v>100</v>
          </cell>
          <cell r="N6353">
            <v>44831</v>
          </cell>
        </row>
        <row r="6354">
          <cell r="L6354">
            <v>100</v>
          </cell>
          <cell r="N6354">
            <v>44767</v>
          </cell>
        </row>
        <row r="6355">
          <cell r="L6355">
            <v>100</v>
          </cell>
          <cell r="N6355">
            <v>44767</v>
          </cell>
        </row>
        <row r="6356">
          <cell r="L6356">
            <v>100</v>
          </cell>
          <cell r="N6356">
            <v>44767</v>
          </cell>
        </row>
        <row r="6357">
          <cell r="L6357">
            <v>100</v>
          </cell>
          <cell r="N6357">
            <v>44767</v>
          </cell>
        </row>
        <row r="6358">
          <cell r="L6358">
            <v>100</v>
          </cell>
          <cell r="N6358">
            <v>44758</v>
          </cell>
        </row>
        <row r="6359">
          <cell r="L6359">
            <v>100</v>
          </cell>
          <cell r="N6359">
            <v>44758</v>
          </cell>
        </row>
        <row r="6360">
          <cell r="L6360">
            <v>100</v>
          </cell>
          <cell r="N6360">
            <v>44804</v>
          </cell>
        </row>
        <row r="6361">
          <cell r="L6361">
            <v>100</v>
          </cell>
          <cell r="N6361">
            <v>44804</v>
          </cell>
        </row>
        <row r="6362">
          <cell r="L6362">
            <v>100</v>
          </cell>
          <cell r="N6362">
            <v>44804</v>
          </cell>
        </row>
        <row r="6363">
          <cell r="L6363">
            <v>100</v>
          </cell>
          <cell r="N6363">
            <v>44758</v>
          </cell>
        </row>
        <row r="6364">
          <cell r="L6364">
            <v>100</v>
          </cell>
          <cell r="N6364">
            <v>44813</v>
          </cell>
        </row>
        <row r="6365">
          <cell r="L6365">
            <v>100</v>
          </cell>
          <cell r="N6365">
            <v>44813</v>
          </cell>
        </row>
        <row r="6366">
          <cell r="L6366">
            <v>100</v>
          </cell>
          <cell r="N6366">
            <v>44813</v>
          </cell>
        </row>
        <row r="6367">
          <cell r="L6367">
            <v>100</v>
          </cell>
          <cell r="N6367">
            <v>44813</v>
          </cell>
        </row>
        <row r="6368">
          <cell r="L6368">
            <v>100</v>
          </cell>
          <cell r="N6368">
            <v>44813</v>
          </cell>
        </row>
        <row r="6369">
          <cell r="L6369">
            <v>100</v>
          </cell>
          <cell r="N6369">
            <v>44813</v>
          </cell>
        </row>
        <row r="6370">
          <cell r="L6370">
            <v>100</v>
          </cell>
          <cell r="N6370">
            <v>44813</v>
          </cell>
        </row>
        <row r="6371">
          <cell r="L6371">
            <v>100</v>
          </cell>
          <cell r="N6371">
            <v>44813</v>
          </cell>
        </row>
        <row r="6372">
          <cell r="L6372">
            <v>100</v>
          </cell>
          <cell r="N6372">
            <v>44813</v>
          </cell>
        </row>
        <row r="6373">
          <cell r="L6373">
            <v>100</v>
          </cell>
          <cell r="N6373">
            <v>44790</v>
          </cell>
        </row>
        <row r="6374">
          <cell r="L6374">
            <v>100</v>
          </cell>
          <cell r="N6374">
            <v>44931</v>
          </cell>
        </row>
        <row r="6375">
          <cell r="L6375">
            <v>100</v>
          </cell>
          <cell r="N6375">
            <v>44716</v>
          </cell>
        </row>
        <row r="6376">
          <cell r="L6376">
            <v>100</v>
          </cell>
          <cell r="N6376">
            <v>44790</v>
          </cell>
        </row>
        <row r="6377">
          <cell r="L6377">
            <v>100</v>
          </cell>
          <cell r="N6377">
            <v>44790</v>
          </cell>
        </row>
        <row r="6378">
          <cell r="L6378">
            <v>100</v>
          </cell>
          <cell r="N6378">
            <v>44725</v>
          </cell>
        </row>
        <row r="6379">
          <cell r="L6379">
            <v>100</v>
          </cell>
          <cell r="N6379">
            <v>44784</v>
          </cell>
        </row>
        <row r="6380">
          <cell r="L6380">
            <v>100</v>
          </cell>
          <cell r="N6380">
            <v>44784</v>
          </cell>
        </row>
        <row r="6381">
          <cell r="L6381">
            <v>100</v>
          </cell>
          <cell r="N6381">
            <v>44783</v>
          </cell>
        </row>
        <row r="6382">
          <cell r="L6382">
            <v>100</v>
          </cell>
          <cell r="N6382">
            <v>44783</v>
          </cell>
        </row>
        <row r="6383">
          <cell r="L6383">
            <v>100</v>
          </cell>
          <cell r="N6383">
            <v>44827</v>
          </cell>
        </row>
        <row r="6384">
          <cell r="L6384">
            <v>100</v>
          </cell>
          <cell r="N6384">
            <v>44827</v>
          </cell>
        </row>
        <row r="6385">
          <cell r="L6385">
            <v>100</v>
          </cell>
          <cell r="N6385">
            <v>44827</v>
          </cell>
        </row>
        <row r="6386">
          <cell r="L6386">
            <v>100</v>
          </cell>
          <cell r="N6386">
            <v>44827</v>
          </cell>
        </row>
        <row r="6387">
          <cell r="L6387">
            <v>100</v>
          </cell>
          <cell r="N6387">
            <v>44725</v>
          </cell>
        </row>
        <row r="6388">
          <cell r="L6388">
            <v>100</v>
          </cell>
          <cell r="N6388">
            <v>44812</v>
          </cell>
        </row>
        <row r="6389">
          <cell r="L6389">
            <v>100</v>
          </cell>
          <cell r="N6389">
            <v>44812</v>
          </cell>
        </row>
        <row r="6390">
          <cell r="L6390">
            <v>100</v>
          </cell>
          <cell r="N6390">
            <v>44811</v>
          </cell>
        </row>
        <row r="6391">
          <cell r="L6391">
            <v>100</v>
          </cell>
          <cell r="N6391">
            <v>44811</v>
          </cell>
        </row>
        <row r="6392">
          <cell r="L6392">
            <v>100</v>
          </cell>
          <cell r="N6392">
            <v>44811</v>
          </cell>
        </row>
        <row r="6393">
          <cell r="L6393">
            <v>100</v>
          </cell>
          <cell r="N6393">
            <v>44811</v>
          </cell>
        </row>
        <row r="6394">
          <cell r="L6394">
            <v>100</v>
          </cell>
          <cell r="N6394">
            <v>44953</v>
          </cell>
        </row>
        <row r="6395">
          <cell r="L6395">
            <v>100</v>
          </cell>
          <cell r="N6395">
            <v>44902</v>
          </cell>
        </row>
        <row r="6396">
          <cell r="L6396">
            <v>100</v>
          </cell>
          <cell r="N6396"/>
        </row>
        <row r="6397">
          <cell r="L6397">
            <v>100</v>
          </cell>
          <cell r="N6397"/>
        </row>
        <row r="6398">
          <cell r="L6398">
            <v>100</v>
          </cell>
          <cell r="N6398">
            <v>44826</v>
          </cell>
        </row>
        <row r="6399">
          <cell r="L6399">
            <v>100</v>
          </cell>
          <cell r="N6399">
            <v>44784</v>
          </cell>
        </row>
        <row r="6400">
          <cell r="L6400">
            <v>100</v>
          </cell>
          <cell r="N6400">
            <v>44784</v>
          </cell>
        </row>
        <row r="6401">
          <cell r="L6401">
            <v>100</v>
          </cell>
          <cell r="N6401">
            <v>44826</v>
          </cell>
        </row>
        <row r="6402">
          <cell r="L6402">
            <v>100</v>
          </cell>
          <cell r="N6402">
            <v>44905</v>
          </cell>
        </row>
        <row r="6403">
          <cell r="L6403">
            <v>100</v>
          </cell>
          <cell r="N6403">
            <v>44903</v>
          </cell>
        </row>
        <row r="6404">
          <cell r="L6404">
            <v>100</v>
          </cell>
          <cell r="N6404">
            <v>44826</v>
          </cell>
        </row>
        <row r="6405">
          <cell r="L6405">
            <v>100</v>
          </cell>
          <cell r="N6405">
            <v>44826</v>
          </cell>
        </row>
        <row r="6406">
          <cell r="L6406">
            <v>100</v>
          </cell>
          <cell r="N6406">
            <v>44826</v>
          </cell>
        </row>
        <row r="6407">
          <cell r="L6407">
            <v>100</v>
          </cell>
          <cell r="N6407">
            <v>44826</v>
          </cell>
        </row>
        <row r="6408">
          <cell r="L6408">
            <v>100</v>
          </cell>
          <cell r="N6408"/>
        </row>
        <row r="6409">
          <cell r="L6409">
            <v>100</v>
          </cell>
          <cell r="N6409"/>
        </row>
        <row r="6410">
          <cell r="L6410">
            <v>100</v>
          </cell>
          <cell r="N6410">
            <v>44953</v>
          </cell>
        </row>
        <row r="6411">
          <cell r="L6411">
            <v>100</v>
          </cell>
          <cell r="N6411">
            <v>44953</v>
          </cell>
        </row>
        <row r="6412">
          <cell r="L6412">
            <v>100</v>
          </cell>
          <cell r="N6412">
            <v>44953</v>
          </cell>
        </row>
        <row r="6413">
          <cell r="L6413">
            <v>100</v>
          </cell>
          <cell r="N6413"/>
        </row>
        <row r="6414">
          <cell r="L6414">
            <v>100</v>
          </cell>
          <cell r="N6414"/>
        </row>
        <row r="6415">
          <cell r="L6415">
            <v>100</v>
          </cell>
          <cell r="N6415"/>
        </row>
        <row r="6416">
          <cell r="L6416">
            <v>100</v>
          </cell>
          <cell r="N6416"/>
        </row>
        <row r="6417">
          <cell r="L6417">
            <v>100</v>
          </cell>
          <cell r="N6417">
            <v>44826</v>
          </cell>
        </row>
        <row r="6418">
          <cell r="L6418">
            <v>100</v>
          </cell>
          <cell r="N6418">
            <v>44826</v>
          </cell>
        </row>
        <row r="6419">
          <cell r="L6419">
            <v>100</v>
          </cell>
          <cell r="N6419">
            <v>44887</v>
          </cell>
        </row>
        <row r="6420">
          <cell r="L6420">
            <v>100</v>
          </cell>
          <cell r="N6420">
            <v>44887</v>
          </cell>
        </row>
        <row r="6421">
          <cell r="L6421">
            <v>100</v>
          </cell>
          <cell r="N6421">
            <v>44894</v>
          </cell>
        </row>
        <row r="6422">
          <cell r="L6422">
            <v>100</v>
          </cell>
          <cell r="N6422">
            <v>44894</v>
          </cell>
        </row>
        <row r="6423">
          <cell r="L6423">
            <v>100</v>
          </cell>
          <cell r="N6423"/>
        </row>
        <row r="6424">
          <cell r="L6424">
            <v>100</v>
          </cell>
          <cell r="N6424">
            <v>44826</v>
          </cell>
        </row>
        <row r="6425">
          <cell r="L6425">
            <v>100</v>
          </cell>
          <cell r="N6425">
            <v>45005</v>
          </cell>
        </row>
        <row r="6426">
          <cell r="L6426">
            <v>100</v>
          </cell>
          <cell r="N6426">
            <v>44826</v>
          </cell>
        </row>
        <row r="6427">
          <cell r="L6427">
            <v>100</v>
          </cell>
          <cell r="N6427">
            <v>44826</v>
          </cell>
        </row>
        <row r="6428">
          <cell r="L6428">
            <v>100</v>
          </cell>
          <cell r="N6428">
            <v>44826</v>
          </cell>
        </row>
        <row r="6429">
          <cell r="L6429">
            <v>100</v>
          </cell>
          <cell r="N6429">
            <v>44826</v>
          </cell>
        </row>
        <row r="6430">
          <cell r="L6430">
            <v>100</v>
          </cell>
          <cell r="N6430">
            <v>44826</v>
          </cell>
        </row>
        <row r="6431">
          <cell r="L6431">
            <v>100</v>
          </cell>
          <cell r="N6431">
            <v>44826</v>
          </cell>
        </row>
        <row r="6432">
          <cell r="L6432">
            <v>100</v>
          </cell>
          <cell r="N6432">
            <v>44811</v>
          </cell>
        </row>
        <row r="6433">
          <cell r="L6433">
            <v>100</v>
          </cell>
          <cell r="N6433">
            <v>44917</v>
          </cell>
        </row>
        <row r="6434">
          <cell r="L6434">
            <v>100</v>
          </cell>
          <cell r="N6434">
            <v>44930</v>
          </cell>
        </row>
        <row r="6435">
          <cell r="L6435">
            <v>100</v>
          </cell>
          <cell r="N6435">
            <v>44930</v>
          </cell>
        </row>
        <row r="6436">
          <cell r="L6436">
            <v>100</v>
          </cell>
          <cell r="N6436">
            <v>44930</v>
          </cell>
        </row>
        <row r="6437">
          <cell r="L6437">
            <v>100</v>
          </cell>
          <cell r="N6437"/>
        </row>
        <row r="6438">
          <cell r="L6438">
            <v>100</v>
          </cell>
          <cell r="N6438">
            <v>44917</v>
          </cell>
        </row>
        <row r="6439">
          <cell r="L6439">
            <v>100</v>
          </cell>
          <cell r="N6439">
            <v>44917</v>
          </cell>
        </row>
        <row r="6440">
          <cell r="L6440">
            <v>100</v>
          </cell>
          <cell r="N6440">
            <v>44883</v>
          </cell>
        </row>
        <row r="6441">
          <cell r="L6441">
            <v>100</v>
          </cell>
          <cell r="N6441">
            <v>44917</v>
          </cell>
        </row>
        <row r="6442">
          <cell r="L6442">
            <v>100</v>
          </cell>
          <cell r="N6442">
            <v>44917</v>
          </cell>
        </row>
        <row r="6443">
          <cell r="L6443">
            <v>100</v>
          </cell>
          <cell r="N6443">
            <v>44930</v>
          </cell>
        </row>
        <row r="6444">
          <cell r="L6444">
            <v>100</v>
          </cell>
          <cell r="N6444">
            <v>44930</v>
          </cell>
        </row>
        <row r="6445">
          <cell r="L6445">
            <v>100</v>
          </cell>
          <cell r="N6445">
            <v>44930</v>
          </cell>
        </row>
        <row r="6446">
          <cell r="L6446">
            <v>100</v>
          </cell>
          <cell r="N6446">
            <v>44930</v>
          </cell>
        </row>
        <row r="6447">
          <cell r="L6447">
            <v>100</v>
          </cell>
          <cell r="N6447">
            <v>44917</v>
          </cell>
        </row>
        <row r="6448">
          <cell r="L6448">
            <v>100</v>
          </cell>
          <cell r="N6448">
            <v>44811</v>
          </cell>
        </row>
        <row r="6449">
          <cell r="L6449">
            <v>100</v>
          </cell>
          <cell r="N6449">
            <v>44811</v>
          </cell>
        </row>
        <row r="6450">
          <cell r="L6450">
            <v>100</v>
          </cell>
          <cell r="N6450">
            <v>44811</v>
          </cell>
        </row>
        <row r="6451">
          <cell r="L6451">
            <v>100</v>
          </cell>
          <cell r="N6451">
            <v>44811</v>
          </cell>
        </row>
        <row r="6452">
          <cell r="L6452">
            <v>100</v>
          </cell>
          <cell r="N6452">
            <v>44811</v>
          </cell>
        </row>
        <row r="6453">
          <cell r="L6453">
            <v>100</v>
          </cell>
          <cell r="N6453">
            <v>44811</v>
          </cell>
        </row>
        <row r="6454">
          <cell r="L6454">
            <v>100</v>
          </cell>
          <cell r="N6454"/>
        </row>
        <row r="6455">
          <cell r="L6455">
            <v>100</v>
          </cell>
          <cell r="N6455"/>
        </row>
        <row r="6456">
          <cell r="L6456">
            <v>100</v>
          </cell>
          <cell r="N6456"/>
        </row>
        <row r="6457">
          <cell r="L6457">
            <v>100</v>
          </cell>
          <cell r="N6457"/>
        </row>
        <row r="6458">
          <cell r="L6458">
            <v>100</v>
          </cell>
          <cell r="N6458">
            <v>45016</v>
          </cell>
        </row>
        <row r="6459">
          <cell r="L6459">
            <v>100</v>
          </cell>
          <cell r="N6459">
            <v>45016</v>
          </cell>
        </row>
        <row r="6460">
          <cell r="L6460">
            <v>100</v>
          </cell>
          <cell r="N6460">
            <v>45016</v>
          </cell>
        </row>
        <row r="6461">
          <cell r="L6461">
            <v>100</v>
          </cell>
          <cell r="N6461">
            <v>45016</v>
          </cell>
        </row>
        <row r="6462">
          <cell r="L6462">
            <v>100</v>
          </cell>
          <cell r="N6462">
            <v>45016</v>
          </cell>
        </row>
        <row r="6463">
          <cell r="L6463">
            <v>100</v>
          </cell>
          <cell r="N6463">
            <v>45016</v>
          </cell>
        </row>
        <row r="6464">
          <cell r="L6464">
            <v>100</v>
          </cell>
          <cell r="N6464">
            <v>45016</v>
          </cell>
        </row>
        <row r="6465">
          <cell r="L6465">
            <v>100</v>
          </cell>
          <cell r="N6465">
            <v>45014</v>
          </cell>
        </row>
        <row r="6466">
          <cell r="L6466">
            <v>100</v>
          </cell>
          <cell r="N6466">
            <v>45016</v>
          </cell>
        </row>
        <row r="6467">
          <cell r="L6467">
            <v>100</v>
          </cell>
          <cell r="N6467">
            <v>45014</v>
          </cell>
        </row>
        <row r="6468">
          <cell r="L6468">
            <v>100</v>
          </cell>
          <cell r="N6468">
            <v>45016</v>
          </cell>
        </row>
        <row r="6469">
          <cell r="L6469">
            <v>100</v>
          </cell>
          <cell r="N6469">
            <v>45016</v>
          </cell>
        </row>
        <row r="6470">
          <cell r="L6470">
            <v>100</v>
          </cell>
          <cell r="N6470">
            <v>45014</v>
          </cell>
        </row>
        <row r="6471">
          <cell r="L6471">
            <v>100</v>
          </cell>
          <cell r="N6471">
            <v>45014</v>
          </cell>
        </row>
        <row r="6472">
          <cell r="L6472">
            <v>100</v>
          </cell>
          <cell r="N6472">
            <v>45014</v>
          </cell>
        </row>
        <row r="6473">
          <cell r="L6473">
            <v>100</v>
          </cell>
          <cell r="N6473">
            <v>45014</v>
          </cell>
        </row>
        <row r="6474">
          <cell r="L6474">
            <v>100</v>
          </cell>
          <cell r="N6474">
            <v>45014</v>
          </cell>
        </row>
        <row r="6475">
          <cell r="L6475">
            <v>100</v>
          </cell>
          <cell r="N6475">
            <v>45014</v>
          </cell>
        </row>
        <row r="6476">
          <cell r="L6476">
            <v>100</v>
          </cell>
          <cell r="N6476">
            <v>45014</v>
          </cell>
        </row>
        <row r="6477">
          <cell r="L6477">
            <v>100</v>
          </cell>
          <cell r="N6477">
            <v>45014</v>
          </cell>
        </row>
        <row r="6478">
          <cell r="L6478">
            <v>100</v>
          </cell>
          <cell r="N6478"/>
        </row>
        <row r="6479">
          <cell r="L6479">
            <v>100</v>
          </cell>
          <cell r="N6479"/>
        </row>
        <row r="6480">
          <cell r="L6480">
            <v>100</v>
          </cell>
          <cell r="N6480"/>
        </row>
        <row r="6481">
          <cell r="L6481">
            <v>100</v>
          </cell>
          <cell r="N6481"/>
        </row>
        <row r="6482">
          <cell r="L6482">
            <v>100</v>
          </cell>
          <cell r="N6482"/>
        </row>
        <row r="6483">
          <cell r="L6483">
            <v>100</v>
          </cell>
          <cell r="N6483"/>
        </row>
        <row r="6484">
          <cell r="L6484">
            <v>100</v>
          </cell>
          <cell r="N6484"/>
        </row>
        <row r="6485">
          <cell r="L6485">
            <v>100</v>
          </cell>
          <cell r="N6485"/>
        </row>
        <row r="6486">
          <cell r="L6486">
            <v>100</v>
          </cell>
          <cell r="N6486"/>
        </row>
        <row r="6487">
          <cell r="L6487">
            <v>100</v>
          </cell>
          <cell r="N6487"/>
        </row>
        <row r="6488">
          <cell r="L6488">
            <v>100</v>
          </cell>
          <cell r="N6488"/>
        </row>
        <row r="6489">
          <cell r="L6489">
            <v>100</v>
          </cell>
          <cell r="N6489"/>
        </row>
        <row r="6490">
          <cell r="L6490">
            <v>100</v>
          </cell>
          <cell r="N6490">
            <v>45014</v>
          </cell>
        </row>
        <row r="6491">
          <cell r="L6491">
            <v>100</v>
          </cell>
          <cell r="N6491">
            <v>45014</v>
          </cell>
        </row>
        <row r="6492">
          <cell r="L6492">
            <v>100</v>
          </cell>
          <cell r="N6492">
            <v>45014</v>
          </cell>
        </row>
        <row r="6493">
          <cell r="L6493">
            <v>100</v>
          </cell>
          <cell r="N6493">
            <v>45014</v>
          </cell>
        </row>
        <row r="6494">
          <cell r="L6494">
            <v>100</v>
          </cell>
          <cell r="N6494"/>
        </row>
        <row r="6495">
          <cell r="L6495">
            <v>100</v>
          </cell>
          <cell r="N6495"/>
        </row>
        <row r="6496">
          <cell r="L6496">
            <v>100</v>
          </cell>
          <cell r="N6496">
            <v>45016</v>
          </cell>
        </row>
        <row r="6497">
          <cell r="L6497">
            <v>100</v>
          </cell>
          <cell r="N6497">
            <v>45016</v>
          </cell>
        </row>
        <row r="6498">
          <cell r="L6498">
            <v>100</v>
          </cell>
          <cell r="N6498">
            <v>45016</v>
          </cell>
        </row>
        <row r="6499">
          <cell r="L6499">
            <v>100</v>
          </cell>
          <cell r="N6499">
            <v>45014</v>
          </cell>
        </row>
        <row r="6500">
          <cell r="L6500">
            <v>100</v>
          </cell>
          <cell r="N6500">
            <v>45014</v>
          </cell>
        </row>
        <row r="6501">
          <cell r="L6501">
            <v>100</v>
          </cell>
          <cell r="N6501">
            <v>45016</v>
          </cell>
        </row>
        <row r="6502">
          <cell r="L6502">
            <v>100</v>
          </cell>
          <cell r="N6502">
            <v>45016</v>
          </cell>
        </row>
        <row r="6503">
          <cell r="L6503">
            <v>100</v>
          </cell>
          <cell r="N6503">
            <v>45016</v>
          </cell>
        </row>
        <row r="6504">
          <cell r="L6504">
            <v>100</v>
          </cell>
          <cell r="N6504">
            <v>45016</v>
          </cell>
        </row>
        <row r="6505">
          <cell r="L6505">
            <v>100</v>
          </cell>
          <cell r="N6505">
            <v>45016</v>
          </cell>
        </row>
        <row r="6506">
          <cell r="L6506">
            <v>100</v>
          </cell>
          <cell r="N6506">
            <v>45016</v>
          </cell>
        </row>
        <row r="6507">
          <cell r="L6507">
            <v>100</v>
          </cell>
          <cell r="N6507">
            <v>45016</v>
          </cell>
        </row>
        <row r="6508">
          <cell r="L6508">
            <v>100</v>
          </cell>
          <cell r="N6508"/>
        </row>
        <row r="6509">
          <cell r="L6509">
            <v>100</v>
          </cell>
          <cell r="N6509"/>
        </row>
        <row r="6510">
          <cell r="L6510">
            <v>100</v>
          </cell>
          <cell r="N6510"/>
        </row>
        <row r="6511">
          <cell r="L6511">
            <v>100</v>
          </cell>
          <cell r="N6511"/>
        </row>
        <row r="6512">
          <cell r="L6512">
            <v>100</v>
          </cell>
          <cell r="N6512"/>
        </row>
        <row r="6513">
          <cell r="L6513">
            <v>100</v>
          </cell>
          <cell r="N6513"/>
        </row>
        <row r="6514">
          <cell r="L6514">
            <v>100</v>
          </cell>
          <cell r="N6514"/>
        </row>
        <row r="6515">
          <cell r="L6515">
            <v>100</v>
          </cell>
          <cell r="N6515"/>
        </row>
        <row r="6516">
          <cell r="L6516">
            <v>100</v>
          </cell>
          <cell r="N6516"/>
        </row>
        <row r="6517">
          <cell r="L6517">
            <v>100</v>
          </cell>
          <cell r="N6517"/>
        </row>
        <row r="6518">
          <cell r="L6518">
            <v>100</v>
          </cell>
          <cell r="N6518"/>
        </row>
        <row r="6519">
          <cell r="L6519">
            <v>100</v>
          </cell>
          <cell r="N6519"/>
        </row>
        <row r="6520">
          <cell r="L6520">
            <v>100</v>
          </cell>
          <cell r="N6520"/>
        </row>
        <row r="6521">
          <cell r="L6521">
            <v>100</v>
          </cell>
          <cell r="N6521"/>
        </row>
        <row r="6522">
          <cell r="L6522">
            <v>100</v>
          </cell>
          <cell r="N6522"/>
        </row>
        <row r="6523">
          <cell r="L6523">
            <v>100</v>
          </cell>
          <cell r="N6523"/>
        </row>
        <row r="6524">
          <cell r="L6524">
            <v>100</v>
          </cell>
          <cell r="N6524"/>
        </row>
        <row r="6525">
          <cell r="L6525">
            <v>100</v>
          </cell>
          <cell r="N6525"/>
        </row>
        <row r="6526">
          <cell r="L6526">
            <v>100</v>
          </cell>
          <cell r="N6526"/>
        </row>
        <row r="6527">
          <cell r="L6527">
            <v>100</v>
          </cell>
          <cell r="N6527"/>
        </row>
        <row r="6528">
          <cell r="L6528">
            <v>100</v>
          </cell>
          <cell r="N6528"/>
        </row>
        <row r="6529">
          <cell r="L6529">
            <v>100</v>
          </cell>
          <cell r="N6529"/>
        </row>
        <row r="6530">
          <cell r="L6530">
            <v>100</v>
          </cell>
          <cell r="N6530"/>
        </row>
        <row r="6531">
          <cell r="L6531">
            <v>100</v>
          </cell>
          <cell r="N6531"/>
        </row>
        <row r="6532">
          <cell r="L6532">
            <v>100</v>
          </cell>
          <cell r="N6532"/>
        </row>
        <row r="6533">
          <cell r="L6533">
            <v>100</v>
          </cell>
          <cell r="N6533"/>
        </row>
        <row r="6534">
          <cell r="L6534">
            <v>100</v>
          </cell>
          <cell r="N6534"/>
        </row>
        <row r="6535">
          <cell r="L6535">
            <v>100</v>
          </cell>
          <cell r="N6535"/>
        </row>
        <row r="6536">
          <cell r="L6536">
            <v>100</v>
          </cell>
          <cell r="N6536"/>
        </row>
        <row r="6537">
          <cell r="L6537">
            <v>100</v>
          </cell>
          <cell r="N6537"/>
        </row>
        <row r="6538">
          <cell r="L6538">
            <v>100</v>
          </cell>
          <cell r="N6538">
            <v>45016</v>
          </cell>
        </row>
        <row r="6539">
          <cell r="L6539">
            <v>100</v>
          </cell>
          <cell r="N6539"/>
        </row>
        <row r="6540">
          <cell r="L6540">
            <v>100</v>
          </cell>
          <cell r="N6540">
            <v>45016</v>
          </cell>
        </row>
        <row r="6541">
          <cell r="L6541">
            <v>100</v>
          </cell>
          <cell r="N6541">
            <v>45016</v>
          </cell>
        </row>
        <row r="6542">
          <cell r="L6542">
            <v>100</v>
          </cell>
          <cell r="N6542">
            <v>45016</v>
          </cell>
        </row>
        <row r="6543">
          <cell r="L6543">
            <v>100</v>
          </cell>
          <cell r="N6543"/>
        </row>
        <row r="6544">
          <cell r="L6544">
            <v>100</v>
          </cell>
          <cell r="N6544"/>
        </row>
        <row r="6545">
          <cell r="L6545">
            <v>100</v>
          </cell>
          <cell r="N6545"/>
        </row>
        <row r="6546">
          <cell r="L6546">
            <v>100</v>
          </cell>
          <cell r="N6546">
            <v>45016</v>
          </cell>
        </row>
        <row r="6547">
          <cell r="L6547">
            <v>100</v>
          </cell>
          <cell r="N6547">
            <v>45016</v>
          </cell>
        </row>
        <row r="6548">
          <cell r="L6548">
            <v>100</v>
          </cell>
          <cell r="N6548">
            <v>45014</v>
          </cell>
        </row>
        <row r="6549">
          <cell r="L6549">
            <v>100</v>
          </cell>
          <cell r="N6549"/>
        </row>
        <row r="6550">
          <cell r="L6550">
            <v>100</v>
          </cell>
          <cell r="N6550"/>
        </row>
        <row r="6551">
          <cell r="L6551">
            <v>100</v>
          </cell>
          <cell r="N6551">
            <v>45014</v>
          </cell>
        </row>
        <row r="6552">
          <cell r="L6552">
            <v>100</v>
          </cell>
          <cell r="N6552">
            <v>45014</v>
          </cell>
        </row>
        <row r="6553">
          <cell r="L6553">
            <v>100</v>
          </cell>
          <cell r="N6553">
            <v>45014</v>
          </cell>
        </row>
        <row r="6554">
          <cell r="L6554">
            <v>100</v>
          </cell>
          <cell r="N6554">
            <v>45014</v>
          </cell>
        </row>
        <row r="6555">
          <cell r="L6555">
            <v>100</v>
          </cell>
          <cell r="N6555">
            <v>45008</v>
          </cell>
        </row>
        <row r="6556">
          <cell r="L6556">
            <v>100</v>
          </cell>
          <cell r="N6556">
            <v>45016</v>
          </cell>
        </row>
        <row r="6557">
          <cell r="L6557">
            <v>100</v>
          </cell>
          <cell r="N6557">
            <v>45016</v>
          </cell>
        </row>
        <row r="6558">
          <cell r="L6558">
            <v>100</v>
          </cell>
          <cell r="N6558">
            <v>45016</v>
          </cell>
        </row>
        <row r="6559">
          <cell r="L6559">
            <v>100</v>
          </cell>
          <cell r="N6559">
            <v>45016</v>
          </cell>
        </row>
        <row r="6560">
          <cell r="L6560">
            <v>100</v>
          </cell>
          <cell r="N6560">
            <v>45016</v>
          </cell>
        </row>
        <row r="6561">
          <cell r="L6561">
            <v>100</v>
          </cell>
          <cell r="N6561">
            <v>45016</v>
          </cell>
        </row>
        <row r="6562">
          <cell r="L6562">
            <v>100</v>
          </cell>
          <cell r="N6562">
            <v>45016</v>
          </cell>
        </row>
        <row r="6563">
          <cell r="L6563">
            <v>100</v>
          </cell>
          <cell r="N6563">
            <v>45014</v>
          </cell>
        </row>
        <row r="6564">
          <cell r="L6564">
            <v>100</v>
          </cell>
          <cell r="N6564">
            <v>45014</v>
          </cell>
        </row>
        <row r="6565">
          <cell r="L6565">
            <v>100</v>
          </cell>
          <cell r="N6565">
            <v>45014</v>
          </cell>
        </row>
        <row r="6566">
          <cell r="L6566">
            <v>100</v>
          </cell>
          <cell r="N6566">
            <v>45014</v>
          </cell>
        </row>
        <row r="6567">
          <cell r="L6567">
            <v>100</v>
          </cell>
          <cell r="N6567">
            <v>45014</v>
          </cell>
        </row>
        <row r="6568">
          <cell r="L6568">
            <v>100</v>
          </cell>
          <cell r="N6568">
            <v>45014</v>
          </cell>
        </row>
        <row r="6569">
          <cell r="L6569">
            <v>100</v>
          </cell>
          <cell r="N6569">
            <v>45014</v>
          </cell>
        </row>
        <row r="6570">
          <cell r="L6570">
            <v>100</v>
          </cell>
          <cell r="N6570">
            <v>45014</v>
          </cell>
        </row>
        <row r="6571">
          <cell r="L6571">
            <v>100</v>
          </cell>
          <cell r="N6571">
            <v>45014</v>
          </cell>
        </row>
        <row r="6572">
          <cell r="L6572">
            <v>100</v>
          </cell>
          <cell r="N6572">
            <v>45014</v>
          </cell>
        </row>
        <row r="6573">
          <cell r="L6573">
            <v>100</v>
          </cell>
          <cell r="N6573">
            <v>45014</v>
          </cell>
        </row>
        <row r="6574">
          <cell r="L6574">
            <v>100</v>
          </cell>
          <cell r="N6574">
            <v>45014</v>
          </cell>
        </row>
        <row r="6575">
          <cell r="L6575">
            <v>100</v>
          </cell>
          <cell r="N6575">
            <v>45014</v>
          </cell>
        </row>
        <row r="6576">
          <cell r="L6576">
            <v>100</v>
          </cell>
          <cell r="N6576">
            <v>45014</v>
          </cell>
        </row>
        <row r="6577">
          <cell r="L6577">
            <v>100</v>
          </cell>
          <cell r="N6577">
            <v>45014</v>
          </cell>
        </row>
        <row r="6578">
          <cell r="L6578">
            <v>100</v>
          </cell>
          <cell r="N6578">
            <v>45014</v>
          </cell>
        </row>
        <row r="6579">
          <cell r="L6579">
            <v>100</v>
          </cell>
          <cell r="N6579">
            <v>45014</v>
          </cell>
        </row>
        <row r="6580">
          <cell r="L6580">
            <v>100</v>
          </cell>
          <cell r="N6580">
            <v>45014</v>
          </cell>
        </row>
        <row r="6581">
          <cell r="L6581">
            <v>100</v>
          </cell>
          <cell r="N6581">
            <v>45014</v>
          </cell>
        </row>
        <row r="6582">
          <cell r="L6582">
            <v>100</v>
          </cell>
          <cell r="N6582">
            <v>45014</v>
          </cell>
        </row>
        <row r="6583">
          <cell r="L6583">
            <v>100</v>
          </cell>
          <cell r="N6583">
            <v>45014</v>
          </cell>
        </row>
        <row r="6584">
          <cell r="L6584">
            <v>100</v>
          </cell>
          <cell r="N6584">
            <v>45014</v>
          </cell>
        </row>
        <row r="6585">
          <cell r="L6585">
            <v>100</v>
          </cell>
          <cell r="N6585">
            <v>45014</v>
          </cell>
        </row>
        <row r="6586">
          <cell r="L6586">
            <v>100</v>
          </cell>
          <cell r="N6586">
            <v>45014</v>
          </cell>
        </row>
        <row r="6587">
          <cell r="L6587">
            <v>100</v>
          </cell>
          <cell r="N6587">
            <v>45014</v>
          </cell>
        </row>
        <row r="6588">
          <cell r="L6588">
            <v>100</v>
          </cell>
          <cell r="N6588">
            <v>45014</v>
          </cell>
        </row>
        <row r="6589">
          <cell r="L6589">
            <v>100</v>
          </cell>
          <cell r="N6589">
            <v>45014</v>
          </cell>
        </row>
        <row r="6590">
          <cell r="L6590">
            <v>100</v>
          </cell>
          <cell r="N6590">
            <v>45014</v>
          </cell>
        </row>
        <row r="6591">
          <cell r="L6591">
            <v>100</v>
          </cell>
          <cell r="N6591">
            <v>45014</v>
          </cell>
        </row>
        <row r="6592">
          <cell r="L6592">
            <v>100</v>
          </cell>
          <cell r="N6592">
            <v>45014</v>
          </cell>
        </row>
        <row r="6593">
          <cell r="L6593">
            <v>100</v>
          </cell>
          <cell r="N6593">
            <v>45014</v>
          </cell>
        </row>
        <row r="6594">
          <cell r="L6594">
            <v>100</v>
          </cell>
          <cell r="N6594">
            <v>45014</v>
          </cell>
        </row>
        <row r="6595">
          <cell r="L6595">
            <v>100</v>
          </cell>
          <cell r="N6595">
            <v>45008</v>
          </cell>
        </row>
        <row r="6596">
          <cell r="L6596">
            <v>100</v>
          </cell>
          <cell r="N6596">
            <v>45008</v>
          </cell>
        </row>
        <row r="6597">
          <cell r="L6597">
            <v>100</v>
          </cell>
          <cell r="N6597">
            <v>45008</v>
          </cell>
        </row>
        <row r="6598">
          <cell r="L6598">
            <v>100</v>
          </cell>
          <cell r="N6598">
            <v>45008</v>
          </cell>
        </row>
        <row r="6599">
          <cell r="L6599">
            <v>100</v>
          </cell>
          <cell r="N6599">
            <v>45008</v>
          </cell>
        </row>
        <row r="6600">
          <cell r="L6600">
            <v>100</v>
          </cell>
          <cell r="N6600">
            <v>45008</v>
          </cell>
        </row>
        <row r="6601">
          <cell r="L6601">
            <v>100</v>
          </cell>
          <cell r="N6601">
            <v>45008</v>
          </cell>
        </row>
        <row r="6602">
          <cell r="L6602">
            <v>100</v>
          </cell>
          <cell r="N6602">
            <v>45008</v>
          </cell>
        </row>
        <row r="6603">
          <cell r="L6603">
            <v>100</v>
          </cell>
          <cell r="N6603">
            <v>45008</v>
          </cell>
        </row>
        <row r="6604">
          <cell r="L6604">
            <v>100</v>
          </cell>
          <cell r="N6604">
            <v>45014</v>
          </cell>
        </row>
        <row r="6605">
          <cell r="L6605">
            <v>100</v>
          </cell>
          <cell r="N6605">
            <v>45014</v>
          </cell>
        </row>
        <row r="6606">
          <cell r="L6606">
            <v>100</v>
          </cell>
          <cell r="N6606">
            <v>45014</v>
          </cell>
        </row>
        <row r="6607">
          <cell r="L6607">
            <v>100</v>
          </cell>
          <cell r="N6607">
            <v>45014</v>
          </cell>
        </row>
        <row r="6608">
          <cell r="L6608">
            <v>100</v>
          </cell>
          <cell r="N6608">
            <v>45016</v>
          </cell>
        </row>
        <row r="6609">
          <cell r="L6609">
            <v>100</v>
          </cell>
          <cell r="N6609">
            <v>45016</v>
          </cell>
        </row>
        <row r="6610">
          <cell r="L6610">
            <v>100</v>
          </cell>
          <cell r="N6610">
            <v>45008</v>
          </cell>
        </row>
        <row r="6611">
          <cell r="L6611">
            <v>100</v>
          </cell>
          <cell r="N6611">
            <v>45008</v>
          </cell>
        </row>
        <row r="6612">
          <cell r="L6612">
            <v>100</v>
          </cell>
          <cell r="N6612">
            <v>45008</v>
          </cell>
        </row>
        <row r="6613">
          <cell r="L6613">
            <v>100</v>
          </cell>
          <cell r="N6613">
            <v>45008</v>
          </cell>
        </row>
        <row r="6614">
          <cell r="L6614">
            <v>100</v>
          </cell>
          <cell r="N6614">
            <v>45008</v>
          </cell>
        </row>
        <row r="6615">
          <cell r="L6615">
            <v>100</v>
          </cell>
          <cell r="N6615">
            <v>45008</v>
          </cell>
        </row>
        <row r="6616">
          <cell r="L6616">
            <v>100</v>
          </cell>
          <cell r="N6616">
            <v>45008</v>
          </cell>
        </row>
        <row r="6617">
          <cell r="L6617">
            <v>100</v>
          </cell>
          <cell r="N6617">
            <v>45008</v>
          </cell>
        </row>
        <row r="6618">
          <cell r="L6618">
            <v>100</v>
          </cell>
          <cell r="N6618">
            <v>45008</v>
          </cell>
        </row>
        <row r="6619">
          <cell r="L6619">
            <v>100</v>
          </cell>
          <cell r="N6619">
            <v>45008</v>
          </cell>
        </row>
        <row r="6620">
          <cell r="L6620">
            <v>100</v>
          </cell>
          <cell r="N6620">
            <v>45008</v>
          </cell>
        </row>
        <row r="6621">
          <cell r="L6621">
            <v>100</v>
          </cell>
          <cell r="N6621">
            <v>45008</v>
          </cell>
        </row>
        <row r="6622">
          <cell r="L6622">
            <v>100</v>
          </cell>
          <cell r="N6622">
            <v>45008</v>
          </cell>
        </row>
        <row r="6623">
          <cell r="L6623">
            <v>100</v>
          </cell>
          <cell r="N6623">
            <v>45008</v>
          </cell>
        </row>
        <row r="6624">
          <cell r="L6624">
            <v>100</v>
          </cell>
          <cell r="N6624">
            <v>45008</v>
          </cell>
        </row>
        <row r="6625">
          <cell r="L6625">
            <v>100</v>
          </cell>
          <cell r="N6625">
            <v>45008</v>
          </cell>
        </row>
        <row r="6626">
          <cell r="L6626">
            <v>100</v>
          </cell>
          <cell r="N6626">
            <v>45016</v>
          </cell>
        </row>
        <row r="6627">
          <cell r="L6627">
            <v>100</v>
          </cell>
          <cell r="N6627">
            <v>45016</v>
          </cell>
        </row>
        <row r="6628">
          <cell r="L6628">
            <v>100</v>
          </cell>
          <cell r="N6628">
            <v>45016</v>
          </cell>
        </row>
        <row r="6629">
          <cell r="L6629">
            <v>100</v>
          </cell>
          <cell r="N6629">
            <v>45016</v>
          </cell>
        </row>
        <row r="6630">
          <cell r="L6630">
            <v>100</v>
          </cell>
          <cell r="N6630">
            <v>45016</v>
          </cell>
        </row>
        <row r="6631">
          <cell r="L6631">
            <v>100</v>
          </cell>
          <cell r="N6631">
            <v>45016</v>
          </cell>
        </row>
        <row r="6632">
          <cell r="L6632">
            <v>100</v>
          </cell>
          <cell r="N6632">
            <v>45016</v>
          </cell>
        </row>
        <row r="6633">
          <cell r="L6633">
            <v>100</v>
          </cell>
          <cell r="N6633">
            <v>45016</v>
          </cell>
        </row>
        <row r="6634">
          <cell r="L6634">
            <v>100</v>
          </cell>
          <cell r="N6634">
            <v>45016</v>
          </cell>
        </row>
        <row r="6635">
          <cell r="L6635">
            <v>100</v>
          </cell>
          <cell r="N6635">
            <v>45016</v>
          </cell>
        </row>
        <row r="6636">
          <cell r="L6636">
            <v>100</v>
          </cell>
          <cell r="N6636">
            <v>45016</v>
          </cell>
        </row>
        <row r="6637">
          <cell r="L6637">
            <v>100</v>
          </cell>
          <cell r="N6637">
            <v>45016</v>
          </cell>
        </row>
        <row r="6638">
          <cell r="L6638">
            <v>100</v>
          </cell>
          <cell r="N6638">
            <v>45016</v>
          </cell>
        </row>
        <row r="6639">
          <cell r="L6639">
            <v>100</v>
          </cell>
          <cell r="N6639">
            <v>45016</v>
          </cell>
        </row>
        <row r="6640">
          <cell r="L6640">
            <v>100</v>
          </cell>
          <cell r="N6640">
            <v>45016</v>
          </cell>
        </row>
        <row r="6641">
          <cell r="L6641">
            <v>100</v>
          </cell>
          <cell r="N6641">
            <v>45016</v>
          </cell>
        </row>
        <row r="6642">
          <cell r="L6642">
            <v>100</v>
          </cell>
          <cell r="N6642">
            <v>45016</v>
          </cell>
        </row>
        <row r="6643">
          <cell r="L6643">
            <v>100</v>
          </cell>
          <cell r="N6643">
            <v>45016</v>
          </cell>
        </row>
        <row r="6644">
          <cell r="L6644">
            <v>100</v>
          </cell>
          <cell r="N6644">
            <v>45016</v>
          </cell>
        </row>
        <row r="6645">
          <cell r="L6645">
            <v>100</v>
          </cell>
          <cell r="N6645">
            <v>45016</v>
          </cell>
        </row>
        <row r="6646">
          <cell r="L6646">
            <v>100</v>
          </cell>
          <cell r="N6646">
            <v>45016</v>
          </cell>
        </row>
        <row r="6647">
          <cell r="L6647">
            <v>100</v>
          </cell>
          <cell r="N6647">
            <v>45016</v>
          </cell>
        </row>
        <row r="6648">
          <cell r="L6648">
            <v>100</v>
          </cell>
          <cell r="N6648">
            <v>45016</v>
          </cell>
        </row>
        <row r="6649">
          <cell r="L6649">
            <v>100</v>
          </cell>
          <cell r="N6649">
            <v>45016</v>
          </cell>
        </row>
        <row r="6650">
          <cell r="L6650">
            <v>100</v>
          </cell>
          <cell r="N6650">
            <v>45016</v>
          </cell>
        </row>
        <row r="6651">
          <cell r="L6651">
            <v>100</v>
          </cell>
          <cell r="N6651">
            <v>45016</v>
          </cell>
        </row>
        <row r="6652">
          <cell r="L6652">
            <v>100</v>
          </cell>
          <cell r="N6652">
            <v>45016</v>
          </cell>
        </row>
        <row r="6653">
          <cell r="L6653">
            <v>100</v>
          </cell>
          <cell r="N6653">
            <v>45016</v>
          </cell>
        </row>
        <row r="6654">
          <cell r="L6654">
            <v>100</v>
          </cell>
          <cell r="N6654">
            <v>45016</v>
          </cell>
        </row>
        <row r="6655">
          <cell r="L6655">
            <v>100</v>
          </cell>
          <cell r="N6655">
            <v>45016</v>
          </cell>
        </row>
        <row r="6656">
          <cell r="L6656">
            <v>100</v>
          </cell>
          <cell r="N6656">
            <v>45016</v>
          </cell>
        </row>
        <row r="6657">
          <cell r="L6657">
            <v>100</v>
          </cell>
          <cell r="N6657">
            <v>45016</v>
          </cell>
        </row>
        <row r="6658">
          <cell r="L6658">
            <v>100</v>
          </cell>
          <cell r="N6658">
            <v>45016</v>
          </cell>
        </row>
        <row r="6659">
          <cell r="L6659">
            <v>100</v>
          </cell>
          <cell r="N6659">
            <v>45016</v>
          </cell>
        </row>
        <row r="6660">
          <cell r="L6660">
            <v>100</v>
          </cell>
          <cell r="N6660">
            <v>45016</v>
          </cell>
        </row>
        <row r="6661">
          <cell r="L6661">
            <v>100</v>
          </cell>
          <cell r="N6661">
            <v>45016</v>
          </cell>
        </row>
        <row r="6662">
          <cell r="L6662">
            <v>100</v>
          </cell>
          <cell r="N6662">
            <v>45016</v>
          </cell>
        </row>
        <row r="6663">
          <cell r="L6663">
            <v>100</v>
          </cell>
          <cell r="N6663">
            <v>45016</v>
          </cell>
        </row>
        <row r="6664">
          <cell r="L6664">
            <v>100</v>
          </cell>
          <cell r="N6664">
            <v>45016</v>
          </cell>
        </row>
        <row r="6665">
          <cell r="L6665">
            <v>100</v>
          </cell>
          <cell r="N6665">
            <v>45016</v>
          </cell>
        </row>
        <row r="6666">
          <cell r="L6666">
            <v>100</v>
          </cell>
          <cell r="N6666">
            <v>45016</v>
          </cell>
        </row>
        <row r="6667">
          <cell r="L6667">
            <v>100</v>
          </cell>
          <cell r="N6667">
            <v>45016</v>
          </cell>
        </row>
        <row r="6668">
          <cell r="L6668">
            <v>100</v>
          </cell>
          <cell r="N6668">
            <v>45016</v>
          </cell>
        </row>
        <row r="6669">
          <cell r="L6669">
            <v>100</v>
          </cell>
          <cell r="N6669">
            <v>45016</v>
          </cell>
        </row>
        <row r="6670">
          <cell r="L6670">
            <v>100</v>
          </cell>
          <cell r="N6670">
            <v>45016</v>
          </cell>
        </row>
        <row r="6671">
          <cell r="L6671">
            <v>100</v>
          </cell>
          <cell r="N6671">
            <v>45016</v>
          </cell>
        </row>
        <row r="6672">
          <cell r="L6672">
            <v>100</v>
          </cell>
          <cell r="N6672">
            <v>45016</v>
          </cell>
        </row>
        <row r="6673">
          <cell r="L6673">
            <v>100</v>
          </cell>
          <cell r="N6673">
            <v>45016</v>
          </cell>
        </row>
        <row r="6674">
          <cell r="L6674">
            <v>100</v>
          </cell>
          <cell r="N6674">
            <v>45016</v>
          </cell>
        </row>
        <row r="6675">
          <cell r="L6675">
            <v>100</v>
          </cell>
          <cell r="N6675">
            <v>45016</v>
          </cell>
        </row>
        <row r="6676">
          <cell r="L6676">
            <v>100</v>
          </cell>
          <cell r="N6676">
            <v>45016</v>
          </cell>
        </row>
        <row r="6677">
          <cell r="L6677">
            <v>100</v>
          </cell>
          <cell r="N6677">
            <v>45016</v>
          </cell>
        </row>
        <row r="6678">
          <cell r="L6678">
            <v>100</v>
          </cell>
          <cell r="N6678">
            <v>45016</v>
          </cell>
        </row>
        <row r="6679">
          <cell r="L6679">
            <v>100</v>
          </cell>
          <cell r="N6679">
            <v>45016</v>
          </cell>
        </row>
        <row r="6680">
          <cell r="L6680">
            <v>100</v>
          </cell>
          <cell r="N6680">
            <v>45016</v>
          </cell>
        </row>
        <row r="6681">
          <cell r="L6681">
            <v>100</v>
          </cell>
          <cell r="N6681">
            <v>45016</v>
          </cell>
        </row>
        <row r="6682">
          <cell r="L6682">
            <v>100</v>
          </cell>
          <cell r="N6682">
            <v>45016</v>
          </cell>
        </row>
        <row r="6683">
          <cell r="L6683">
            <v>100</v>
          </cell>
          <cell r="N6683">
            <v>45016</v>
          </cell>
        </row>
        <row r="6684">
          <cell r="L6684">
            <v>100</v>
          </cell>
          <cell r="N6684">
            <v>45016</v>
          </cell>
        </row>
        <row r="6685">
          <cell r="L6685">
            <v>100</v>
          </cell>
          <cell r="N6685">
            <v>45016</v>
          </cell>
        </row>
        <row r="6686">
          <cell r="L6686">
            <v>100</v>
          </cell>
          <cell r="N6686">
            <v>45016</v>
          </cell>
        </row>
        <row r="6687">
          <cell r="L6687">
            <v>100</v>
          </cell>
          <cell r="N6687">
            <v>45016</v>
          </cell>
        </row>
        <row r="6688">
          <cell r="L6688">
            <v>100</v>
          </cell>
          <cell r="N6688">
            <v>45016</v>
          </cell>
        </row>
        <row r="6689">
          <cell r="L6689">
            <v>100</v>
          </cell>
          <cell r="N6689">
            <v>45016</v>
          </cell>
        </row>
        <row r="6690">
          <cell r="L6690">
            <v>100</v>
          </cell>
          <cell r="N6690">
            <v>45016</v>
          </cell>
        </row>
        <row r="6691">
          <cell r="L6691">
            <v>100</v>
          </cell>
          <cell r="N6691">
            <v>45016</v>
          </cell>
        </row>
        <row r="6692">
          <cell r="L6692">
            <v>100</v>
          </cell>
          <cell r="N6692">
            <v>45016</v>
          </cell>
        </row>
        <row r="6693">
          <cell r="L6693">
            <v>100</v>
          </cell>
          <cell r="N6693">
            <v>45016</v>
          </cell>
        </row>
        <row r="6694">
          <cell r="L6694">
            <v>100</v>
          </cell>
          <cell r="N6694">
            <v>45016</v>
          </cell>
        </row>
        <row r="6695">
          <cell r="L6695">
            <v>100</v>
          </cell>
          <cell r="N6695">
            <v>45016</v>
          </cell>
        </row>
        <row r="6696">
          <cell r="L6696">
            <v>100</v>
          </cell>
          <cell r="N6696">
            <v>45016</v>
          </cell>
        </row>
        <row r="6697">
          <cell r="L6697">
            <v>100</v>
          </cell>
          <cell r="N6697">
            <v>45016</v>
          </cell>
        </row>
        <row r="6698">
          <cell r="L6698">
            <v>100</v>
          </cell>
          <cell r="N6698">
            <v>45016</v>
          </cell>
        </row>
        <row r="6699">
          <cell r="L6699">
            <v>100</v>
          </cell>
          <cell r="N6699">
            <v>45016</v>
          </cell>
        </row>
        <row r="6700">
          <cell r="L6700">
            <v>100</v>
          </cell>
          <cell r="N6700">
            <v>45016</v>
          </cell>
        </row>
        <row r="6701">
          <cell r="L6701">
            <v>100</v>
          </cell>
          <cell r="N6701">
            <v>45016</v>
          </cell>
        </row>
        <row r="6702">
          <cell r="L6702">
            <v>100</v>
          </cell>
          <cell r="N6702">
            <v>45016</v>
          </cell>
        </row>
        <row r="6703">
          <cell r="L6703">
            <v>100</v>
          </cell>
          <cell r="N6703">
            <v>45016</v>
          </cell>
        </row>
        <row r="6704">
          <cell r="L6704">
            <v>100</v>
          </cell>
          <cell r="N6704">
            <v>45016</v>
          </cell>
        </row>
        <row r="6705">
          <cell r="L6705">
            <v>100</v>
          </cell>
          <cell r="N6705">
            <v>45016</v>
          </cell>
        </row>
        <row r="6706">
          <cell r="L6706">
            <v>100</v>
          </cell>
          <cell r="N6706">
            <v>45016</v>
          </cell>
        </row>
        <row r="6707">
          <cell r="L6707">
            <v>100</v>
          </cell>
          <cell r="N6707">
            <v>45016</v>
          </cell>
        </row>
        <row r="6708">
          <cell r="L6708">
            <v>100</v>
          </cell>
          <cell r="N6708">
            <v>45016</v>
          </cell>
        </row>
        <row r="6709">
          <cell r="L6709">
            <v>100</v>
          </cell>
          <cell r="N6709">
            <v>45016</v>
          </cell>
        </row>
        <row r="6710">
          <cell r="L6710">
            <v>100</v>
          </cell>
          <cell r="N6710">
            <v>45016</v>
          </cell>
        </row>
        <row r="6711">
          <cell r="L6711">
            <v>100</v>
          </cell>
          <cell r="N6711">
            <v>45016</v>
          </cell>
        </row>
        <row r="6712">
          <cell r="L6712">
            <v>100</v>
          </cell>
          <cell r="N6712">
            <v>45016</v>
          </cell>
        </row>
        <row r="6713">
          <cell r="L6713">
            <v>100</v>
          </cell>
          <cell r="N6713">
            <v>45016</v>
          </cell>
        </row>
        <row r="6714">
          <cell r="L6714">
            <v>100</v>
          </cell>
          <cell r="N6714">
            <v>45016</v>
          </cell>
        </row>
        <row r="6715">
          <cell r="L6715">
            <v>100</v>
          </cell>
          <cell r="N6715">
            <v>45016</v>
          </cell>
        </row>
        <row r="6716">
          <cell r="L6716">
            <v>100</v>
          </cell>
          <cell r="N6716">
            <v>45016</v>
          </cell>
        </row>
        <row r="6717">
          <cell r="L6717">
            <v>100</v>
          </cell>
          <cell r="N6717">
            <v>45016</v>
          </cell>
        </row>
        <row r="6718">
          <cell r="L6718">
            <v>100</v>
          </cell>
          <cell r="N6718">
            <v>45016</v>
          </cell>
        </row>
        <row r="6719">
          <cell r="L6719">
            <v>100</v>
          </cell>
          <cell r="N6719">
            <v>45016</v>
          </cell>
        </row>
        <row r="6720">
          <cell r="L6720">
            <v>100</v>
          </cell>
          <cell r="N6720">
            <v>45016</v>
          </cell>
        </row>
        <row r="6721">
          <cell r="L6721">
            <v>100</v>
          </cell>
          <cell r="N6721">
            <v>45016</v>
          </cell>
        </row>
        <row r="6722">
          <cell r="L6722">
            <v>100</v>
          </cell>
          <cell r="N6722">
            <v>45016</v>
          </cell>
        </row>
        <row r="6723">
          <cell r="L6723">
            <v>100</v>
          </cell>
          <cell r="N6723">
            <v>45016</v>
          </cell>
        </row>
        <row r="6724">
          <cell r="L6724">
            <v>100</v>
          </cell>
          <cell r="N6724">
            <v>45016</v>
          </cell>
        </row>
        <row r="6725">
          <cell r="L6725">
            <v>100</v>
          </cell>
          <cell r="N6725">
            <v>45016</v>
          </cell>
        </row>
        <row r="6726">
          <cell r="L6726">
            <v>100</v>
          </cell>
          <cell r="N6726">
            <v>45016</v>
          </cell>
        </row>
        <row r="6727">
          <cell r="L6727">
            <v>100</v>
          </cell>
          <cell r="N6727">
            <v>45016</v>
          </cell>
        </row>
        <row r="6728">
          <cell r="L6728">
            <v>100</v>
          </cell>
          <cell r="N6728">
            <v>45014</v>
          </cell>
        </row>
        <row r="6729">
          <cell r="L6729">
            <v>100</v>
          </cell>
          <cell r="N6729">
            <v>45016</v>
          </cell>
        </row>
        <row r="6730">
          <cell r="L6730">
            <v>100</v>
          </cell>
          <cell r="N6730">
            <v>45016</v>
          </cell>
        </row>
        <row r="6731">
          <cell r="L6731">
            <v>100</v>
          </cell>
          <cell r="N6731">
            <v>45016</v>
          </cell>
        </row>
        <row r="6732">
          <cell r="L6732">
            <v>100</v>
          </cell>
          <cell r="N6732">
            <v>44956</v>
          </cell>
        </row>
        <row r="6733">
          <cell r="L6733">
            <v>100</v>
          </cell>
          <cell r="N6733">
            <v>44956</v>
          </cell>
        </row>
        <row r="6734">
          <cell r="L6734">
            <v>100</v>
          </cell>
          <cell r="N6734">
            <v>44956</v>
          </cell>
        </row>
        <row r="6735">
          <cell r="L6735">
            <v>100</v>
          </cell>
          <cell r="N6735">
            <v>44956</v>
          </cell>
        </row>
        <row r="6736">
          <cell r="L6736">
            <v>100</v>
          </cell>
          <cell r="N6736">
            <v>44956</v>
          </cell>
        </row>
        <row r="6737">
          <cell r="L6737">
            <v>100</v>
          </cell>
          <cell r="N6737">
            <v>44956</v>
          </cell>
        </row>
        <row r="6738">
          <cell r="L6738">
            <v>100</v>
          </cell>
          <cell r="N6738">
            <v>44956</v>
          </cell>
        </row>
        <row r="6739">
          <cell r="L6739">
            <v>100</v>
          </cell>
          <cell r="N6739">
            <v>44956</v>
          </cell>
        </row>
        <row r="6740">
          <cell r="L6740">
            <v>100</v>
          </cell>
          <cell r="N6740">
            <v>44956</v>
          </cell>
        </row>
        <row r="6741">
          <cell r="L6741">
            <v>100</v>
          </cell>
          <cell r="N6741">
            <v>44956</v>
          </cell>
        </row>
        <row r="6742">
          <cell r="L6742">
            <v>100</v>
          </cell>
          <cell r="N6742">
            <v>44956</v>
          </cell>
        </row>
        <row r="6743">
          <cell r="L6743">
            <v>100</v>
          </cell>
          <cell r="N6743">
            <v>44956</v>
          </cell>
        </row>
        <row r="6744">
          <cell r="L6744">
            <v>100</v>
          </cell>
          <cell r="N6744">
            <v>45014</v>
          </cell>
        </row>
        <row r="6745">
          <cell r="L6745">
            <v>100</v>
          </cell>
          <cell r="N6745">
            <v>45014</v>
          </cell>
        </row>
        <row r="6746">
          <cell r="L6746">
            <v>100</v>
          </cell>
          <cell r="N6746">
            <v>45014</v>
          </cell>
        </row>
        <row r="6747">
          <cell r="L6747">
            <v>100</v>
          </cell>
          <cell r="N6747">
            <v>45014</v>
          </cell>
        </row>
        <row r="6748">
          <cell r="L6748">
            <v>100</v>
          </cell>
          <cell r="N6748">
            <v>45014</v>
          </cell>
        </row>
        <row r="6749">
          <cell r="L6749">
            <v>100</v>
          </cell>
          <cell r="N6749">
            <v>45014</v>
          </cell>
        </row>
        <row r="6750">
          <cell r="L6750">
            <v>100</v>
          </cell>
          <cell r="N6750">
            <v>45016</v>
          </cell>
        </row>
        <row r="6751">
          <cell r="L6751">
            <v>100</v>
          </cell>
          <cell r="N6751">
            <v>45014</v>
          </cell>
        </row>
        <row r="6752">
          <cell r="L6752">
            <v>100</v>
          </cell>
          <cell r="N6752">
            <v>45014</v>
          </cell>
        </row>
        <row r="6753">
          <cell r="L6753">
            <v>100</v>
          </cell>
          <cell r="N6753">
            <v>45014</v>
          </cell>
        </row>
        <row r="6754">
          <cell r="L6754">
            <v>100</v>
          </cell>
          <cell r="N6754">
            <v>45014</v>
          </cell>
        </row>
        <row r="6755">
          <cell r="L6755">
            <v>100</v>
          </cell>
          <cell r="N6755">
            <v>45014</v>
          </cell>
        </row>
        <row r="6756">
          <cell r="L6756">
            <v>100</v>
          </cell>
          <cell r="N6756">
            <v>45014</v>
          </cell>
        </row>
        <row r="6757">
          <cell r="L6757">
            <v>100</v>
          </cell>
          <cell r="N6757">
            <v>45014</v>
          </cell>
        </row>
        <row r="6758">
          <cell r="L6758">
            <v>100</v>
          </cell>
          <cell r="N6758">
            <v>45014</v>
          </cell>
        </row>
        <row r="6759">
          <cell r="L6759">
            <v>100</v>
          </cell>
          <cell r="N6759">
            <v>45014</v>
          </cell>
        </row>
        <row r="6760">
          <cell r="L6760">
            <v>100</v>
          </cell>
          <cell r="N6760">
            <v>45016</v>
          </cell>
        </row>
        <row r="6761">
          <cell r="L6761">
            <v>100</v>
          </cell>
          <cell r="N6761">
            <v>45016</v>
          </cell>
        </row>
        <row r="6762">
          <cell r="L6762">
            <v>100</v>
          </cell>
          <cell r="N6762">
            <v>45016</v>
          </cell>
        </row>
        <row r="6763">
          <cell r="L6763">
            <v>100</v>
          </cell>
          <cell r="N6763">
            <v>45016</v>
          </cell>
        </row>
        <row r="6764">
          <cell r="L6764">
            <v>100</v>
          </cell>
          <cell r="N6764">
            <v>45016</v>
          </cell>
        </row>
        <row r="6765">
          <cell r="L6765">
            <v>100</v>
          </cell>
          <cell r="N6765">
            <v>45016</v>
          </cell>
        </row>
        <row r="6766">
          <cell r="L6766">
            <v>100</v>
          </cell>
          <cell r="N6766">
            <v>45016</v>
          </cell>
        </row>
        <row r="6767">
          <cell r="L6767">
            <v>100</v>
          </cell>
          <cell r="N6767">
            <v>45016</v>
          </cell>
        </row>
        <row r="6768">
          <cell r="L6768">
            <v>100</v>
          </cell>
          <cell r="N6768">
            <v>45016</v>
          </cell>
        </row>
        <row r="6769">
          <cell r="L6769">
            <v>100</v>
          </cell>
          <cell r="N6769">
            <v>45016</v>
          </cell>
        </row>
        <row r="6770">
          <cell r="L6770">
            <v>100</v>
          </cell>
          <cell r="N6770">
            <v>45016</v>
          </cell>
        </row>
        <row r="6771">
          <cell r="L6771">
            <v>100</v>
          </cell>
          <cell r="N6771">
            <v>45016</v>
          </cell>
        </row>
        <row r="6772">
          <cell r="L6772">
            <v>100</v>
          </cell>
          <cell r="N6772">
            <v>45016</v>
          </cell>
        </row>
        <row r="6773">
          <cell r="L6773">
            <v>100</v>
          </cell>
          <cell r="N6773">
            <v>45016</v>
          </cell>
        </row>
        <row r="6774">
          <cell r="L6774">
            <v>100</v>
          </cell>
          <cell r="N6774">
            <v>45016</v>
          </cell>
        </row>
        <row r="6775">
          <cell r="L6775">
            <v>100</v>
          </cell>
          <cell r="N6775">
            <v>45016</v>
          </cell>
        </row>
        <row r="6776">
          <cell r="L6776">
            <v>100</v>
          </cell>
          <cell r="N6776">
            <v>45016</v>
          </cell>
        </row>
        <row r="6777">
          <cell r="L6777">
            <v>100</v>
          </cell>
          <cell r="N6777">
            <v>45016</v>
          </cell>
        </row>
        <row r="6778">
          <cell r="L6778">
            <v>100</v>
          </cell>
          <cell r="N6778">
            <v>45016</v>
          </cell>
        </row>
        <row r="6779">
          <cell r="L6779">
            <v>100</v>
          </cell>
          <cell r="N6779">
            <v>45016</v>
          </cell>
        </row>
        <row r="6780">
          <cell r="L6780">
            <v>100</v>
          </cell>
          <cell r="N6780">
            <v>45016</v>
          </cell>
        </row>
        <row r="6781">
          <cell r="L6781">
            <v>100</v>
          </cell>
          <cell r="N6781">
            <v>45016</v>
          </cell>
        </row>
        <row r="6782">
          <cell r="L6782">
            <v>100</v>
          </cell>
          <cell r="N6782">
            <v>45016</v>
          </cell>
        </row>
        <row r="6783">
          <cell r="L6783">
            <v>100</v>
          </cell>
          <cell r="N6783">
            <v>45016</v>
          </cell>
        </row>
        <row r="6784">
          <cell r="L6784">
            <v>100</v>
          </cell>
          <cell r="N6784">
            <v>45016</v>
          </cell>
        </row>
        <row r="6785">
          <cell r="L6785">
            <v>100</v>
          </cell>
          <cell r="N6785">
            <v>45016</v>
          </cell>
        </row>
        <row r="6786">
          <cell r="L6786">
            <v>100</v>
          </cell>
          <cell r="N6786">
            <v>45016</v>
          </cell>
        </row>
        <row r="6787">
          <cell r="L6787">
            <v>100</v>
          </cell>
          <cell r="N6787">
            <v>45014</v>
          </cell>
        </row>
        <row r="6788">
          <cell r="L6788">
            <v>100</v>
          </cell>
          <cell r="N6788">
            <v>45014</v>
          </cell>
        </row>
        <row r="6789">
          <cell r="L6789">
            <v>100</v>
          </cell>
          <cell r="N6789">
            <v>44812</v>
          </cell>
        </row>
        <row r="6790">
          <cell r="L6790">
            <v>100</v>
          </cell>
          <cell r="N6790">
            <v>44812</v>
          </cell>
        </row>
        <row r="6791">
          <cell r="L6791">
            <v>100</v>
          </cell>
          <cell r="N6791">
            <v>45014</v>
          </cell>
        </row>
        <row r="6792">
          <cell r="L6792">
            <v>100</v>
          </cell>
          <cell r="N6792">
            <v>45014</v>
          </cell>
        </row>
        <row r="6793">
          <cell r="L6793">
            <v>100</v>
          </cell>
          <cell r="N6793">
            <v>44812</v>
          </cell>
        </row>
        <row r="6794">
          <cell r="L6794">
            <v>100</v>
          </cell>
          <cell r="N6794">
            <v>44812</v>
          </cell>
        </row>
        <row r="6795">
          <cell r="L6795">
            <v>100</v>
          </cell>
          <cell r="N6795"/>
        </row>
        <row r="6796">
          <cell r="L6796">
            <v>100</v>
          </cell>
          <cell r="N6796">
            <v>45016</v>
          </cell>
        </row>
        <row r="6797">
          <cell r="L6797">
            <v>100</v>
          </cell>
          <cell r="N6797">
            <v>45016</v>
          </cell>
        </row>
        <row r="6798">
          <cell r="L6798">
            <v>100</v>
          </cell>
          <cell r="N6798">
            <v>45016</v>
          </cell>
        </row>
        <row r="6799">
          <cell r="L6799">
            <v>100</v>
          </cell>
          <cell r="N6799">
            <v>45016</v>
          </cell>
        </row>
        <row r="6800">
          <cell r="L6800">
            <v>100</v>
          </cell>
          <cell r="N6800">
            <v>45016</v>
          </cell>
        </row>
        <row r="6801">
          <cell r="L6801">
            <v>100</v>
          </cell>
          <cell r="N6801"/>
        </row>
        <row r="6802">
          <cell r="L6802">
            <v>100</v>
          </cell>
          <cell r="N6802"/>
        </row>
        <row r="6803">
          <cell r="L6803">
            <v>100</v>
          </cell>
          <cell r="N6803"/>
        </row>
        <row r="6804">
          <cell r="L6804">
            <v>100</v>
          </cell>
          <cell r="N6804">
            <v>44621</v>
          </cell>
        </row>
        <row r="6805">
          <cell r="L6805">
            <v>100</v>
          </cell>
          <cell r="N6805"/>
        </row>
        <row r="6806">
          <cell r="L6806">
            <v>100</v>
          </cell>
          <cell r="N6806"/>
        </row>
        <row r="6807">
          <cell r="L6807">
            <v>100</v>
          </cell>
          <cell r="N6807">
            <v>44621</v>
          </cell>
        </row>
        <row r="6808">
          <cell r="L6808">
            <v>100</v>
          </cell>
          <cell r="N6808">
            <v>44621</v>
          </cell>
        </row>
        <row r="6809">
          <cell r="L6809">
            <v>100</v>
          </cell>
          <cell r="N6809"/>
        </row>
        <row r="6810">
          <cell r="L6810">
            <v>100</v>
          </cell>
          <cell r="N6810">
            <v>44723</v>
          </cell>
        </row>
        <row r="6811">
          <cell r="L6811">
            <v>100</v>
          </cell>
          <cell r="N6811">
            <v>44723</v>
          </cell>
        </row>
        <row r="6812">
          <cell r="L6812">
            <v>100</v>
          </cell>
          <cell r="N6812">
            <v>44723</v>
          </cell>
        </row>
        <row r="6813">
          <cell r="L6813">
            <v>100</v>
          </cell>
          <cell r="N6813">
            <v>45014</v>
          </cell>
        </row>
        <row r="6814">
          <cell r="L6814">
            <v>100</v>
          </cell>
          <cell r="N6814">
            <v>45014</v>
          </cell>
        </row>
        <row r="6815">
          <cell r="L6815">
            <v>100</v>
          </cell>
          <cell r="N6815">
            <v>44771</v>
          </cell>
        </row>
        <row r="6816">
          <cell r="L6816">
            <v>100</v>
          </cell>
          <cell r="N6816">
            <v>44959</v>
          </cell>
        </row>
        <row r="6817">
          <cell r="L6817">
            <v>100</v>
          </cell>
          <cell r="N6817">
            <v>44959</v>
          </cell>
        </row>
        <row r="6818">
          <cell r="L6818">
            <v>100</v>
          </cell>
          <cell r="N6818">
            <v>44959</v>
          </cell>
        </row>
        <row r="6819">
          <cell r="L6819">
            <v>100</v>
          </cell>
          <cell r="N6819">
            <v>44959</v>
          </cell>
        </row>
        <row r="6820">
          <cell r="L6820">
            <v>100</v>
          </cell>
          <cell r="N6820">
            <v>44959</v>
          </cell>
        </row>
        <row r="6821">
          <cell r="L6821">
            <v>100</v>
          </cell>
          <cell r="N6821">
            <v>44959</v>
          </cell>
        </row>
        <row r="6822">
          <cell r="L6822">
            <v>100</v>
          </cell>
          <cell r="N6822">
            <v>45014</v>
          </cell>
        </row>
        <row r="6823">
          <cell r="L6823">
            <v>100</v>
          </cell>
          <cell r="N6823">
            <v>45012</v>
          </cell>
        </row>
        <row r="6824">
          <cell r="L6824">
            <v>100</v>
          </cell>
          <cell r="N6824">
            <v>45012</v>
          </cell>
        </row>
        <row r="6825">
          <cell r="L6825">
            <v>100</v>
          </cell>
          <cell r="N6825">
            <v>44956</v>
          </cell>
        </row>
        <row r="6826">
          <cell r="L6826">
            <v>100</v>
          </cell>
          <cell r="N6826">
            <v>44959</v>
          </cell>
        </row>
        <row r="6827">
          <cell r="L6827">
            <v>100</v>
          </cell>
          <cell r="N6827">
            <v>44959</v>
          </cell>
        </row>
        <row r="6828">
          <cell r="L6828">
            <v>100</v>
          </cell>
          <cell r="N6828">
            <v>44575</v>
          </cell>
        </row>
        <row r="6829">
          <cell r="L6829">
            <v>100</v>
          </cell>
          <cell r="N6829">
            <v>44575</v>
          </cell>
        </row>
        <row r="6830">
          <cell r="L6830">
            <v>100</v>
          </cell>
          <cell r="N6830">
            <v>44575</v>
          </cell>
        </row>
        <row r="6831">
          <cell r="L6831">
            <v>100</v>
          </cell>
          <cell r="N6831">
            <v>44575</v>
          </cell>
        </row>
        <row r="6832">
          <cell r="L6832">
            <v>100</v>
          </cell>
          <cell r="N6832">
            <v>44575</v>
          </cell>
        </row>
        <row r="6833">
          <cell r="L6833">
            <v>100</v>
          </cell>
          <cell r="N6833">
            <v>44566</v>
          </cell>
        </row>
        <row r="6834">
          <cell r="L6834">
            <v>100</v>
          </cell>
          <cell r="N6834">
            <v>44566</v>
          </cell>
        </row>
        <row r="6835">
          <cell r="L6835">
            <v>100</v>
          </cell>
          <cell r="N6835">
            <v>44558</v>
          </cell>
        </row>
        <row r="6836">
          <cell r="L6836">
            <v>100</v>
          </cell>
          <cell r="N6836">
            <v>44680</v>
          </cell>
        </row>
        <row r="6837">
          <cell r="L6837">
            <v>100</v>
          </cell>
          <cell r="N6837">
            <v>44680</v>
          </cell>
        </row>
        <row r="6838">
          <cell r="L6838">
            <v>100</v>
          </cell>
          <cell r="N6838">
            <v>44680</v>
          </cell>
        </row>
        <row r="6839">
          <cell r="L6839">
            <v>100</v>
          </cell>
          <cell r="N6839">
            <v>44680</v>
          </cell>
        </row>
        <row r="6840">
          <cell r="L6840">
            <v>100</v>
          </cell>
          <cell r="N6840">
            <v>44680</v>
          </cell>
        </row>
        <row r="6841">
          <cell r="L6841">
            <v>100</v>
          </cell>
          <cell r="N6841">
            <v>44680</v>
          </cell>
        </row>
        <row r="6842">
          <cell r="L6842">
            <v>100</v>
          </cell>
          <cell r="N6842">
            <v>44680</v>
          </cell>
        </row>
        <row r="6843">
          <cell r="L6843">
            <v>100</v>
          </cell>
          <cell r="N6843"/>
        </row>
        <row r="6844">
          <cell r="L6844">
            <v>100</v>
          </cell>
          <cell r="N6844">
            <v>44959</v>
          </cell>
        </row>
        <row r="6845">
          <cell r="L6845">
            <v>100</v>
          </cell>
          <cell r="N6845">
            <v>44959</v>
          </cell>
        </row>
        <row r="6846">
          <cell r="L6846">
            <v>100</v>
          </cell>
          <cell r="N6846">
            <v>44959</v>
          </cell>
        </row>
        <row r="6847">
          <cell r="L6847">
            <v>100</v>
          </cell>
          <cell r="N6847">
            <v>44959</v>
          </cell>
        </row>
        <row r="6848">
          <cell r="L6848">
            <v>100</v>
          </cell>
          <cell r="N6848">
            <v>44959</v>
          </cell>
        </row>
        <row r="6849">
          <cell r="L6849">
            <v>100</v>
          </cell>
          <cell r="N6849">
            <v>44959</v>
          </cell>
        </row>
        <row r="6850">
          <cell r="L6850">
            <v>100</v>
          </cell>
          <cell r="N6850">
            <v>44621</v>
          </cell>
        </row>
        <row r="6851">
          <cell r="L6851">
            <v>100</v>
          </cell>
          <cell r="N6851"/>
        </row>
        <row r="6852">
          <cell r="L6852">
            <v>100</v>
          </cell>
          <cell r="N6852"/>
        </row>
        <row r="6853">
          <cell r="L6853">
            <v>100</v>
          </cell>
          <cell r="N6853"/>
        </row>
        <row r="6854">
          <cell r="L6854">
            <v>100</v>
          </cell>
          <cell r="N6854"/>
        </row>
        <row r="6855">
          <cell r="L6855">
            <v>100</v>
          </cell>
          <cell r="N6855"/>
        </row>
        <row r="6856">
          <cell r="L6856">
            <v>100</v>
          </cell>
          <cell r="N6856"/>
        </row>
        <row r="6857">
          <cell r="L6857">
            <v>100</v>
          </cell>
          <cell r="N6857"/>
        </row>
        <row r="6858">
          <cell r="L6858">
            <v>100</v>
          </cell>
          <cell r="N6858"/>
        </row>
        <row r="6859">
          <cell r="L6859">
            <v>100</v>
          </cell>
          <cell r="N6859"/>
        </row>
        <row r="6860">
          <cell r="L6860">
            <v>100</v>
          </cell>
          <cell r="N6860">
            <v>44959</v>
          </cell>
        </row>
        <row r="6861">
          <cell r="L6861">
            <v>100</v>
          </cell>
          <cell r="N6861">
            <v>44959</v>
          </cell>
        </row>
        <row r="6862">
          <cell r="L6862">
            <v>100</v>
          </cell>
          <cell r="N6862">
            <v>44566</v>
          </cell>
        </row>
        <row r="6863">
          <cell r="L6863">
            <v>100</v>
          </cell>
          <cell r="N6863">
            <v>44566</v>
          </cell>
        </row>
        <row r="6864">
          <cell r="L6864">
            <v>100</v>
          </cell>
          <cell r="N6864">
            <v>44566</v>
          </cell>
        </row>
        <row r="6865">
          <cell r="L6865">
            <v>100</v>
          </cell>
          <cell r="N6865">
            <v>44571</v>
          </cell>
        </row>
        <row r="6866">
          <cell r="L6866">
            <v>100</v>
          </cell>
          <cell r="N6866">
            <v>44571</v>
          </cell>
        </row>
        <row r="6867">
          <cell r="L6867">
            <v>100</v>
          </cell>
          <cell r="N6867">
            <v>44583</v>
          </cell>
        </row>
        <row r="6868">
          <cell r="L6868">
            <v>100</v>
          </cell>
          <cell r="N6868">
            <v>44576</v>
          </cell>
        </row>
        <row r="6869">
          <cell r="L6869">
            <v>100</v>
          </cell>
          <cell r="N6869">
            <v>44576</v>
          </cell>
        </row>
        <row r="6870">
          <cell r="L6870">
            <v>100</v>
          </cell>
          <cell r="N6870">
            <v>44576</v>
          </cell>
        </row>
        <row r="6871">
          <cell r="L6871">
            <v>100</v>
          </cell>
          <cell r="N6871"/>
        </row>
        <row r="6872">
          <cell r="L6872">
            <v>100</v>
          </cell>
          <cell r="N6872">
            <v>45008</v>
          </cell>
        </row>
        <row r="6873">
          <cell r="L6873">
            <v>100</v>
          </cell>
          <cell r="N6873">
            <v>45008</v>
          </cell>
        </row>
        <row r="6874">
          <cell r="L6874">
            <v>100</v>
          </cell>
          <cell r="N6874">
            <v>45008</v>
          </cell>
        </row>
        <row r="6875">
          <cell r="L6875">
            <v>100</v>
          </cell>
          <cell r="N6875">
            <v>45008</v>
          </cell>
        </row>
        <row r="6876">
          <cell r="L6876">
            <v>100</v>
          </cell>
          <cell r="N6876">
            <v>45016</v>
          </cell>
        </row>
        <row r="6877">
          <cell r="L6877">
            <v>100</v>
          </cell>
          <cell r="N6877">
            <v>45016</v>
          </cell>
        </row>
        <row r="6878">
          <cell r="L6878">
            <v>100</v>
          </cell>
          <cell r="N6878">
            <v>45016</v>
          </cell>
        </row>
        <row r="6879">
          <cell r="L6879">
            <v>100</v>
          </cell>
          <cell r="N6879">
            <v>45016</v>
          </cell>
        </row>
        <row r="6880">
          <cell r="L6880">
            <v>100</v>
          </cell>
          <cell r="N6880">
            <v>45016</v>
          </cell>
        </row>
        <row r="6881">
          <cell r="L6881">
            <v>100</v>
          </cell>
          <cell r="N6881">
            <v>45016</v>
          </cell>
        </row>
        <row r="6882">
          <cell r="L6882">
            <v>100</v>
          </cell>
          <cell r="N6882">
            <v>45016</v>
          </cell>
        </row>
        <row r="6883">
          <cell r="L6883">
            <v>100</v>
          </cell>
          <cell r="N6883">
            <v>45016</v>
          </cell>
        </row>
        <row r="6884">
          <cell r="L6884">
            <v>100</v>
          </cell>
          <cell r="N6884">
            <v>45016</v>
          </cell>
        </row>
        <row r="6885">
          <cell r="L6885">
            <v>100</v>
          </cell>
          <cell r="N6885">
            <v>45016</v>
          </cell>
        </row>
        <row r="6886">
          <cell r="L6886">
            <v>100</v>
          </cell>
          <cell r="N6886">
            <v>45016</v>
          </cell>
        </row>
        <row r="6887">
          <cell r="L6887">
            <v>100</v>
          </cell>
          <cell r="N6887">
            <v>45016</v>
          </cell>
        </row>
        <row r="6888">
          <cell r="L6888">
            <v>100</v>
          </cell>
          <cell r="N6888">
            <v>45016</v>
          </cell>
        </row>
        <row r="6889">
          <cell r="L6889">
            <v>100</v>
          </cell>
          <cell r="N6889">
            <v>45016</v>
          </cell>
        </row>
        <row r="6890">
          <cell r="L6890">
            <v>100</v>
          </cell>
          <cell r="N6890">
            <v>45016</v>
          </cell>
        </row>
        <row r="6891">
          <cell r="L6891">
            <v>100</v>
          </cell>
          <cell r="N6891">
            <v>45016</v>
          </cell>
        </row>
        <row r="6892">
          <cell r="L6892">
            <v>100</v>
          </cell>
          <cell r="N6892">
            <v>45016</v>
          </cell>
        </row>
        <row r="6893">
          <cell r="L6893">
            <v>100</v>
          </cell>
          <cell r="N6893">
            <v>45016</v>
          </cell>
        </row>
        <row r="6894">
          <cell r="L6894">
            <v>100</v>
          </cell>
          <cell r="N6894">
            <v>45016</v>
          </cell>
        </row>
        <row r="6895">
          <cell r="L6895">
            <v>100</v>
          </cell>
          <cell r="N6895"/>
        </row>
        <row r="6896">
          <cell r="L6896">
            <v>100</v>
          </cell>
          <cell r="N6896"/>
        </row>
        <row r="6897">
          <cell r="L6897">
            <v>100</v>
          </cell>
          <cell r="N6897">
            <v>45016</v>
          </cell>
        </row>
        <row r="6898">
          <cell r="L6898">
            <v>100</v>
          </cell>
          <cell r="N6898">
            <v>45016</v>
          </cell>
        </row>
        <row r="6899">
          <cell r="L6899">
            <v>100</v>
          </cell>
          <cell r="N6899">
            <v>45016</v>
          </cell>
        </row>
        <row r="6900">
          <cell r="L6900">
            <v>100</v>
          </cell>
          <cell r="N6900">
            <v>45016</v>
          </cell>
        </row>
        <row r="6901">
          <cell r="L6901">
            <v>100</v>
          </cell>
          <cell r="N6901">
            <v>45016</v>
          </cell>
        </row>
        <row r="6902">
          <cell r="L6902">
            <v>100</v>
          </cell>
          <cell r="N6902">
            <v>44831</v>
          </cell>
        </row>
        <row r="6903">
          <cell r="L6903">
            <v>100</v>
          </cell>
          <cell r="N6903">
            <v>44831</v>
          </cell>
        </row>
        <row r="6904">
          <cell r="L6904">
            <v>100</v>
          </cell>
          <cell r="N6904">
            <v>44831</v>
          </cell>
        </row>
        <row r="6905">
          <cell r="L6905">
            <v>100</v>
          </cell>
          <cell r="N6905">
            <v>44831</v>
          </cell>
        </row>
        <row r="6906">
          <cell r="L6906">
            <v>100</v>
          </cell>
          <cell r="N6906">
            <v>44831</v>
          </cell>
        </row>
        <row r="6907">
          <cell r="L6907">
            <v>100</v>
          </cell>
          <cell r="N6907">
            <v>45016</v>
          </cell>
        </row>
        <row r="6908">
          <cell r="L6908">
            <v>100</v>
          </cell>
          <cell r="N6908">
            <v>45016</v>
          </cell>
        </row>
        <row r="6909">
          <cell r="L6909">
            <v>100</v>
          </cell>
          <cell r="N6909">
            <v>45016</v>
          </cell>
        </row>
        <row r="6910">
          <cell r="L6910">
            <v>100</v>
          </cell>
          <cell r="N6910">
            <v>45016</v>
          </cell>
        </row>
        <row r="6911">
          <cell r="L6911">
            <v>100</v>
          </cell>
          <cell r="N6911">
            <v>45008</v>
          </cell>
        </row>
        <row r="6912">
          <cell r="L6912">
            <v>100</v>
          </cell>
          <cell r="N6912">
            <v>45016</v>
          </cell>
        </row>
        <row r="6913">
          <cell r="L6913">
            <v>100</v>
          </cell>
          <cell r="N6913">
            <v>45016</v>
          </cell>
        </row>
        <row r="6914">
          <cell r="L6914">
            <v>100</v>
          </cell>
          <cell r="N6914">
            <v>45016</v>
          </cell>
        </row>
        <row r="6915">
          <cell r="L6915">
            <v>100</v>
          </cell>
          <cell r="N6915">
            <v>45016</v>
          </cell>
        </row>
        <row r="6916">
          <cell r="L6916">
            <v>100</v>
          </cell>
          <cell r="N6916">
            <v>45016</v>
          </cell>
        </row>
        <row r="6917">
          <cell r="L6917">
            <v>100</v>
          </cell>
          <cell r="N6917">
            <v>45016</v>
          </cell>
        </row>
        <row r="6918">
          <cell r="L6918">
            <v>100</v>
          </cell>
          <cell r="N6918">
            <v>45008</v>
          </cell>
        </row>
        <row r="6919">
          <cell r="L6919">
            <v>100</v>
          </cell>
          <cell r="N6919">
            <v>45008</v>
          </cell>
        </row>
        <row r="6920">
          <cell r="L6920">
            <v>100</v>
          </cell>
          <cell r="N6920">
            <v>45008</v>
          </cell>
        </row>
        <row r="6921">
          <cell r="L6921">
            <v>100</v>
          </cell>
          <cell r="N6921">
            <v>45008</v>
          </cell>
        </row>
        <row r="6922">
          <cell r="L6922">
            <v>100</v>
          </cell>
          <cell r="N6922">
            <v>45016</v>
          </cell>
        </row>
        <row r="6923">
          <cell r="L6923">
            <v>100</v>
          </cell>
          <cell r="N6923">
            <v>45008</v>
          </cell>
        </row>
        <row r="6924">
          <cell r="L6924">
            <v>100</v>
          </cell>
          <cell r="N6924">
            <v>45008</v>
          </cell>
        </row>
        <row r="6925">
          <cell r="L6925">
            <v>100</v>
          </cell>
          <cell r="N6925">
            <v>45008</v>
          </cell>
        </row>
        <row r="6926">
          <cell r="L6926">
            <v>100</v>
          </cell>
          <cell r="N6926">
            <v>45008</v>
          </cell>
        </row>
        <row r="6927">
          <cell r="L6927">
            <v>100</v>
          </cell>
          <cell r="N6927">
            <v>45008</v>
          </cell>
        </row>
        <row r="6928">
          <cell r="L6928">
            <v>100</v>
          </cell>
          <cell r="N6928">
            <v>45008</v>
          </cell>
        </row>
        <row r="6929">
          <cell r="L6929">
            <v>100</v>
          </cell>
          <cell r="N6929">
            <v>45008</v>
          </cell>
        </row>
        <row r="6930">
          <cell r="L6930">
            <v>100</v>
          </cell>
          <cell r="N6930">
            <v>45008</v>
          </cell>
        </row>
        <row r="6931">
          <cell r="L6931">
            <v>100</v>
          </cell>
          <cell r="N6931">
            <v>45014</v>
          </cell>
        </row>
        <row r="6932">
          <cell r="L6932">
            <v>100</v>
          </cell>
          <cell r="N6932">
            <v>45008</v>
          </cell>
        </row>
        <row r="6933">
          <cell r="L6933">
            <v>100</v>
          </cell>
          <cell r="N6933">
            <v>45008</v>
          </cell>
        </row>
        <row r="6934">
          <cell r="L6934">
            <v>100</v>
          </cell>
          <cell r="N6934">
            <v>45016</v>
          </cell>
        </row>
        <row r="6935">
          <cell r="L6935">
            <v>100</v>
          </cell>
          <cell r="N6935">
            <v>45016</v>
          </cell>
        </row>
        <row r="6936">
          <cell r="L6936">
            <v>100</v>
          </cell>
          <cell r="N6936">
            <v>45008</v>
          </cell>
        </row>
        <row r="6937">
          <cell r="L6937">
            <v>100</v>
          </cell>
          <cell r="N6937">
            <v>45008</v>
          </cell>
        </row>
        <row r="6938">
          <cell r="L6938">
            <v>100</v>
          </cell>
          <cell r="N6938">
            <v>45014</v>
          </cell>
        </row>
        <row r="6939">
          <cell r="L6939">
            <v>100</v>
          </cell>
          <cell r="N6939">
            <v>45016</v>
          </cell>
        </row>
        <row r="6940">
          <cell r="L6940">
            <v>100</v>
          </cell>
          <cell r="N6940"/>
        </row>
        <row r="6941">
          <cell r="L6941">
            <v>100</v>
          </cell>
          <cell r="N6941"/>
        </row>
        <row r="6942">
          <cell r="L6942">
            <v>100</v>
          </cell>
          <cell r="N6942"/>
        </row>
        <row r="6943">
          <cell r="L6943">
            <v>100</v>
          </cell>
          <cell r="N6943"/>
        </row>
        <row r="6944">
          <cell r="L6944">
            <v>100</v>
          </cell>
          <cell r="N6944"/>
        </row>
        <row r="6945">
          <cell r="L6945">
            <v>100</v>
          </cell>
          <cell r="N6945"/>
        </row>
        <row r="6946">
          <cell r="L6946">
            <v>100</v>
          </cell>
          <cell r="N6946"/>
        </row>
        <row r="6947">
          <cell r="L6947">
            <v>100</v>
          </cell>
          <cell r="N6947">
            <v>45014</v>
          </cell>
        </row>
        <row r="6948">
          <cell r="L6948">
            <v>100</v>
          </cell>
          <cell r="N6948">
            <v>45014</v>
          </cell>
        </row>
        <row r="6949">
          <cell r="L6949">
            <v>100</v>
          </cell>
          <cell r="N6949">
            <v>45014</v>
          </cell>
        </row>
        <row r="6950">
          <cell r="L6950">
            <v>100</v>
          </cell>
          <cell r="N6950">
            <v>45014</v>
          </cell>
        </row>
        <row r="6951">
          <cell r="L6951">
            <v>100</v>
          </cell>
          <cell r="N6951">
            <v>45014</v>
          </cell>
        </row>
        <row r="6952">
          <cell r="L6952">
            <v>100</v>
          </cell>
          <cell r="N6952">
            <v>45014</v>
          </cell>
        </row>
        <row r="6953">
          <cell r="L6953">
            <v>100</v>
          </cell>
          <cell r="N6953">
            <v>44956</v>
          </cell>
        </row>
        <row r="6954">
          <cell r="L6954">
            <v>100</v>
          </cell>
          <cell r="N6954">
            <v>44956</v>
          </cell>
        </row>
        <row r="6955">
          <cell r="L6955">
            <v>100</v>
          </cell>
          <cell r="N6955">
            <v>45014</v>
          </cell>
        </row>
        <row r="6956">
          <cell r="L6956">
            <v>100</v>
          </cell>
          <cell r="N6956">
            <v>45014</v>
          </cell>
        </row>
        <row r="6957">
          <cell r="L6957">
            <v>100</v>
          </cell>
          <cell r="N6957"/>
        </row>
        <row r="6958">
          <cell r="L6958">
            <v>100</v>
          </cell>
          <cell r="N6958"/>
        </row>
        <row r="6959">
          <cell r="L6959">
            <v>100</v>
          </cell>
          <cell r="N6959"/>
        </row>
        <row r="6960">
          <cell r="L6960">
            <v>100</v>
          </cell>
          <cell r="N6960"/>
        </row>
        <row r="6961">
          <cell r="L6961">
            <v>100</v>
          </cell>
          <cell r="N6961">
            <v>45014</v>
          </cell>
        </row>
        <row r="6962">
          <cell r="L6962">
            <v>100</v>
          </cell>
          <cell r="N6962">
            <v>45014</v>
          </cell>
        </row>
        <row r="6963">
          <cell r="L6963">
            <v>100</v>
          </cell>
          <cell r="N6963"/>
        </row>
        <row r="6964">
          <cell r="L6964">
            <v>100</v>
          </cell>
          <cell r="N6964"/>
        </row>
        <row r="6965">
          <cell r="L6965">
            <v>100</v>
          </cell>
          <cell r="N6965"/>
        </row>
        <row r="6966">
          <cell r="L6966">
            <v>100</v>
          </cell>
          <cell r="N6966"/>
        </row>
        <row r="6967">
          <cell r="L6967">
            <v>100</v>
          </cell>
          <cell r="N6967"/>
        </row>
        <row r="6968">
          <cell r="L6968">
            <v>100</v>
          </cell>
          <cell r="N6968"/>
        </row>
        <row r="6969">
          <cell r="L6969">
            <v>100</v>
          </cell>
          <cell r="N6969"/>
        </row>
        <row r="6970">
          <cell r="L6970">
            <v>100</v>
          </cell>
          <cell r="N6970"/>
        </row>
        <row r="6971">
          <cell r="L6971">
            <v>100</v>
          </cell>
          <cell r="N6971"/>
        </row>
        <row r="6972">
          <cell r="L6972">
            <v>100</v>
          </cell>
          <cell r="N6972"/>
        </row>
        <row r="6973">
          <cell r="L6973">
            <v>100</v>
          </cell>
          <cell r="N6973"/>
        </row>
        <row r="6974">
          <cell r="L6974">
            <v>100</v>
          </cell>
          <cell r="N6974"/>
        </row>
        <row r="6975">
          <cell r="L6975">
            <v>100</v>
          </cell>
          <cell r="N6975"/>
        </row>
        <row r="6976">
          <cell r="L6976">
            <v>100</v>
          </cell>
          <cell r="N6976"/>
        </row>
        <row r="6977">
          <cell r="L6977">
            <v>100</v>
          </cell>
          <cell r="N6977"/>
        </row>
        <row r="6978">
          <cell r="L6978">
            <v>100</v>
          </cell>
          <cell r="N6978"/>
        </row>
        <row r="6979">
          <cell r="L6979">
            <v>100</v>
          </cell>
          <cell r="N6979"/>
        </row>
        <row r="6980">
          <cell r="L6980">
            <v>100</v>
          </cell>
          <cell r="N6980"/>
        </row>
        <row r="6981">
          <cell r="L6981">
            <v>100</v>
          </cell>
          <cell r="N6981"/>
        </row>
        <row r="6982">
          <cell r="L6982">
            <v>100</v>
          </cell>
          <cell r="N6982">
            <v>45016</v>
          </cell>
        </row>
        <row r="6983">
          <cell r="L6983">
            <v>100</v>
          </cell>
          <cell r="N6983">
            <v>45016</v>
          </cell>
        </row>
        <row r="6984">
          <cell r="L6984">
            <v>100</v>
          </cell>
          <cell r="N6984">
            <v>45016</v>
          </cell>
        </row>
        <row r="6985">
          <cell r="L6985">
            <v>100</v>
          </cell>
          <cell r="N6985">
            <v>45016</v>
          </cell>
        </row>
        <row r="6986">
          <cell r="L6986">
            <v>100</v>
          </cell>
          <cell r="N6986">
            <v>45016</v>
          </cell>
        </row>
        <row r="6987">
          <cell r="L6987">
            <v>100</v>
          </cell>
          <cell r="N6987">
            <v>45016</v>
          </cell>
        </row>
        <row r="6988">
          <cell r="L6988">
            <v>100</v>
          </cell>
          <cell r="N6988">
            <v>45016</v>
          </cell>
        </row>
        <row r="6989">
          <cell r="L6989">
            <v>100</v>
          </cell>
          <cell r="N6989"/>
        </row>
        <row r="6990">
          <cell r="L6990">
            <v>100</v>
          </cell>
          <cell r="N6990"/>
        </row>
        <row r="6991">
          <cell r="L6991">
            <v>100</v>
          </cell>
          <cell r="N6991"/>
        </row>
        <row r="6992">
          <cell r="L6992">
            <v>100</v>
          </cell>
          <cell r="N6992"/>
        </row>
        <row r="6993">
          <cell r="L6993">
            <v>100</v>
          </cell>
          <cell r="N6993"/>
        </row>
        <row r="6994">
          <cell r="L6994">
            <v>100</v>
          </cell>
          <cell r="N6994"/>
        </row>
        <row r="6995">
          <cell r="L6995">
            <v>100</v>
          </cell>
          <cell r="N6995">
            <v>45014</v>
          </cell>
        </row>
        <row r="6996">
          <cell r="L6996">
            <v>100</v>
          </cell>
          <cell r="N6996">
            <v>45014</v>
          </cell>
        </row>
        <row r="6997">
          <cell r="L6997">
            <v>100</v>
          </cell>
          <cell r="N6997"/>
        </row>
        <row r="6998">
          <cell r="L6998">
            <v>100</v>
          </cell>
          <cell r="N6998"/>
        </row>
        <row r="6999">
          <cell r="L6999">
            <v>100</v>
          </cell>
          <cell r="N6999"/>
        </row>
        <row r="7000">
          <cell r="L7000">
            <v>100</v>
          </cell>
          <cell r="N7000">
            <v>45014</v>
          </cell>
        </row>
        <row r="7001">
          <cell r="L7001">
            <v>100</v>
          </cell>
          <cell r="N7001"/>
        </row>
        <row r="7002">
          <cell r="L7002">
            <v>100</v>
          </cell>
          <cell r="N7002"/>
        </row>
        <row r="7003">
          <cell r="L7003">
            <v>100</v>
          </cell>
          <cell r="N7003">
            <v>45014</v>
          </cell>
        </row>
        <row r="7004">
          <cell r="L7004">
            <v>100</v>
          </cell>
          <cell r="N7004">
            <v>45014</v>
          </cell>
        </row>
        <row r="7005">
          <cell r="L7005">
            <v>100</v>
          </cell>
          <cell r="N7005">
            <v>45014</v>
          </cell>
        </row>
        <row r="7006">
          <cell r="L7006">
            <v>100</v>
          </cell>
          <cell r="N7006">
            <v>45014</v>
          </cell>
        </row>
        <row r="7007">
          <cell r="L7007">
            <v>100</v>
          </cell>
          <cell r="N7007">
            <v>45014</v>
          </cell>
        </row>
        <row r="7008">
          <cell r="L7008">
            <v>100</v>
          </cell>
          <cell r="N7008">
            <v>45014</v>
          </cell>
        </row>
        <row r="7009">
          <cell r="L7009">
            <v>100</v>
          </cell>
          <cell r="N7009">
            <v>45014</v>
          </cell>
        </row>
        <row r="7010">
          <cell r="L7010">
            <v>100</v>
          </cell>
          <cell r="N7010">
            <v>45014</v>
          </cell>
        </row>
        <row r="7011">
          <cell r="L7011">
            <v>100</v>
          </cell>
          <cell r="N7011"/>
        </row>
        <row r="7012">
          <cell r="L7012">
            <v>100</v>
          </cell>
          <cell r="N7012">
            <v>45014</v>
          </cell>
        </row>
        <row r="7013">
          <cell r="L7013">
            <v>100</v>
          </cell>
          <cell r="N7013">
            <v>45014</v>
          </cell>
        </row>
        <row r="7014">
          <cell r="L7014">
            <v>100</v>
          </cell>
          <cell r="N7014">
            <v>45014</v>
          </cell>
        </row>
        <row r="7015">
          <cell r="L7015">
            <v>100</v>
          </cell>
          <cell r="N7015">
            <v>45014</v>
          </cell>
        </row>
        <row r="7016">
          <cell r="L7016">
            <v>100</v>
          </cell>
          <cell r="N7016"/>
        </row>
        <row r="7017">
          <cell r="L7017">
            <v>100</v>
          </cell>
          <cell r="N7017">
            <v>45016</v>
          </cell>
        </row>
        <row r="7018">
          <cell r="L7018">
            <v>100</v>
          </cell>
          <cell r="N7018">
            <v>45016</v>
          </cell>
        </row>
        <row r="7019">
          <cell r="L7019">
            <v>100</v>
          </cell>
          <cell r="N7019">
            <v>45016</v>
          </cell>
        </row>
        <row r="7020">
          <cell r="L7020">
            <v>100</v>
          </cell>
          <cell r="N7020">
            <v>45016</v>
          </cell>
        </row>
        <row r="7021">
          <cell r="L7021">
            <v>100</v>
          </cell>
          <cell r="N7021">
            <v>45014</v>
          </cell>
        </row>
        <row r="7022">
          <cell r="L7022">
            <v>100</v>
          </cell>
          <cell r="N7022">
            <v>45014</v>
          </cell>
        </row>
        <row r="7023">
          <cell r="L7023">
            <v>100</v>
          </cell>
          <cell r="N7023">
            <v>45014</v>
          </cell>
        </row>
        <row r="7024">
          <cell r="L7024">
            <v>100</v>
          </cell>
          <cell r="N7024">
            <v>45008</v>
          </cell>
        </row>
        <row r="7025">
          <cell r="L7025">
            <v>100</v>
          </cell>
          <cell r="N7025">
            <v>45008</v>
          </cell>
        </row>
        <row r="7026">
          <cell r="L7026">
            <v>100</v>
          </cell>
          <cell r="N7026">
            <v>45008</v>
          </cell>
        </row>
        <row r="7027">
          <cell r="L7027">
            <v>100</v>
          </cell>
          <cell r="N7027"/>
        </row>
        <row r="7028">
          <cell r="L7028">
            <v>100</v>
          </cell>
          <cell r="N7028"/>
        </row>
        <row r="7029">
          <cell r="L7029">
            <v>100</v>
          </cell>
          <cell r="N7029"/>
        </row>
        <row r="7030">
          <cell r="L7030">
            <v>100</v>
          </cell>
          <cell r="N7030"/>
        </row>
        <row r="7031">
          <cell r="L7031">
            <v>100</v>
          </cell>
          <cell r="N7031"/>
        </row>
        <row r="7032">
          <cell r="L7032">
            <v>100</v>
          </cell>
          <cell r="N7032"/>
        </row>
        <row r="7033">
          <cell r="L7033">
            <v>100</v>
          </cell>
          <cell r="N7033">
            <v>44925</v>
          </cell>
        </row>
        <row r="7034">
          <cell r="L7034">
            <v>100</v>
          </cell>
          <cell r="N7034">
            <v>45008</v>
          </cell>
        </row>
        <row r="7035">
          <cell r="L7035">
            <v>100</v>
          </cell>
          <cell r="N7035">
            <v>45008</v>
          </cell>
        </row>
        <row r="7036">
          <cell r="L7036">
            <v>100</v>
          </cell>
          <cell r="N7036">
            <v>45014</v>
          </cell>
        </row>
        <row r="7037">
          <cell r="L7037">
            <v>100</v>
          </cell>
          <cell r="N7037">
            <v>45014</v>
          </cell>
        </row>
        <row r="7038">
          <cell r="L7038">
            <v>100</v>
          </cell>
          <cell r="N7038">
            <v>45014</v>
          </cell>
        </row>
        <row r="7039">
          <cell r="L7039">
            <v>100</v>
          </cell>
          <cell r="N7039">
            <v>45008</v>
          </cell>
        </row>
        <row r="7040">
          <cell r="L7040">
            <v>100</v>
          </cell>
          <cell r="N7040">
            <v>44953</v>
          </cell>
        </row>
        <row r="7041">
          <cell r="L7041">
            <v>100</v>
          </cell>
          <cell r="N7041">
            <v>44926</v>
          </cell>
        </row>
        <row r="7042">
          <cell r="L7042">
            <v>100</v>
          </cell>
          <cell r="N7042">
            <v>44961</v>
          </cell>
        </row>
        <row r="7043">
          <cell r="L7043">
            <v>100</v>
          </cell>
          <cell r="N7043">
            <v>44961</v>
          </cell>
        </row>
        <row r="7044">
          <cell r="L7044">
            <v>100</v>
          </cell>
          <cell r="N7044">
            <v>44961</v>
          </cell>
        </row>
        <row r="7045">
          <cell r="L7045">
            <v>100</v>
          </cell>
          <cell r="N7045">
            <v>45015</v>
          </cell>
        </row>
        <row r="7046">
          <cell r="L7046">
            <v>100</v>
          </cell>
          <cell r="N7046">
            <v>45015</v>
          </cell>
        </row>
        <row r="7047">
          <cell r="L7047">
            <v>100</v>
          </cell>
          <cell r="N7047">
            <v>44956</v>
          </cell>
        </row>
        <row r="7048">
          <cell r="L7048">
            <v>100</v>
          </cell>
          <cell r="N7048">
            <v>44915</v>
          </cell>
        </row>
        <row r="7049">
          <cell r="L7049">
            <v>100</v>
          </cell>
          <cell r="N7049">
            <v>44946</v>
          </cell>
        </row>
        <row r="7050">
          <cell r="L7050">
            <v>100</v>
          </cell>
          <cell r="N7050">
            <v>44962</v>
          </cell>
        </row>
        <row r="7051">
          <cell r="L7051">
            <v>100</v>
          </cell>
          <cell r="N7051">
            <v>44967</v>
          </cell>
        </row>
        <row r="7052">
          <cell r="L7052">
            <v>100</v>
          </cell>
          <cell r="N7052">
            <v>44972</v>
          </cell>
        </row>
        <row r="7053">
          <cell r="L7053">
            <v>100</v>
          </cell>
          <cell r="N7053">
            <v>44972</v>
          </cell>
        </row>
        <row r="7054">
          <cell r="L7054">
            <v>100</v>
          </cell>
          <cell r="N7054">
            <v>44952</v>
          </cell>
        </row>
        <row r="7055">
          <cell r="L7055">
            <v>100</v>
          </cell>
          <cell r="N7055">
            <v>44926</v>
          </cell>
        </row>
        <row r="7056">
          <cell r="L7056">
            <v>100</v>
          </cell>
          <cell r="N7056">
            <v>44922</v>
          </cell>
        </row>
        <row r="7057">
          <cell r="L7057">
            <v>100</v>
          </cell>
          <cell r="N7057">
            <v>44664</v>
          </cell>
        </row>
        <row r="7058">
          <cell r="L7058">
            <v>100</v>
          </cell>
          <cell r="N7058">
            <v>44953</v>
          </cell>
        </row>
        <row r="7059">
          <cell r="L7059">
            <v>100</v>
          </cell>
          <cell r="N7059">
            <v>44720</v>
          </cell>
        </row>
        <row r="7060">
          <cell r="L7060">
            <v>100</v>
          </cell>
          <cell r="N7060">
            <v>44999</v>
          </cell>
        </row>
        <row r="7061">
          <cell r="L7061"/>
          <cell r="N7061"/>
        </row>
        <row r="7062">
          <cell r="L7062">
            <v>100</v>
          </cell>
          <cell r="N7062"/>
        </row>
        <row r="7063">
          <cell r="L7063">
            <v>0</v>
          </cell>
          <cell r="N7063"/>
        </row>
        <row r="7064">
          <cell r="L7064">
            <v>100</v>
          </cell>
          <cell r="N7064"/>
        </row>
        <row r="7065">
          <cell r="L7065">
            <v>0</v>
          </cell>
          <cell r="N7065"/>
        </row>
        <row r="7066">
          <cell r="L7066">
            <v>100</v>
          </cell>
          <cell r="N7066">
            <v>44908</v>
          </cell>
        </row>
        <row r="7067">
          <cell r="L7067">
            <v>100</v>
          </cell>
          <cell r="N7067">
            <v>44994</v>
          </cell>
        </row>
        <row r="7068">
          <cell r="L7068">
            <v>100</v>
          </cell>
          <cell r="N7068">
            <v>44988</v>
          </cell>
        </row>
        <row r="7069">
          <cell r="L7069">
            <v>100</v>
          </cell>
          <cell r="N7069">
            <v>44972</v>
          </cell>
        </row>
        <row r="7070">
          <cell r="L7070">
            <v>100</v>
          </cell>
          <cell r="N7070">
            <v>45002</v>
          </cell>
        </row>
        <row r="7071">
          <cell r="L7071">
            <v>100</v>
          </cell>
          <cell r="N7071">
            <v>45002</v>
          </cell>
        </row>
        <row r="7072">
          <cell r="L7072">
            <v>100</v>
          </cell>
          <cell r="N7072">
            <v>44987</v>
          </cell>
        </row>
        <row r="7073">
          <cell r="L7073">
            <v>100</v>
          </cell>
          <cell r="N7073">
            <v>44986</v>
          </cell>
        </row>
        <row r="7074">
          <cell r="L7074">
            <v>100</v>
          </cell>
          <cell r="N7074">
            <v>45002</v>
          </cell>
        </row>
        <row r="7075">
          <cell r="L7075">
            <v>100</v>
          </cell>
          <cell r="N7075">
            <v>45002</v>
          </cell>
        </row>
        <row r="7076">
          <cell r="L7076">
            <v>100</v>
          </cell>
          <cell r="N7076">
            <v>45002</v>
          </cell>
        </row>
        <row r="7077">
          <cell r="L7077">
            <v>100</v>
          </cell>
          <cell r="N7077">
            <v>44993</v>
          </cell>
        </row>
        <row r="7078">
          <cell r="L7078">
            <v>100</v>
          </cell>
          <cell r="N7078">
            <v>45002</v>
          </cell>
        </row>
        <row r="7079">
          <cell r="L7079">
            <v>100</v>
          </cell>
          <cell r="N7079">
            <v>44659</v>
          </cell>
        </row>
        <row r="7080">
          <cell r="L7080">
            <v>100</v>
          </cell>
          <cell r="N7080">
            <v>44914</v>
          </cell>
        </row>
        <row r="7081">
          <cell r="L7081">
            <v>100</v>
          </cell>
          <cell r="N7081">
            <v>44826</v>
          </cell>
        </row>
        <row r="7082">
          <cell r="L7082">
            <v>100</v>
          </cell>
          <cell r="N7082">
            <v>45015</v>
          </cell>
        </row>
        <row r="7083">
          <cell r="L7083">
            <v>100</v>
          </cell>
          <cell r="N7083">
            <v>45015</v>
          </cell>
        </row>
        <row r="7084">
          <cell r="L7084">
            <v>100</v>
          </cell>
          <cell r="N7084">
            <v>45015</v>
          </cell>
        </row>
        <row r="7085">
          <cell r="L7085">
            <v>100</v>
          </cell>
          <cell r="N7085">
            <v>45015</v>
          </cell>
        </row>
        <row r="7086">
          <cell r="L7086">
            <v>100</v>
          </cell>
          <cell r="N7086">
            <v>45015</v>
          </cell>
        </row>
        <row r="7087">
          <cell r="L7087">
            <v>100</v>
          </cell>
          <cell r="N7087">
            <v>45015</v>
          </cell>
        </row>
        <row r="7088">
          <cell r="L7088">
            <v>100</v>
          </cell>
          <cell r="N7088">
            <v>44908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 Personel"/>
      <sheetName val="DAY BOARD COUNT ISBL - JESSE"/>
      <sheetName val="DAY BOARD COUNT OSBL - AL"/>
      <sheetName val="JESSE REQ OUTSTANDING"/>
      <sheetName val="AL RAUDALAS REQ OUTSTANDING"/>
      <sheetName val="COUNT"/>
      <sheetName val="Terminations"/>
      <sheetName val="ALTERED SCHEDULE"/>
      <sheetName val="CONTACTS #"/>
      <sheetName val="Sheet4"/>
      <sheetName val="SUPERVISION"/>
      <sheetName val="DAILY CHARGES"/>
      <sheetName val="TIMESHEET CHANGE"/>
      <sheetName val="Sheet1"/>
      <sheetName val="Sheet2"/>
    </sheetNames>
    <sheetDataSet>
      <sheetData sheetId="0"/>
      <sheetData sheetId="1"/>
      <sheetData sheetId="2">
        <row r="5">
          <cell r="B5"/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B6"/>
          <cell r="J6"/>
          <cell r="K6"/>
          <cell r="L6"/>
          <cell r="M6"/>
        </row>
        <row r="7">
          <cell r="B7"/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B8" t="str">
            <v>JUAN VILLA</v>
          </cell>
          <cell r="J8">
            <v>3</v>
          </cell>
          <cell r="K8">
            <v>4</v>
          </cell>
          <cell r="L8">
            <v>3</v>
          </cell>
          <cell r="M8">
            <v>0</v>
          </cell>
        </row>
        <row r="9">
          <cell r="B9" t="str">
            <v>ILYCH LOPEZ</v>
          </cell>
          <cell r="J9">
            <v>4</v>
          </cell>
          <cell r="K9">
            <v>4</v>
          </cell>
          <cell r="L9">
            <v>2</v>
          </cell>
          <cell r="M9">
            <v>0</v>
          </cell>
        </row>
        <row r="10">
          <cell r="B10" t="str">
            <v>RYAN MILTON</v>
          </cell>
          <cell r="J10">
            <v>4</v>
          </cell>
          <cell r="K10">
            <v>5</v>
          </cell>
          <cell r="L10">
            <v>2</v>
          </cell>
          <cell r="M10">
            <v>0</v>
          </cell>
        </row>
        <row r="11">
          <cell r="B11" t="str">
            <v>EVERAEDO GARCIA</v>
          </cell>
          <cell r="J11">
            <v>4</v>
          </cell>
          <cell r="K11">
            <v>4</v>
          </cell>
          <cell r="L11">
            <v>2</v>
          </cell>
          <cell r="M11">
            <v>0</v>
          </cell>
        </row>
        <row r="12">
          <cell r="B12" t="str">
            <v>ZEFERINO MORALES</v>
          </cell>
          <cell r="J12">
            <v>5</v>
          </cell>
          <cell r="K12">
            <v>3</v>
          </cell>
          <cell r="L12">
            <v>3</v>
          </cell>
          <cell r="M12">
            <v>1</v>
          </cell>
        </row>
        <row r="13">
          <cell r="B13" t="str">
            <v>DUSTIN HUFFINES</v>
          </cell>
          <cell r="J13">
            <v>5</v>
          </cell>
          <cell r="K13">
            <v>5</v>
          </cell>
          <cell r="L13">
            <v>3</v>
          </cell>
          <cell r="M13">
            <v>1</v>
          </cell>
        </row>
        <row r="14">
          <cell r="B14" t="str">
            <v>JEFF BLATZ</v>
          </cell>
          <cell r="J14">
            <v>4</v>
          </cell>
          <cell r="K14">
            <v>3</v>
          </cell>
          <cell r="L14">
            <v>3</v>
          </cell>
          <cell r="M14">
            <v>0</v>
          </cell>
        </row>
        <row r="15">
          <cell r="B15"/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/>
          <cell r="J16"/>
          <cell r="K16"/>
          <cell r="L16"/>
          <cell r="M16"/>
        </row>
        <row r="17">
          <cell r="B17" t="str">
            <v>KRIS WILLIAMS</v>
          </cell>
          <cell r="J17">
            <v>4</v>
          </cell>
          <cell r="K17">
            <v>5</v>
          </cell>
          <cell r="L17">
            <v>2</v>
          </cell>
          <cell r="M17">
            <v>1</v>
          </cell>
        </row>
        <row r="18">
          <cell r="B18" t="str">
            <v>IVAN CERVANTES</v>
          </cell>
          <cell r="J18">
            <v>4</v>
          </cell>
          <cell r="K18">
            <v>4</v>
          </cell>
          <cell r="L18">
            <v>3</v>
          </cell>
          <cell r="M18">
            <v>0</v>
          </cell>
        </row>
        <row r="19">
          <cell r="B19" t="str">
            <v>KENNETH OLIGE</v>
          </cell>
          <cell r="J19">
            <v>4</v>
          </cell>
          <cell r="K19">
            <v>5</v>
          </cell>
          <cell r="L19">
            <v>2</v>
          </cell>
          <cell r="M19">
            <v>0</v>
          </cell>
        </row>
        <row r="20">
          <cell r="B20" t="str">
            <v>JERRIAN GARRETT</v>
          </cell>
          <cell r="J20">
            <v>4</v>
          </cell>
          <cell r="K20">
            <v>5</v>
          </cell>
          <cell r="L20">
            <v>2</v>
          </cell>
          <cell r="M20">
            <v>0</v>
          </cell>
        </row>
        <row r="21">
          <cell r="B21" t="str">
            <v>ERIC MEDINA</v>
          </cell>
          <cell r="J21">
            <v>5</v>
          </cell>
          <cell r="K21">
            <v>5</v>
          </cell>
          <cell r="L21">
            <v>2</v>
          </cell>
          <cell r="M21">
            <v>1</v>
          </cell>
        </row>
        <row r="22">
          <cell r="B22"/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B23" t="str">
            <v>JAMIE SANCHEZ</v>
          </cell>
          <cell r="J23">
            <v>5</v>
          </cell>
          <cell r="K23">
            <v>5</v>
          </cell>
          <cell r="L23">
            <v>2</v>
          </cell>
          <cell r="M23">
            <v>0</v>
          </cell>
        </row>
        <row r="24">
          <cell r="B24" t="str">
            <v>DEREK BOUTIN</v>
          </cell>
          <cell r="J24">
            <v>4</v>
          </cell>
          <cell r="K24">
            <v>4</v>
          </cell>
          <cell r="L24">
            <v>4</v>
          </cell>
          <cell r="M24">
            <v>1</v>
          </cell>
        </row>
        <row r="25">
          <cell r="B25" t="str">
            <v>HECTOR ZENDEJAS</v>
          </cell>
          <cell r="J25">
            <v>5</v>
          </cell>
          <cell r="K25">
            <v>5</v>
          </cell>
          <cell r="L25">
            <v>2</v>
          </cell>
          <cell r="M25">
            <v>0</v>
          </cell>
        </row>
        <row r="26">
          <cell r="B26" t="str">
            <v>RICARDO HERNANDEZ</v>
          </cell>
          <cell r="J26">
            <v>4</v>
          </cell>
          <cell r="K26">
            <v>5</v>
          </cell>
          <cell r="L26">
            <v>2</v>
          </cell>
          <cell r="M26">
            <v>0</v>
          </cell>
        </row>
        <row r="27">
          <cell r="B27" t="str">
            <v>JOEL RUBY</v>
          </cell>
          <cell r="J27">
            <v>3</v>
          </cell>
          <cell r="K27">
            <v>4</v>
          </cell>
          <cell r="L27">
            <v>1</v>
          </cell>
          <cell r="M27">
            <v>0</v>
          </cell>
        </row>
        <row r="28">
          <cell r="B28"/>
          <cell r="J28"/>
          <cell r="K28"/>
          <cell r="L28"/>
          <cell r="M28"/>
        </row>
        <row r="29">
          <cell r="B29"/>
          <cell r="J29"/>
          <cell r="K29"/>
          <cell r="L29"/>
          <cell r="M29"/>
        </row>
        <row r="30">
          <cell r="B30"/>
          <cell r="J30"/>
          <cell r="K30"/>
          <cell r="L30"/>
          <cell r="M30"/>
        </row>
        <row r="31">
          <cell r="B31"/>
          <cell r="J31"/>
          <cell r="K31"/>
          <cell r="L31"/>
          <cell r="M31"/>
        </row>
        <row r="32">
          <cell r="B32"/>
          <cell r="J32"/>
          <cell r="K32"/>
          <cell r="L32"/>
          <cell r="M32"/>
        </row>
        <row r="33">
          <cell r="B33"/>
          <cell r="J33"/>
          <cell r="K33"/>
          <cell r="L33"/>
          <cell r="M33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_ISO SIGN-OFF LOG"/>
      <sheetName val="By TEST PACKAGE"/>
      <sheetName val="By SYSTEM"/>
      <sheetName val="ISO COUNT"/>
      <sheetName val="FRAC4 FOREMAN'S INCOMPLETE RATE"/>
      <sheetName val="FRAC 4 SUPERVISOR ASSIGNMENTS"/>
      <sheetName val="Weld Track Progress"/>
      <sheetName val="Revisions To Be Done In Field"/>
      <sheetName val="ISO COUNT BY WEEK"/>
    </sheetNames>
    <sheetDataSet>
      <sheetData sheetId="0" refreshError="1">
        <row r="4">
          <cell r="J4"/>
        </row>
        <row r="1598">
          <cell r="J1598" t="str">
            <v>PI-706-009</v>
          </cell>
        </row>
        <row r="1599">
          <cell r="J1599" t="str">
            <v>PI-706-009</v>
          </cell>
        </row>
        <row r="1600">
          <cell r="J1600"/>
        </row>
        <row r="1601">
          <cell r="J1601" t="str">
            <v>PI-702-103</v>
          </cell>
        </row>
        <row r="1602">
          <cell r="J1602" t="str">
            <v>PI-706-010</v>
          </cell>
        </row>
        <row r="1603">
          <cell r="J1603" t="str">
            <v>PI-706-010</v>
          </cell>
        </row>
        <row r="1604">
          <cell r="J1604" t="str">
            <v>PI-706-010</v>
          </cell>
        </row>
        <row r="1605">
          <cell r="J1605" t="str">
            <v>PI-706-001</v>
          </cell>
        </row>
        <row r="1606">
          <cell r="J1606" t="str">
            <v>PI-706-001</v>
          </cell>
        </row>
        <row r="1607">
          <cell r="J1607"/>
        </row>
        <row r="1608">
          <cell r="J1608" t="str">
            <v>PI-702-203</v>
          </cell>
        </row>
        <row r="1609">
          <cell r="J1609" t="str">
            <v>PI-704-205</v>
          </cell>
        </row>
        <row r="1610">
          <cell r="J1610" t="str">
            <v>PI-704-205</v>
          </cell>
        </row>
        <row r="1611">
          <cell r="J1611" t="str">
            <v>PI-706-010</v>
          </cell>
        </row>
        <row r="1612">
          <cell r="J1612" t="str">
            <v>PI-706-010</v>
          </cell>
        </row>
        <row r="1613">
          <cell r="J1613"/>
        </row>
        <row r="1614">
          <cell r="J1614" t="str">
            <v>PI-706-003</v>
          </cell>
        </row>
        <row r="1615">
          <cell r="J1615" t="str">
            <v>PI-706-003</v>
          </cell>
        </row>
        <row r="1616">
          <cell r="J1616" t="str">
            <v>PI-706-003</v>
          </cell>
        </row>
        <row r="1617">
          <cell r="J1617" t="str">
            <v>PI-706-001</v>
          </cell>
        </row>
        <row r="1618">
          <cell r="J1618" t="str">
            <v>PI-706-001</v>
          </cell>
        </row>
        <row r="1619">
          <cell r="J1619" t="str">
            <v>PI-706-001</v>
          </cell>
        </row>
        <row r="1620">
          <cell r="J1620" t="str">
            <v>PI-706-001</v>
          </cell>
        </row>
        <row r="1621">
          <cell r="J1621"/>
        </row>
        <row r="1622">
          <cell r="J1622" t="str">
            <v>PI-706-010</v>
          </cell>
        </row>
        <row r="1623">
          <cell r="J1623" t="str">
            <v>PI-706-010</v>
          </cell>
        </row>
        <row r="1624">
          <cell r="J1624" t="str">
            <v>PI-706-010</v>
          </cell>
        </row>
        <row r="1625">
          <cell r="J1625" t="str">
            <v>PI-706-010</v>
          </cell>
        </row>
        <row r="1626">
          <cell r="J1626" t="str">
            <v>PI-706-010</v>
          </cell>
        </row>
        <row r="1627">
          <cell r="J1627" t="str">
            <v>PI-706-010</v>
          </cell>
        </row>
        <row r="1628">
          <cell r="J1628"/>
        </row>
        <row r="1629">
          <cell r="J1629" t="str">
            <v>PI-706-010</v>
          </cell>
        </row>
        <row r="1630">
          <cell r="J1630" t="str">
            <v>PI-706-010</v>
          </cell>
        </row>
        <row r="1631">
          <cell r="J1631" t="str">
            <v>PI-706-010</v>
          </cell>
        </row>
        <row r="1632">
          <cell r="J1632" t="str">
            <v>PI-706-010</v>
          </cell>
        </row>
        <row r="1633">
          <cell r="J1633" t="str">
            <v>PI-706-010</v>
          </cell>
        </row>
        <row r="1634">
          <cell r="J1634"/>
        </row>
        <row r="1635">
          <cell r="J1635" t="str">
            <v>PI-706-010</v>
          </cell>
        </row>
        <row r="1636">
          <cell r="J1636"/>
        </row>
        <row r="1637">
          <cell r="J1637" t="str">
            <v>PI-706-001</v>
          </cell>
        </row>
        <row r="1638">
          <cell r="J1638" t="str">
            <v>PI-706-001</v>
          </cell>
        </row>
        <row r="1639">
          <cell r="J1639"/>
        </row>
        <row r="1640">
          <cell r="J1640" t="str">
            <v>PI-706-001</v>
          </cell>
        </row>
        <row r="1641">
          <cell r="J1641"/>
        </row>
        <row r="1642">
          <cell r="J1642" t="str">
            <v>PI-706-002</v>
          </cell>
        </row>
        <row r="1643">
          <cell r="J1643" t="str">
            <v>PI-706-002</v>
          </cell>
        </row>
        <row r="1644">
          <cell r="J1644" t="str">
            <v>PI-706-002</v>
          </cell>
        </row>
        <row r="1645">
          <cell r="J1645"/>
        </row>
        <row r="1646">
          <cell r="J1646" t="str">
            <v>PI-706-001</v>
          </cell>
        </row>
        <row r="1647">
          <cell r="J1647" t="str">
            <v>PI-706-001</v>
          </cell>
        </row>
        <row r="1648">
          <cell r="J1648" t="str">
            <v>PI-706-001</v>
          </cell>
        </row>
        <row r="1649">
          <cell r="J1649" t="str">
            <v>PI-706-001</v>
          </cell>
        </row>
        <row r="1650">
          <cell r="J1650"/>
        </row>
        <row r="1651">
          <cell r="J1651" t="str">
            <v>PI-706-001</v>
          </cell>
        </row>
        <row r="1652">
          <cell r="J1652" t="str">
            <v>PI-706-001</v>
          </cell>
        </row>
        <row r="1653">
          <cell r="J1653"/>
        </row>
        <row r="1654">
          <cell r="J1654" t="str">
            <v>PI-706-002</v>
          </cell>
        </row>
        <row r="1655">
          <cell r="J1655" t="str">
            <v>PI-706-002</v>
          </cell>
        </row>
        <row r="1656">
          <cell r="J1656"/>
        </row>
        <row r="1657">
          <cell r="J1657" t="str">
            <v>PI-706-001</v>
          </cell>
        </row>
        <row r="1658">
          <cell r="J1658" t="str">
            <v>PI-706-001</v>
          </cell>
        </row>
        <row r="1659">
          <cell r="J1659"/>
        </row>
        <row r="1660">
          <cell r="J1660" t="str">
            <v>PI-706-002</v>
          </cell>
        </row>
        <row r="1661">
          <cell r="J1661" t="str">
            <v>PI-706-001</v>
          </cell>
        </row>
        <row r="1662">
          <cell r="J1662" t="str">
            <v>PI-706-001</v>
          </cell>
        </row>
        <row r="1663">
          <cell r="J1663" t="str">
            <v>PI-706-001</v>
          </cell>
        </row>
        <row r="1664">
          <cell r="J1664" t="str">
            <v>PI-706-001</v>
          </cell>
        </row>
        <row r="1665">
          <cell r="J1665" t="str">
            <v>PI-706-001</v>
          </cell>
        </row>
        <row r="1666">
          <cell r="J1666" t="str">
            <v>PI-706-001</v>
          </cell>
        </row>
        <row r="1667">
          <cell r="J1667"/>
        </row>
        <row r="1668">
          <cell r="J1668" t="str">
            <v>PI-706-001</v>
          </cell>
        </row>
        <row r="1669">
          <cell r="J1669" t="str">
            <v>PI-706-001</v>
          </cell>
        </row>
        <row r="1670">
          <cell r="J1670" t="str">
            <v>PI-706-001</v>
          </cell>
        </row>
        <row r="1671">
          <cell r="J1671"/>
        </row>
        <row r="1672">
          <cell r="J1672" t="str">
            <v>PI-706-009</v>
          </cell>
        </row>
        <row r="1673">
          <cell r="J1673"/>
        </row>
        <row r="1674">
          <cell r="J1674" t="str">
            <v>PI-706-009</v>
          </cell>
        </row>
        <row r="1675">
          <cell r="J1675"/>
        </row>
        <row r="1676">
          <cell r="J1676" t="str">
            <v>PI-724-001</v>
          </cell>
        </row>
        <row r="1677">
          <cell r="J1677" t="str">
            <v>PI-724-001</v>
          </cell>
        </row>
        <row r="1678">
          <cell r="J1678" t="str">
            <v>PI-724-001</v>
          </cell>
        </row>
        <row r="1679">
          <cell r="J1679"/>
        </row>
        <row r="1680">
          <cell r="J1680" t="str">
            <v>PI-724-001</v>
          </cell>
        </row>
        <row r="1681">
          <cell r="J1681"/>
        </row>
        <row r="1682">
          <cell r="J1682"/>
        </row>
        <row r="1683">
          <cell r="J1683" t="str">
            <v>PI-706-002</v>
          </cell>
        </row>
        <row r="1684">
          <cell r="J1684" t="str">
            <v>PI-706-002</v>
          </cell>
        </row>
        <row r="1685">
          <cell r="J1685" t="str">
            <v>PI-706-002</v>
          </cell>
        </row>
        <row r="1686">
          <cell r="J1686"/>
        </row>
        <row r="1687">
          <cell r="J1687" t="str">
            <v>PI-706-002</v>
          </cell>
        </row>
        <row r="1688">
          <cell r="J1688" t="str">
            <v>PI-706-002</v>
          </cell>
        </row>
        <row r="1689">
          <cell r="J1689" t="str">
            <v>PI-706-002</v>
          </cell>
        </row>
        <row r="1690">
          <cell r="J1690"/>
        </row>
        <row r="1691">
          <cell r="J1691" t="str">
            <v>PI-724-007</v>
          </cell>
        </row>
        <row r="1692">
          <cell r="J1692" t="str">
            <v>PI-724-007</v>
          </cell>
        </row>
        <row r="1693">
          <cell r="J1693" t="str">
            <v>PI-724-007</v>
          </cell>
        </row>
        <row r="1694">
          <cell r="J1694" t="str">
            <v>PI-724-007</v>
          </cell>
        </row>
        <row r="1695">
          <cell r="J1695" t="str">
            <v>PI-724-007</v>
          </cell>
        </row>
        <row r="1696">
          <cell r="J1696" t="str">
            <v>PI-724-007</v>
          </cell>
        </row>
        <row r="1697">
          <cell r="J1697" t="str">
            <v>PI-724-001</v>
          </cell>
        </row>
        <row r="1698">
          <cell r="J1698"/>
        </row>
        <row r="1699">
          <cell r="J1699" t="str">
            <v>PI-706-010</v>
          </cell>
        </row>
        <row r="1700">
          <cell r="J1700" t="str">
            <v>PI-706-010</v>
          </cell>
        </row>
        <row r="1701">
          <cell r="J1701" t="str">
            <v>PI-706-010</v>
          </cell>
        </row>
        <row r="1702">
          <cell r="J1702"/>
        </row>
        <row r="1703">
          <cell r="J1703" t="str">
            <v>PI-706-002</v>
          </cell>
        </row>
        <row r="1704">
          <cell r="J1704" t="str">
            <v>PI-706-002</v>
          </cell>
        </row>
        <row r="1705">
          <cell r="J1705" t="str">
            <v>PI-706-002</v>
          </cell>
        </row>
        <row r="1706">
          <cell r="J1706" t="str">
            <v>PI-706-002</v>
          </cell>
        </row>
        <row r="1707">
          <cell r="J1707"/>
        </row>
        <row r="1708">
          <cell r="J1708" t="str">
            <v>PI-707-301</v>
          </cell>
        </row>
        <row r="1709">
          <cell r="J1709" t="str">
            <v>PI-707-301</v>
          </cell>
        </row>
        <row r="1710">
          <cell r="J1710" t="str">
            <v>PI-707-011</v>
          </cell>
        </row>
        <row r="1711">
          <cell r="J1711" t="str">
            <v>PI-707-011</v>
          </cell>
        </row>
        <row r="1712">
          <cell r="J1712" t="str">
            <v>PI-707-011</v>
          </cell>
        </row>
        <row r="1713">
          <cell r="J1713" t="str">
            <v>PI-704-004</v>
          </cell>
        </row>
        <row r="1714">
          <cell r="J1714" t="str">
            <v>PI-704-003</v>
          </cell>
        </row>
        <row r="1715">
          <cell r="J1715" t="str">
            <v>PI-704-005</v>
          </cell>
        </row>
        <row r="1716">
          <cell r="J1716" t="str">
            <v>PI-703-011</v>
          </cell>
        </row>
        <row r="1717">
          <cell r="J1717" t="str">
            <v>PI-702-203</v>
          </cell>
        </row>
        <row r="1718">
          <cell r="J1718" t="str">
            <v>PI-706-004</v>
          </cell>
        </row>
        <row r="1719">
          <cell r="J1719" t="str">
            <v>PI-706-201</v>
          </cell>
        </row>
        <row r="1720">
          <cell r="J1720" t="str">
            <v>PI-706-201</v>
          </cell>
        </row>
        <row r="1721">
          <cell r="J1721" t="str">
            <v>PI-702-101</v>
          </cell>
        </row>
        <row r="1722">
          <cell r="J1722" t="str">
            <v>PI-702-201</v>
          </cell>
        </row>
        <row r="1723">
          <cell r="J1723" t="str">
            <v>PI-702-202</v>
          </cell>
        </row>
        <row r="1724">
          <cell r="J1724" t="str">
            <v>PI-702-202</v>
          </cell>
        </row>
        <row r="1725">
          <cell r="J1725" t="str">
            <v>PI-702-203</v>
          </cell>
        </row>
        <row r="1726">
          <cell r="J1726" t="str">
            <v>PI-707-301</v>
          </cell>
        </row>
        <row r="1727">
          <cell r="J1727" t="str">
            <v>PI-707-201</v>
          </cell>
        </row>
        <row r="1728">
          <cell r="J1728" t="str">
            <v>PI-707-201</v>
          </cell>
        </row>
        <row r="1729">
          <cell r="J1729" t="str">
            <v>PI-707-201</v>
          </cell>
        </row>
        <row r="1730">
          <cell r="J1730" t="str">
            <v>PI-707-019</v>
          </cell>
        </row>
        <row r="1731">
          <cell r="J1731" t="str">
            <v>PI-707-019</v>
          </cell>
        </row>
        <row r="1732">
          <cell r="J1732" t="str">
            <v>PI-707-019</v>
          </cell>
        </row>
        <row r="1733">
          <cell r="J1733" t="str">
            <v>PI-707-019</v>
          </cell>
        </row>
        <row r="1734">
          <cell r="J1734" t="str">
            <v>PI-707-019</v>
          </cell>
        </row>
        <row r="1735">
          <cell r="J1735" t="str">
            <v>PI-707-019</v>
          </cell>
        </row>
        <row r="1736">
          <cell r="J1736" t="str">
            <v>PI-707-019</v>
          </cell>
        </row>
        <row r="1737">
          <cell r="J1737" t="str">
            <v>PI-707-019</v>
          </cell>
        </row>
        <row r="1738">
          <cell r="J1738" t="str">
            <v>PI-707-019</v>
          </cell>
        </row>
        <row r="1739">
          <cell r="J1739" t="str">
            <v>PI-707-019</v>
          </cell>
        </row>
        <row r="1740">
          <cell r="J1740" t="str">
            <v>PI-707-019</v>
          </cell>
        </row>
        <row r="1741">
          <cell r="J1741" t="str">
            <v>PI-707-019</v>
          </cell>
        </row>
        <row r="1742">
          <cell r="J1742" t="str">
            <v>PI-702-203</v>
          </cell>
        </row>
        <row r="1743">
          <cell r="J1743" t="str">
            <v>PI-702-202</v>
          </cell>
        </row>
        <row r="1744">
          <cell r="J1744" t="str">
            <v>PI-702-202</v>
          </cell>
        </row>
        <row r="1745">
          <cell r="J1745" t="str">
            <v>PI-702-201</v>
          </cell>
        </row>
        <row r="1746">
          <cell r="J1746" t="str">
            <v>PI-707-102</v>
          </cell>
        </row>
        <row r="1747">
          <cell r="J1747" t="str">
            <v>PI-707-102</v>
          </cell>
        </row>
        <row r="1748">
          <cell r="J1748" t="str">
            <v>PI-707-016</v>
          </cell>
        </row>
        <row r="1749">
          <cell r="J1749" t="str">
            <v>PI-703-103</v>
          </cell>
        </row>
        <row r="1750">
          <cell r="J1750" t="str">
            <v>PI-703-103</v>
          </cell>
        </row>
        <row r="1751">
          <cell r="J1751" t="str">
            <v>PI-713-001</v>
          </cell>
        </row>
        <row r="1752">
          <cell r="J1752" t="str">
            <v>PI-704-105</v>
          </cell>
        </row>
        <row r="1753">
          <cell r="J1753" t="str">
            <v>PI-704-101</v>
          </cell>
        </row>
        <row r="1754">
          <cell r="J1754" t="str">
            <v>PI-704-101</v>
          </cell>
        </row>
        <row r="1755">
          <cell r="J1755" t="str">
            <v>PI-707-019</v>
          </cell>
        </row>
        <row r="1756">
          <cell r="J1756" t="str">
            <v>PI-707-019</v>
          </cell>
        </row>
        <row r="1757">
          <cell r="J1757" t="str">
            <v>PI-707-201</v>
          </cell>
        </row>
        <row r="1758">
          <cell r="J1758" t="str">
            <v>PI-707-301</v>
          </cell>
        </row>
        <row r="1759">
          <cell r="J1759" t="str">
            <v>PI-707-301</v>
          </cell>
        </row>
        <row r="1760">
          <cell r="J1760" t="str">
            <v>PI-707-019</v>
          </cell>
        </row>
        <row r="1761">
          <cell r="J1761" t="str">
            <v>PI-707-019</v>
          </cell>
        </row>
        <row r="1762">
          <cell r="J1762" t="str">
            <v>PI-707-301</v>
          </cell>
        </row>
        <row r="1763">
          <cell r="J1763" t="str">
            <v>PI-707-301</v>
          </cell>
        </row>
        <row r="1764">
          <cell r="J1764" t="str">
            <v>PI-707-019</v>
          </cell>
        </row>
        <row r="1765">
          <cell r="J1765" t="str">
            <v>PI-707-011</v>
          </cell>
        </row>
        <row r="1766">
          <cell r="J1766" t="str">
            <v>PI-707-102</v>
          </cell>
        </row>
        <row r="1767">
          <cell r="J1767" t="str">
            <v>PI-708-001</v>
          </cell>
        </row>
        <row r="1768">
          <cell r="J1768" t="str">
            <v>PI-708-001</v>
          </cell>
        </row>
        <row r="1769">
          <cell r="J1769" t="str">
            <v>PI-713-001</v>
          </cell>
        </row>
        <row r="1770">
          <cell r="J1770" t="str">
            <v>PI-713-001</v>
          </cell>
        </row>
        <row r="1771">
          <cell r="J1771" t="str">
            <v>PI-713-001</v>
          </cell>
        </row>
        <row r="1772">
          <cell r="J1772" t="str">
            <v>PI-713-001</v>
          </cell>
        </row>
        <row r="1773">
          <cell r="J1773" t="str">
            <v>PI-713-001</v>
          </cell>
        </row>
        <row r="1774">
          <cell r="J1774"/>
        </row>
        <row r="1775">
          <cell r="J1775" t="str">
            <v>PI-707-011</v>
          </cell>
        </row>
        <row r="1776">
          <cell r="J1776" t="str">
            <v>PI-707-301</v>
          </cell>
        </row>
        <row r="1777">
          <cell r="J1777" t="str">
            <v>PI-707-301</v>
          </cell>
        </row>
        <row r="1778">
          <cell r="J1778" t="str">
            <v>PI-707-301</v>
          </cell>
        </row>
        <row r="1779">
          <cell r="J1779" t="str">
            <v>PI-707-102</v>
          </cell>
        </row>
        <row r="1780">
          <cell r="J1780" t="str">
            <v>PI-707-102</v>
          </cell>
        </row>
        <row r="1781">
          <cell r="J1781" t="str">
            <v>PI-707-019</v>
          </cell>
        </row>
        <row r="1782">
          <cell r="J1782" t="str">
            <v>PI-707-019</v>
          </cell>
        </row>
        <row r="1783">
          <cell r="J1783" t="str">
            <v>PI-707-019</v>
          </cell>
        </row>
        <row r="1784">
          <cell r="J1784" t="str">
            <v>PI-707-102</v>
          </cell>
        </row>
        <row r="1785">
          <cell r="J1785" t="str">
            <v>PI-707-011</v>
          </cell>
        </row>
        <row r="1786">
          <cell r="J1786"/>
        </row>
        <row r="1787">
          <cell r="J1787" t="str">
            <v>PI-707-011</v>
          </cell>
        </row>
        <row r="1788">
          <cell r="J1788" t="str">
            <v>PI-707-011</v>
          </cell>
        </row>
        <row r="1789">
          <cell r="J1789" t="str">
            <v>PI-707-011</v>
          </cell>
        </row>
        <row r="1790">
          <cell r="J1790" t="str">
            <v>PI-707-011</v>
          </cell>
        </row>
        <row r="1791">
          <cell r="J1791" t="str">
            <v>PI-707-011</v>
          </cell>
        </row>
        <row r="1792">
          <cell r="J1792" t="str">
            <v>PI-707-011</v>
          </cell>
        </row>
        <row r="1793">
          <cell r="J1793" t="str">
            <v>PI-707-011</v>
          </cell>
        </row>
        <row r="1794">
          <cell r="J1794"/>
        </row>
        <row r="1795">
          <cell r="J1795" t="str">
            <v>PI-704-004</v>
          </cell>
        </row>
        <row r="1796">
          <cell r="J1796" t="str">
            <v>PI-704-004</v>
          </cell>
        </row>
        <row r="1797">
          <cell r="J1797" t="str">
            <v>PI-704-004</v>
          </cell>
        </row>
        <row r="1798">
          <cell r="J1798"/>
        </row>
        <row r="1799">
          <cell r="J1799" t="str">
            <v>PI-703-101</v>
          </cell>
        </row>
        <row r="1800">
          <cell r="J1800" t="str">
            <v>PI-703-011</v>
          </cell>
        </row>
        <row r="1801">
          <cell r="J1801" t="str">
            <v>PI-703-011</v>
          </cell>
        </row>
        <row r="1802">
          <cell r="J1802"/>
        </row>
        <row r="1803">
          <cell r="J1803" t="str">
            <v>PI-707-016</v>
          </cell>
        </row>
        <row r="1804">
          <cell r="J1804"/>
        </row>
        <row r="1805">
          <cell r="J1805" t="str">
            <v>PI-707-201</v>
          </cell>
        </row>
        <row r="1806">
          <cell r="J1806" t="str">
            <v>PI-707-201</v>
          </cell>
        </row>
        <row r="1807">
          <cell r="J1807" t="str">
            <v>PI-707-201</v>
          </cell>
        </row>
        <row r="1808">
          <cell r="J1808" t="str">
            <v>PI-707-019</v>
          </cell>
        </row>
        <row r="1809">
          <cell r="J1809" t="str">
            <v>PI-707-019</v>
          </cell>
        </row>
        <row r="1810">
          <cell r="J1810" t="str">
            <v>PI-707-019</v>
          </cell>
        </row>
        <row r="1811">
          <cell r="J1811" t="str">
            <v>PI-707-201</v>
          </cell>
        </row>
        <row r="1812">
          <cell r="J1812"/>
        </row>
        <row r="1813">
          <cell r="J1813" t="str">
            <v>PI-704-104</v>
          </cell>
        </row>
        <row r="1814">
          <cell r="J1814"/>
        </row>
        <row r="1815">
          <cell r="J1815" t="str">
            <v>PI-704-101</v>
          </cell>
        </row>
        <row r="1816">
          <cell r="J1816"/>
        </row>
        <row r="1817">
          <cell r="J1817" t="str">
            <v>PI-704-001</v>
          </cell>
        </row>
        <row r="1818">
          <cell r="J1818" t="str">
            <v>PI-704-001</v>
          </cell>
        </row>
        <row r="1819">
          <cell r="J1819"/>
        </row>
        <row r="1820">
          <cell r="J1820" t="str">
            <v>PI-703-101</v>
          </cell>
        </row>
        <row r="1821">
          <cell r="J1821"/>
        </row>
        <row r="1822">
          <cell r="J1822" t="str">
            <v>PI-707-301</v>
          </cell>
        </row>
        <row r="1823">
          <cell r="J1823" t="str">
            <v>PI-707-023</v>
          </cell>
        </row>
        <row r="1824">
          <cell r="J1824" t="str">
            <v>PI-707-023</v>
          </cell>
        </row>
        <row r="1825">
          <cell r="J1825" t="str">
            <v>PI-707-024</v>
          </cell>
        </row>
        <row r="1826">
          <cell r="J1826"/>
        </row>
        <row r="1827">
          <cell r="J1827" t="str">
            <v>PI-707-016</v>
          </cell>
        </row>
        <row r="1828">
          <cell r="J1828" t="str">
            <v>PI-707-016</v>
          </cell>
        </row>
        <row r="1829">
          <cell r="J1829" t="str">
            <v>PI-707-017</v>
          </cell>
        </row>
        <row r="1830">
          <cell r="J1830" t="str">
            <v>PI-707-017</v>
          </cell>
        </row>
        <row r="1831">
          <cell r="J1831" t="str">
            <v>PI-707-017</v>
          </cell>
        </row>
        <row r="1832">
          <cell r="J1832" t="str">
            <v>PI-707-017</v>
          </cell>
        </row>
        <row r="1833">
          <cell r="J1833" t="str">
            <v>PI-707-017</v>
          </cell>
        </row>
        <row r="1834">
          <cell r="J1834" t="str">
            <v>PI-707-017</v>
          </cell>
        </row>
        <row r="1835">
          <cell r="J1835"/>
        </row>
        <row r="1836">
          <cell r="J1836" t="str">
            <v>PI-707-016</v>
          </cell>
        </row>
        <row r="1837">
          <cell r="J1837" t="str">
            <v>PI-707-016</v>
          </cell>
        </row>
        <row r="1838">
          <cell r="J1838" t="str">
            <v>PI-707-016</v>
          </cell>
        </row>
        <row r="1839">
          <cell r="J1839" t="str">
            <v>PI-707-016</v>
          </cell>
        </row>
        <row r="1840">
          <cell r="J1840"/>
        </row>
        <row r="1841">
          <cell r="J1841" t="str">
            <v>PI-707-017</v>
          </cell>
        </row>
        <row r="1842">
          <cell r="J1842" t="str">
            <v>PI-707-017</v>
          </cell>
        </row>
        <row r="1843">
          <cell r="J1843" t="str">
            <v>PI-707-017</v>
          </cell>
        </row>
        <row r="1844">
          <cell r="J1844" t="str">
            <v>PI-707-017</v>
          </cell>
        </row>
        <row r="1845">
          <cell r="J1845" t="str">
            <v>PI-707-201</v>
          </cell>
        </row>
        <row r="1846">
          <cell r="J1846" t="str">
            <v>PI-707-201</v>
          </cell>
        </row>
        <row r="1847">
          <cell r="J1847" t="str">
            <v>PI-707-201</v>
          </cell>
        </row>
        <row r="1848">
          <cell r="J1848" t="str">
            <v>PI-707-017</v>
          </cell>
        </row>
        <row r="1849">
          <cell r="J1849" t="str">
            <v>PI-707-017</v>
          </cell>
        </row>
        <row r="1850">
          <cell r="J1850" t="str">
            <v>PI-707-017</v>
          </cell>
        </row>
        <row r="1851">
          <cell r="J1851" t="str">
            <v>PI-707-017</v>
          </cell>
        </row>
        <row r="1852">
          <cell r="J1852" t="str">
            <v>PI-707-017</v>
          </cell>
        </row>
        <row r="1853">
          <cell r="J1853" t="str">
            <v>PI-708-001</v>
          </cell>
        </row>
        <row r="1854">
          <cell r="J1854" t="str">
            <v>PI-708-001</v>
          </cell>
        </row>
        <row r="1855">
          <cell r="J1855" t="str">
            <v>PI-708-001</v>
          </cell>
        </row>
        <row r="1856">
          <cell r="J1856" t="str">
            <v>PI-702-102</v>
          </cell>
        </row>
        <row r="1857">
          <cell r="J1857" t="str">
            <v>PI-702-102</v>
          </cell>
        </row>
        <row r="1858">
          <cell r="J1858" t="str">
            <v>PI-702-103</v>
          </cell>
        </row>
        <row r="1859">
          <cell r="J1859" t="str">
            <v>PI-702-103</v>
          </cell>
        </row>
        <row r="1860">
          <cell r="J1860" t="str">
            <v>PI-706-101</v>
          </cell>
        </row>
        <row r="1861">
          <cell r="J1861" t="str">
            <v>PI-706-004</v>
          </cell>
        </row>
        <row r="1862">
          <cell r="J1862" t="str">
            <v>PI-706-004</v>
          </cell>
        </row>
        <row r="1863">
          <cell r="J1863" t="str">
            <v>PI-706-004</v>
          </cell>
        </row>
        <row r="1864">
          <cell r="J1864" t="str">
            <v>PI-707-017</v>
          </cell>
        </row>
        <row r="1865">
          <cell r="J1865" t="str">
            <v>PI-702-101</v>
          </cell>
        </row>
        <row r="1866">
          <cell r="J1866" t="str">
            <v>PI-707-201</v>
          </cell>
        </row>
        <row r="1867">
          <cell r="J1867" t="str">
            <v>PI-707-201</v>
          </cell>
        </row>
        <row r="1868">
          <cell r="J1868" t="str">
            <v>PI-707-017</v>
          </cell>
        </row>
        <row r="1869">
          <cell r="J1869" t="str">
            <v>PI-707-102</v>
          </cell>
        </row>
        <row r="1870">
          <cell r="J1870" t="str">
            <v>PI-707-022</v>
          </cell>
        </row>
        <row r="1871">
          <cell r="J1871" t="str">
            <v>PI-707-102</v>
          </cell>
        </row>
        <row r="1872">
          <cell r="J1872" t="str">
            <v>PI-707-022</v>
          </cell>
        </row>
        <row r="1873">
          <cell r="J1873" t="str">
            <v>PI-707-102</v>
          </cell>
        </row>
        <row r="1874">
          <cell r="J1874" t="str">
            <v>PI-707-022</v>
          </cell>
        </row>
        <row r="1875">
          <cell r="J1875" t="str">
            <v>PI-707-102</v>
          </cell>
        </row>
        <row r="1876">
          <cell r="J1876" t="str">
            <v>PI-707-022</v>
          </cell>
        </row>
        <row r="1877">
          <cell r="J1877" t="str">
            <v>PI-707-102</v>
          </cell>
        </row>
        <row r="1878">
          <cell r="J1878" t="str">
            <v>PI-707-022</v>
          </cell>
        </row>
        <row r="1879">
          <cell r="J1879" t="str">
            <v>PI-707-102</v>
          </cell>
        </row>
        <row r="1880">
          <cell r="J1880" t="str">
            <v>PI-707-022</v>
          </cell>
        </row>
        <row r="1881">
          <cell r="J1881" t="str">
            <v>PI-707-102</v>
          </cell>
        </row>
        <row r="1882">
          <cell r="J1882" t="str">
            <v>PI-707-022</v>
          </cell>
        </row>
        <row r="1883">
          <cell r="J1883" t="str">
            <v>PI-707-102</v>
          </cell>
        </row>
        <row r="1884">
          <cell r="J1884" t="str">
            <v>PI-707-022</v>
          </cell>
        </row>
        <row r="1885">
          <cell r="J1885" t="str">
            <v>PI-707-201</v>
          </cell>
        </row>
        <row r="1886">
          <cell r="J1886" t="str">
            <v>PI-707-201</v>
          </cell>
        </row>
        <row r="1887">
          <cell r="J1887" t="str">
            <v>PI-707-102</v>
          </cell>
        </row>
        <row r="1888">
          <cell r="J1888"/>
        </row>
        <row r="1889">
          <cell r="J1889" t="str">
            <v>PI-707-017</v>
          </cell>
        </row>
        <row r="1890">
          <cell r="J1890" t="str">
            <v>PI-707-017</v>
          </cell>
        </row>
        <row r="1891">
          <cell r="J1891" t="str">
            <v>PI-707-017</v>
          </cell>
        </row>
        <row r="1892">
          <cell r="J1892" t="str">
            <v>PI-707-016</v>
          </cell>
        </row>
        <row r="1893">
          <cell r="J1893" t="str">
            <v>PI-707-017</v>
          </cell>
        </row>
        <row r="1894">
          <cell r="J1894" t="str">
            <v>PI-707-017</v>
          </cell>
        </row>
        <row r="1895">
          <cell r="J1895" t="str">
            <v>PI-707-017</v>
          </cell>
        </row>
        <row r="1896">
          <cell r="J1896" t="str">
            <v>PI-707-017</v>
          </cell>
        </row>
        <row r="1897">
          <cell r="J1897"/>
        </row>
        <row r="1898">
          <cell r="J1898" t="str">
            <v>PI-707-023</v>
          </cell>
        </row>
        <row r="1899">
          <cell r="J1899"/>
        </row>
        <row r="1900">
          <cell r="J1900" t="str">
            <v>PI-707-023</v>
          </cell>
        </row>
        <row r="1901">
          <cell r="J1901"/>
        </row>
        <row r="1902">
          <cell r="J1902" t="str">
            <v>PI-707-023</v>
          </cell>
        </row>
        <row r="1903">
          <cell r="J1903"/>
        </row>
        <row r="1904">
          <cell r="J1904" t="str">
            <v>PI-707-023</v>
          </cell>
        </row>
        <row r="1905">
          <cell r="J1905"/>
        </row>
        <row r="1906">
          <cell r="J1906" t="str">
            <v>PI-707-016</v>
          </cell>
        </row>
        <row r="1907">
          <cell r="J1907" t="str">
            <v>PI-707-016</v>
          </cell>
        </row>
        <row r="1908">
          <cell r="J1908" t="str">
            <v>PI-707-016</v>
          </cell>
        </row>
        <row r="1909">
          <cell r="J1909" t="str">
            <v>PI-707-016</v>
          </cell>
        </row>
        <row r="1910">
          <cell r="J1910" t="str">
            <v>PI-707-016</v>
          </cell>
        </row>
        <row r="1911">
          <cell r="J1911" t="str">
            <v>PI-707-016</v>
          </cell>
        </row>
        <row r="1912">
          <cell r="J1912" t="str">
            <v>PI-707-016</v>
          </cell>
        </row>
        <row r="1913">
          <cell r="J1913"/>
        </row>
        <row r="1914">
          <cell r="J1914" t="str">
            <v>PI-707-016</v>
          </cell>
        </row>
        <row r="1915">
          <cell r="J1915" t="str">
            <v>PI-707-016</v>
          </cell>
        </row>
        <row r="1916">
          <cell r="J1916"/>
        </row>
        <row r="1917">
          <cell r="J1917" t="str">
            <v>PI-707-022</v>
          </cell>
        </row>
        <row r="1918">
          <cell r="J1918" t="str">
            <v>PI-707-022</v>
          </cell>
        </row>
        <row r="1919">
          <cell r="J1919" t="str">
            <v>PI-707-019</v>
          </cell>
        </row>
        <row r="1920">
          <cell r="J1920"/>
        </row>
        <row r="1921">
          <cell r="J1921" t="str">
            <v>PI-707-201</v>
          </cell>
        </row>
        <row r="1922">
          <cell r="J1922" t="str">
            <v>PI-707-024</v>
          </cell>
        </row>
        <row r="1923">
          <cell r="J1923"/>
        </row>
        <row r="1924">
          <cell r="J1924" t="str">
            <v>PI-707-018</v>
          </cell>
        </row>
        <row r="1925">
          <cell r="J1925" t="str">
            <v>PI-707-018</v>
          </cell>
        </row>
        <row r="1926">
          <cell r="J1926" t="str">
            <v>PI-707-018</v>
          </cell>
        </row>
        <row r="1927">
          <cell r="J1927" t="str">
            <v>PI-707-018</v>
          </cell>
        </row>
        <row r="1928">
          <cell r="J1928" t="str">
            <v>PI-707-018</v>
          </cell>
        </row>
        <row r="1929">
          <cell r="J1929" t="str">
            <v>PI-707-018</v>
          </cell>
        </row>
        <row r="1930">
          <cell r="J1930" t="str">
            <v>PI-707-018</v>
          </cell>
        </row>
        <row r="1931">
          <cell r="J1931" t="str">
            <v>PI-707-018</v>
          </cell>
        </row>
        <row r="1932">
          <cell r="J1932" t="str">
            <v>PI-707-018</v>
          </cell>
        </row>
        <row r="1933">
          <cell r="J1933" t="str">
            <v>PI-707-018</v>
          </cell>
        </row>
        <row r="1934">
          <cell r="J1934" t="str">
            <v>PI-707-018</v>
          </cell>
        </row>
        <row r="1935">
          <cell r="J1935" t="str">
            <v>PI-707-018</v>
          </cell>
        </row>
        <row r="1936">
          <cell r="J1936" t="str">
            <v>PI-707-018</v>
          </cell>
        </row>
        <row r="1937">
          <cell r="J1937" t="str">
            <v>PI-707-018</v>
          </cell>
        </row>
        <row r="1938">
          <cell r="J1938" t="str">
            <v>PI-707-018</v>
          </cell>
        </row>
        <row r="1939">
          <cell r="J1939" t="str">
            <v>PI-707-018</v>
          </cell>
        </row>
        <row r="1940">
          <cell r="J1940" t="str">
            <v>PI-707-018</v>
          </cell>
        </row>
        <row r="1941">
          <cell r="J1941" t="str">
            <v>PI-707-018</v>
          </cell>
        </row>
        <row r="1942">
          <cell r="J1942" t="str">
            <v>PI-707-018</v>
          </cell>
        </row>
        <row r="1943">
          <cell r="J1943" t="str">
            <v>PI-707-018</v>
          </cell>
        </row>
        <row r="1944">
          <cell r="J1944" t="str">
            <v>PI-707-018</v>
          </cell>
        </row>
        <row r="1945">
          <cell r="J1945" t="str">
            <v>PI-707-018</v>
          </cell>
        </row>
        <row r="1946">
          <cell r="J1946" t="str">
            <v>PI-707-018</v>
          </cell>
        </row>
        <row r="1947">
          <cell r="J1947"/>
        </row>
        <row r="1948">
          <cell r="J1948" t="str">
            <v>PI-707-018</v>
          </cell>
        </row>
        <row r="1949">
          <cell r="J1949" t="str">
            <v>PI-707-018</v>
          </cell>
        </row>
        <row r="1950">
          <cell r="J1950" t="str">
            <v>PI-707-018</v>
          </cell>
        </row>
        <row r="1951">
          <cell r="J1951" t="str">
            <v>PI-707-018</v>
          </cell>
        </row>
        <row r="1952">
          <cell r="J1952" t="str">
            <v>PI-707-018</v>
          </cell>
        </row>
        <row r="1953">
          <cell r="J1953" t="str">
            <v>PI-707-018</v>
          </cell>
        </row>
        <row r="1954">
          <cell r="J1954" t="str">
            <v>PI-707-018</v>
          </cell>
        </row>
        <row r="1955">
          <cell r="J1955" t="str">
            <v>PI-707-018</v>
          </cell>
        </row>
        <row r="1956">
          <cell r="J1956" t="str">
            <v>PI-707-018</v>
          </cell>
        </row>
        <row r="1957">
          <cell r="J1957" t="str">
            <v>PI-707-018</v>
          </cell>
        </row>
        <row r="1958">
          <cell r="J1958"/>
        </row>
        <row r="1959">
          <cell r="J1959" t="str">
            <v>PI-707-018</v>
          </cell>
        </row>
        <row r="1960">
          <cell r="J1960" t="str">
            <v>PI-707-018</v>
          </cell>
        </row>
        <row r="1961">
          <cell r="J1961"/>
        </row>
        <row r="1962">
          <cell r="J1962" t="str">
            <v>PI-707-018</v>
          </cell>
        </row>
        <row r="1963">
          <cell r="J1963" t="str">
            <v>PI-707-018</v>
          </cell>
        </row>
        <row r="1964">
          <cell r="J1964" t="str">
            <v>PI-707-018</v>
          </cell>
        </row>
        <row r="1965">
          <cell r="J1965"/>
        </row>
        <row r="1966">
          <cell r="J1966" t="str">
            <v>PI-707-017</v>
          </cell>
        </row>
        <row r="1967">
          <cell r="J1967"/>
        </row>
        <row r="1968">
          <cell r="J1968" t="str">
            <v>PI-707-017</v>
          </cell>
        </row>
        <row r="1969">
          <cell r="J1969"/>
        </row>
        <row r="1970">
          <cell r="J1970" t="str">
            <v>PI-707-017</v>
          </cell>
        </row>
        <row r="1971">
          <cell r="J1971"/>
        </row>
        <row r="1972">
          <cell r="J1972" t="str">
            <v>PI-700-005</v>
          </cell>
        </row>
        <row r="1973">
          <cell r="J1973"/>
        </row>
        <row r="1974">
          <cell r="J1974" t="str">
            <v>PI-702-201</v>
          </cell>
        </row>
        <row r="1975">
          <cell r="J1975" t="str">
            <v>PI-702-201</v>
          </cell>
        </row>
        <row r="1976">
          <cell r="J1976" t="str">
            <v>PI-702-202</v>
          </cell>
        </row>
        <row r="1977">
          <cell r="J1977" t="str">
            <v>PI-702-203</v>
          </cell>
        </row>
        <row r="1978">
          <cell r="J1978" t="str">
            <v>PI-702-203</v>
          </cell>
        </row>
        <row r="1979">
          <cell r="J1979" t="str">
            <v>PI-704-016</v>
          </cell>
        </row>
        <row r="1980">
          <cell r="J1980" t="str">
            <v>PI-703-014</v>
          </cell>
        </row>
        <row r="1981">
          <cell r="J1981" t="str">
            <v>PI-704-011</v>
          </cell>
        </row>
        <row r="1982">
          <cell r="J1982" t="str">
            <v>PI-704-011</v>
          </cell>
        </row>
        <row r="1983">
          <cell r="J1983" t="str">
            <v>PI-704-011</v>
          </cell>
        </row>
        <row r="1984">
          <cell r="J1984" t="str">
            <v>PI-718-101</v>
          </cell>
        </row>
        <row r="1985">
          <cell r="J1985" t="str">
            <v>PI-718-003</v>
          </cell>
        </row>
        <row r="1986">
          <cell r="J1986" t="str">
            <v>PI-706-201</v>
          </cell>
        </row>
        <row r="1987">
          <cell r="J1987" t="str">
            <v>PI-706-201</v>
          </cell>
        </row>
        <row r="1988">
          <cell r="J1988" t="str">
            <v>PI-709-001</v>
          </cell>
        </row>
        <row r="1989">
          <cell r="J1989" t="str">
            <v>PI-705-UTILITIES</v>
          </cell>
        </row>
        <row r="1990">
          <cell r="J1990" t="str">
            <v>PI-704-011</v>
          </cell>
        </row>
        <row r="1991">
          <cell r="J1991" t="str">
            <v>PI-704-011</v>
          </cell>
        </row>
        <row r="1992">
          <cell r="J1992" t="str">
            <v>PI-704-011</v>
          </cell>
        </row>
        <row r="1993">
          <cell r="J1993" t="str">
            <v>PI-704-011</v>
          </cell>
        </row>
        <row r="1994">
          <cell r="J1994" t="str">
            <v>PI-704-105</v>
          </cell>
        </row>
        <row r="1995">
          <cell r="J1995" t="str">
            <v>PI-704-105</v>
          </cell>
        </row>
        <row r="1996">
          <cell r="J1996" t="str">
            <v>PI-704-205</v>
          </cell>
        </row>
        <row r="1997">
          <cell r="J1997" t="str">
            <v>PI-704-205</v>
          </cell>
        </row>
        <row r="1998">
          <cell r="J1998" t="str">
            <v>PI-704-205</v>
          </cell>
        </row>
        <row r="1999">
          <cell r="J1999" t="str">
            <v>PI-704-005</v>
          </cell>
        </row>
        <row r="2000">
          <cell r="J2000" t="str">
            <v>PI-704-005</v>
          </cell>
        </row>
        <row r="2001">
          <cell r="J2001" t="str">
            <v>PI-704-013</v>
          </cell>
        </row>
        <row r="2002">
          <cell r="J2002" t="str">
            <v>PI-704-013</v>
          </cell>
        </row>
        <row r="2003">
          <cell r="J2003" t="str">
            <v>PI-704-013</v>
          </cell>
        </row>
        <row r="2004">
          <cell r="J2004" t="str">
            <v>PI-704-016</v>
          </cell>
        </row>
        <row r="2005">
          <cell r="J2005" t="str">
            <v>PI-704-013</v>
          </cell>
        </row>
        <row r="2006">
          <cell r="J2006" t="str">
            <v>PI-704-013</v>
          </cell>
        </row>
        <row r="2007">
          <cell r="J2007" t="str">
            <v>PI-707-401</v>
          </cell>
        </row>
        <row r="2008">
          <cell r="J2008" t="str">
            <v>PI-707-401</v>
          </cell>
        </row>
        <row r="2009">
          <cell r="J2009" t="str">
            <v>PI-707-401</v>
          </cell>
        </row>
        <row r="2010">
          <cell r="J2010" t="str">
            <v>PI-707-001</v>
          </cell>
        </row>
        <row r="2011">
          <cell r="J2011" t="str">
            <v>PI-707-002</v>
          </cell>
        </row>
        <row r="2012">
          <cell r="J2012" t="str">
            <v>PI-707-002</v>
          </cell>
        </row>
        <row r="2013">
          <cell r="J2013" t="str">
            <v>PI-707-004</v>
          </cell>
        </row>
        <row r="2014">
          <cell r="J2014" t="str">
            <v>PI-707-024</v>
          </cell>
        </row>
        <row r="2015">
          <cell r="J2015" t="str">
            <v>PI-703-UTILITIES</v>
          </cell>
        </row>
        <row r="2016">
          <cell r="J2016" t="str">
            <v>PI-703-UTILITIES</v>
          </cell>
        </row>
        <row r="2017">
          <cell r="J2017" t="str">
            <v>PI-703-012</v>
          </cell>
        </row>
        <row r="2018">
          <cell r="J2018" t="str">
            <v>PI-707-014</v>
          </cell>
        </row>
        <row r="2019">
          <cell r="J2019" t="str">
            <v>PI-703-014</v>
          </cell>
        </row>
        <row r="2020">
          <cell r="J2020" t="str">
            <v>PI-703-007</v>
          </cell>
        </row>
        <row r="2021">
          <cell r="J2021" t="str">
            <v>PI-702-UTILITIES</v>
          </cell>
        </row>
        <row r="2022">
          <cell r="J2022" t="str">
            <v>PI-702-UTILITIES</v>
          </cell>
        </row>
        <row r="2023">
          <cell r="J2023" t="str">
            <v>PI-724-201</v>
          </cell>
        </row>
        <row r="2024">
          <cell r="J2024" t="str">
            <v>PI-707-019</v>
          </cell>
        </row>
        <row r="2025">
          <cell r="J2025" t="str">
            <v>PI-707-019</v>
          </cell>
        </row>
        <row r="2026">
          <cell r="J2026" t="str">
            <v>PI-707-019</v>
          </cell>
        </row>
        <row r="2027">
          <cell r="J2027" t="str">
            <v>PI-707-019</v>
          </cell>
        </row>
        <row r="2028">
          <cell r="J2028" t="str">
            <v>PI-707-019</v>
          </cell>
        </row>
        <row r="2029">
          <cell r="J2029" t="str">
            <v>PI-707-023</v>
          </cell>
        </row>
        <row r="2030">
          <cell r="J2030" t="str">
            <v>PI-707-023</v>
          </cell>
        </row>
        <row r="2031">
          <cell r="J2031" t="str">
            <v>PI-707-023</v>
          </cell>
        </row>
        <row r="2032">
          <cell r="J2032" t="str">
            <v>PI-707-023</v>
          </cell>
        </row>
        <row r="2033">
          <cell r="J2033" t="str">
            <v>PI-707-015</v>
          </cell>
        </row>
        <row r="2034">
          <cell r="J2034" t="str">
            <v>PI-706-001</v>
          </cell>
        </row>
        <row r="2035">
          <cell r="J2035" t="str">
            <v>PI-706-001</v>
          </cell>
        </row>
        <row r="2036">
          <cell r="J2036" t="str">
            <v>PI-706-001</v>
          </cell>
        </row>
        <row r="2037">
          <cell r="J2037" t="str">
            <v>PI-706-001</v>
          </cell>
        </row>
        <row r="2038">
          <cell r="J2038" t="str">
            <v>PI-706-002</v>
          </cell>
        </row>
        <row r="2039">
          <cell r="J2039" t="str">
            <v>PI-706-002</v>
          </cell>
        </row>
        <row r="2040">
          <cell r="J2040" t="str">
            <v>PI-706-002</v>
          </cell>
        </row>
        <row r="2041">
          <cell r="J2041" t="str">
            <v>PI-706-002</v>
          </cell>
        </row>
        <row r="2042">
          <cell r="J2042" t="str">
            <v>PI-706-009</v>
          </cell>
        </row>
        <row r="2043">
          <cell r="J2043"/>
        </row>
        <row r="2044">
          <cell r="J2044" t="str">
            <v>PI-706-003</v>
          </cell>
        </row>
        <row r="2045">
          <cell r="J2045" t="str">
            <v>PI-706-003</v>
          </cell>
        </row>
        <row r="2046">
          <cell r="J2046" t="str">
            <v>PI-707-015</v>
          </cell>
        </row>
        <row r="2047">
          <cell r="J2047" t="str">
            <v>PI-702-201</v>
          </cell>
        </row>
        <row r="2048">
          <cell r="J2048" t="str">
            <v>PI-719-103</v>
          </cell>
        </row>
        <row r="2049">
          <cell r="J2049" t="str">
            <v>PI-719-103</v>
          </cell>
        </row>
        <row r="2050">
          <cell r="J2050" t="str">
            <v>PI-725-005</v>
          </cell>
        </row>
        <row r="2051">
          <cell r="J2051" t="str">
            <v>PI-725-101</v>
          </cell>
        </row>
        <row r="2052">
          <cell r="J2052" t="str">
            <v>PI-725-005</v>
          </cell>
        </row>
        <row r="2053">
          <cell r="J2053" t="str">
            <v>PI-719-103</v>
          </cell>
        </row>
        <row r="2054">
          <cell r="J2054" t="str">
            <v>PI-725-101</v>
          </cell>
        </row>
        <row r="2055">
          <cell r="J2055" t="str">
            <v>PI-725-003</v>
          </cell>
        </row>
        <row r="2056">
          <cell r="J2056" t="str">
            <v>PI-725-003</v>
          </cell>
        </row>
        <row r="2057">
          <cell r="J2057" t="str">
            <v>PI-725-003</v>
          </cell>
        </row>
        <row r="2058">
          <cell r="J2058" t="str">
            <v>PI-725-003</v>
          </cell>
        </row>
        <row r="2059">
          <cell r="J2059" t="str">
            <v>PI-725-003</v>
          </cell>
        </row>
        <row r="2060">
          <cell r="J2060" t="str">
            <v>PI-725-003</v>
          </cell>
        </row>
        <row r="2061">
          <cell r="J2061"/>
        </row>
        <row r="2062">
          <cell r="J2062" t="str">
            <v>PI-702-103</v>
          </cell>
        </row>
        <row r="2063">
          <cell r="J2063" t="str">
            <v>PI-724-101</v>
          </cell>
        </row>
        <row r="2064">
          <cell r="J2064" t="str">
            <v>PI-724-005</v>
          </cell>
        </row>
        <row r="2065">
          <cell r="J2065" t="str">
            <v>PI-724-005</v>
          </cell>
        </row>
        <row r="2066">
          <cell r="J2066"/>
        </row>
        <row r="2067">
          <cell r="J2067" t="str">
            <v>PI-724-005</v>
          </cell>
        </row>
        <row r="2068">
          <cell r="J2068" t="str">
            <v>PI-724-005</v>
          </cell>
        </row>
        <row r="2069">
          <cell r="J2069" t="str">
            <v>PI-724-001</v>
          </cell>
        </row>
        <row r="2070">
          <cell r="J2070" t="str">
            <v>PI-724-001</v>
          </cell>
        </row>
        <row r="2071">
          <cell r="J2071" t="str">
            <v>PI-724-001</v>
          </cell>
        </row>
        <row r="2072">
          <cell r="J2072" t="str">
            <v>PI-724-001</v>
          </cell>
        </row>
        <row r="2073">
          <cell r="J2073" t="str">
            <v>PI-724-001</v>
          </cell>
        </row>
        <row r="2074">
          <cell r="J2074" t="str">
            <v>PI-724-001</v>
          </cell>
        </row>
        <row r="2075">
          <cell r="J2075" t="str">
            <v>PI-724-001</v>
          </cell>
        </row>
        <row r="2076">
          <cell r="J2076" t="str">
            <v>PI-724-001</v>
          </cell>
        </row>
        <row r="2077">
          <cell r="J2077" t="str">
            <v>PI-724-005</v>
          </cell>
        </row>
        <row r="2078">
          <cell r="J2078" t="str">
            <v>PI-702-203</v>
          </cell>
        </row>
        <row r="2079">
          <cell r="J2079" t="str">
            <v>PI-703-201</v>
          </cell>
        </row>
        <row r="2080">
          <cell r="J2080" t="str">
            <v>PI-703-103</v>
          </cell>
        </row>
        <row r="2081">
          <cell r="J2081" t="str">
            <v>PI-703-302</v>
          </cell>
        </row>
        <row r="2082">
          <cell r="J2082" t="str">
            <v>PI-724-101</v>
          </cell>
        </row>
        <row r="2083">
          <cell r="J2083" t="str">
            <v>PI-724-001</v>
          </cell>
        </row>
        <row r="2084">
          <cell r="J2084" t="str">
            <v>PI-724-001</v>
          </cell>
        </row>
        <row r="2085">
          <cell r="J2085"/>
        </row>
        <row r="2086">
          <cell r="J2086" t="str">
            <v>PI-724-005</v>
          </cell>
        </row>
        <row r="2087">
          <cell r="J2087"/>
        </row>
        <row r="2088">
          <cell r="J2088" t="str">
            <v>PI-724-005</v>
          </cell>
        </row>
        <row r="2089">
          <cell r="J2089"/>
        </row>
        <row r="2090">
          <cell r="J2090" t="str">
            <v>PI-724-005</v>
          </cell>
        </row>
        <row r="2091">
          <cell r="J2091"/>
        </row>
        <row r="2092">
          <cell r="J2092" t="str">
            <v>PI-724-005</v>
          </cell>
        </row>
        <row r="2093">
          <cell r="J2093"/>
        </row>
        <row r="2094">
          <cell r="J2094" t="str">
            <v>PI-724-007</v>
          </cell>
        </row>
        <row r="2095">
          <cell r="J2095" t="str">
            <v>PI-724-007</v>
          </cell>
        </row>
        <row r="2096">
          <cell r="J2096" t="str">
            <v>PI-724-007</v>
          </cell>
        </row>
        <row r="2097">
          <cell r="J2097" t="str">
            <v>PI-724-007</v>
          </cell>
        </row>
        <row r="2098">
          <cell r="J2098" t="str">
            <v>PI-724-007</v>
          </cell>
        </row>
        <row r="2099">
          <cell r="J2099" t="str">
            <v>PI-724-007</v>
          </cell>
        </row>
        <row r="2100">
          <cell r="J2100" t="str">
            <v>PI-724-001</v>
          </cell>
        </row>
        <row r="2101">
          <cell r="J2101"/>
        </row>
        <row r="2102">
          <cell r="J2102" t="str">
            <v>PI-700-005</v>
          </cell>
        </row>
        <row r="2103">
          <cell r="J2103"/>
        </row>
        <row r="2104">
          <cell r="J2104" t="str">
            <v>PI-702-201</v>
          </cell>
        </row>
        <row r="2105">
          <cell r="J2105" t="str">
            <v>PI-702-201</v>
          </cell>
        </row>
        <row r="2106">
          <cell r="J2106" t="str">
            <v>PI-702-201</v>
          </cell>
        </row>
        <row r="2107">
          <cell r="J2107" t="str">
            <v>PI-702-202</v>
          </cell>
        </row>
        <row r="2108">
          <cell r="J2108" t="str">
            <v>PI-702-203</v>
          </cell>
        </row>
        <row r="2109">
          <cell r="J2109" t="str">
            <v>PI-707-016</v>
          </cell>
        </row>
        <row r="2110">
          <cell r="J2110" t="str">
            <v>PI-703-UTILITIES</v>
          </cell>
        </row>
        <row r="2111">
          <cell r="J2111" t="str">
            <v>PI-703-UTILITIES</v>
          </cell>
        </row>
        <row r="2112">
          <cell r="J2112" t="str">
            <v>PI-703-UTILITIES</v>
          </cell>
        </row>
        <row r="2113">
          <cell r="J2113" t="str">
            <v>PI-703-UTILITIES</v>
          </cell>
        </row>
        <row r="2114">
          <cell r="J2114" t="str">
            <v>PI-703-UTILITIES</v>
          </cell>
        </row>
        <row r="2115">
          <cell r="J2115" t="str">
            <v>PI-703-UTILITIES</v>
          </cell>
        </row>
        <row r="2116">
          <cell r="J2116" t="str">
            <v>PI-704-015</v>
          </cell>
        </row>
        <row r="2117">
          <cell r="J2117" t="str">
            <v>PI-704-015</v>
          </cell>
        </row>
        <row r="2118">
          <cell r="J2118" t="str">
            <v>PI-704-009</v>
          </cell>
        </row>
        <row r="2119">
          <cell r="J2119" t="str">
            <v>PI-704-009</v>
          </cell>
        </row>
        <row r="2120">
          <cell r="J2120" t="str">
            <v>PI-724-201</v>
          </cell>
        </row>
        <row r="2121">
          <cell r="J2121" t="str">
            <v>PI-724-008</v>
          </cell>
        </row>
        <row r="2122">
          <cell r="J2122" t="str">
            <v>PI-702-UTILITIES</v>
          </cell>
        </row>
        <row r="2123">
          <cell r="J2123" t="str">
            <v>PI-704-013</v>
          </cell>
        </row>
        <row r="2124">
          <cell r="J2124" t="str">
            <v>PI-704-013</v>
          </cell>
        </row>
        <row r="2125">
          <cell r="J2125" t="str">
            <v>PI-704-013</v>
          </cell>
        </row>
        <row r="2126">
          <cell r="J2126" t="str">
            <v>PI-704-011</v>
          </cell>
        </row>
        <row r="2127">
          <cell r="J2127" t="str">
            <v>PI-704-011</v>
          </cell>
        </row>
        <row r="2128">
          <cell r="J2128" t="str">
            <v>PI-703-014</v>
          </cell>
        </row>
        <row r="2129">
          <cell r="J2129" t="str">
            <v>PI-703-014</v>
          </cell>
        </row>
        <row r="2130">
          <cell r="J2130" t="str">
            <v>PI-703-014</v>
          </cell>
        </row>
        <row r="2131">
          <cell r="J2131" t="str">
            <v>PI-704-009</v>
          </cell>
        </row>
        <row r="2132">
          <cell r="J2132" t="str">
            <v>PI-703-UTILITIES</v>
          </cell>
        </row>
        <row r="2133">
          <cell r="J2133" t="str">
            <v>PI-703-UTILITIES</v>
          </cell>
        </row>
        <row r="2134">
          <cell r="J2134" t="str">
            <v>PI-704-008</v>
          </cell>
        </row>
        <row r="2135">
          <cell r="J2135" t="str">
            <v>PI-704-008</v>
          </cell>
        </row>
        <row r="2136">
          <cell r="J2136" t="str">
            <v>PI-703-UTILITIES</v>
          </cell>
        </row>
        <row r="2137">
          <cell r="J2137" t="str">
            <v>PI-703-UTILITIES</v>
          </cell>
        </row>
        <row r="2138">
          <cell r="J2138" t="str">
            <v>PI-704-005</v>
          </cell>
        </row>
        <row r="2139">
          <cell r="J2139" t="str">
            <v>PI-704-005</v>
          </cell>
        </row>
        <row r="2140">
          <cell r="J2140" t="str">
            <v>PI-703-004</v>
          </cell>
        </row>
        <row r="2141">
          <cell r="J2141" t="str">
            <v>PI-703-004</v>
          </cell>
        </row>
        <row r="2142">
          <cell r="J2142" t="str">
            <v>PI-703-004</v>
          </cell>
        </row>
        <row r="2143">
          <cell r="J2143" t="str">
            <v>PI-703-004</v>
          </cell>
        </row>
        <row r="2144">
          <cell r="J2144" t="str">
            <v>PI-703-UTILITIES</v>
          </cell>
        </row>
        <row r="2145">
          <cell r="J2145" t="str">
            <v>PI-703-UTILITIES</v>
          </cell>
        </row>
        <row r="2146">
          <cell r="J2146" t="str">
            <v>PI-703-UTILITIES</v>
          </cell>
        </row>
        <row r="2147">
          <cell r="J2147" t="str">
            <v>PI-703-UTILITIES</v>
          </cell>
        </row>
        <row r="2148">
          <cell r="J2148" t="str">
            <v>PI-704-017</v>
          </cell>
        </row>
        <row r="2149">
          <cell r="J2149" t="str">
            <v>PI-704-015</v>
          </cell>
        </row>
        <row r="2150">
          <cell r="J2150" t="str">
            <v>PI-704-007</v>
          </cell>
        </row>
        <row r="2151">
          <cell r="J2151" t="str">
            <v>PI-705-UTILITIES</v>
          </cell>
        </row>
        <row r="2152">
          <cell r="J2152" t="str">
            <v>PI-705-UTILITIES</v>
          </cell>
        </row>
        <row r="2153">
          <cell r="J2153" t="str">
            <v>PI-703-005</v>
          </cell>
        </row>
        <row r="2154">
          <cell r="J2154" t="str">
            <v>PI-703-005</v>
          </cell>
        </row>
        <row r="2155">
          <cell r="J2155" t="str">
            <v>PI-704-205</v>
          </cell>
        </row>
        <row r="2156">
          <cell r="J2156" t="str">
            <v>PI-704-016</v>
          </cell>
        </row>
        <row r="2157">
          <cell r="J2157" t="str">
            <v>PI-706-009</v>
          </cell>
        </row>
        <row r="2158">
          <cell r="J2158" t="str">
            <v>PI-702-UTILITIES</v>
          </cell>
        </row>
        <row r="2159">
          <cell r="J2159" t="str">
            <v>PI-706-009</v>
          </cell>
        </row>
        <row r="2160">
          <cell r="J2160" t="str">
            <v>PI-704-005</v>
          </cell>
        </row>
        <row r="2161">
          <cell r="J2161" t="str">
            <v>PI-704-105</v>
          </cell>
        </row>
        <row r="2162">
          <cell r="J2162" t="str">
            <v>PI-704-105</v>
          </cell>
        </row>
        <row r="2163">
          <cell r="J2163" t="str">
            <v>PI-704-205</v>
          </cell>
        </row>
        <row r="2164">
          <cell r="J2164" t="str">
            <v>PI-704-205</v>
          </cell>
        </row>
        <row r="2165">
          <cell r="J2165" t="str">
            <v>PI-724-201</v>
          </cell>
        </row>
        <row r="2166">
          <cell r="J2166" t="str">
            <v>PI-724-201</v>
          </cell>
        </row>
        <row r="2167">
          <cell r="J2167" t="str">
            <v>PI-706-003</v>
          </cell>
        </row>
        <row r="2168">
          <cell r="J2168" t="str">
            <v>PI-706-003</v>
          </cell>
        </row>
        <row r="2169">
          <cell r="J2169" t="str">
            <v>PI-706-003</v>
          </cell>
        </row>
        <row r="2170">
          <cell r="J2170" t="str">
            <v>PI-706-003</v>
          </cell>
        </row>
        <row r="2171">
          <cell r="J2171" t="str">
            <v>PI-706-002</v>
          </cell>
        </row>
        <row r="2172">
          <cell r="J2172" t="str">
            <v>PI-706-002</v>
          </cell>
        </row>
        <row r="2173">
          <cell r="J2173" t="str">
            <v>PI-718-101</v>
          </cell>
        </row>
        <row r="2174">
          <cell r="J2174" t="str">
            <v>PI-718-101</v>
          </cell>
        </row>
        <row r="2175">
          <cell r="J2175" t="str">
            <v>PI-706-201</v>
          </cell>
        </row>
        <row r="2176">
          <cell r="J2176" t="str">
            <v>PI-706-201</v>
          </cell>
        </row>
        <row r="2177">
          <cell r="J2177" t="str">
            <v>PI-724-201</v>
          </cell>
        </row>
        <row r="2178">
          <cell r="J2178" t="str">
            <v>PI-706-UTILITIES</v>
          </cell>
        </row>
        <row r="2179">
          <cell r="J2179" t="str">
            <v>PI-706-UTILITIES</v>
          </cell>
        </row>
        <row r="2180">
          <cell r="J2180" t="str">
            <v>PI-706-006</v>
          </cell>
        </row>
        <row r="2181">
          <cell r="J2181" t="str">
            <v>PI-706-006</v>
          </cell>
        </row>
        <row r="2182">
          <cell r="J2182" t="str">
            <v>PI-706-006</v>
          </cell>
        </row>
        <row r="2183">
          <cell r="J2183" t="str">
            <v>PI-706-004</v>
          </cell>
        </row>
        <row r="2184">
          <cell r="J2184" t="str">
            <v>PI-706-004</v>
          </cell>
        </row>
        <row r="2185">
          <cell r="J2185" t="str">
            <v>PI-706-004</v>
          </cell>
        </row>
        <row r="2186">
          <cell r="J2186" t="str">
            <v>PI-706-004</v>
          </cell>
        </row>
        <row r="2187">
          <cell r="J2187" t="str">
            <v>PI-724-201</v>
          </cell>
        </row>
        <row r="2188">
          <cell r="J2188" t="str">
            <v>PI-724-006</v>
          </cell>
        </row>
        <row r="2189">
          <cell r="J2189" t="str">
            <v>PI-724-006</v>
          </cell>
        </row>
        <row r="2190">
          <cell r="J2190" t="str">
            <v>PI-724-005</v>
          </cell>
        </row>
        <row r="2191">
          <cell r="J2191" t="str">
            <v>PI-724-005</v>
          </cell>
        </row>
        <row r="2192">
          <cell r="J2192" t="str">
            <v>PI-724-004</v>
          </cell>
        </row>
        <row r="2193">
          <cell r="J2193" t="str">
            <v>PI-724-004</v>
          </cell>
        </row>
        <row r="2194">
          <cell r="J2194" t="str">
            <v>PI-724-201</v>
          </cell>
        </row>
        <row r="2195">
          <cell r="J2195" t="str">
            <v>PI-724-101</v>
          </cell>
        </row>
        <row r="2196">
          <cell r="J2196" t="str">
            <v>PI-724-201</v>
          </cell>
        </row>
        <row r="2197">
          <cell r="J2197" t="str">
            <v>PI-724-008</v>
          </cell>
        </row>
        <row r="2198">
          <cell r="J2198" t="str">
            <v>PI-707-401</v>
          </cell>
        </row>
        <row r="2199">
          <cell r="J2199" t="str">
            <v>PI-707-401</v>
          </cell>
        </row>
        <row r="2200">
          <cell r="J2200" t="str">
            <v>PI-707-401</v>
          </cell>
        </row>
        <row r="2201">
          <cell r="J2201" t="str">
            <v>PI-702-UTILITIES</v>
          </cell>
        </row>
        <row r="2202">
          <cell r="J2202" t="str">
            <v>PI-707-016</v>
          </cell>
        </row>
        <row r="2203">
          <cell r="J2203" t="str">
            <v>PI-707-016</v>
          </cell>
        </row>
        <row r="2204">
          <cell r="J2204" t="str">
            <v>PI-702-UTILITIES</v>
          </cell>
        </row>
        <row r="2205">
          <cell r="J2205" t="str">
            <v>PI-702-UTILITIES</v>
          </cell>
        </row>
        <row r="2206">
          <cell r="J2206" t="str">
            <v>PI-702-UTILITIES</v>
          </cell>
        </row>
        <row r="2207">
          <cell r="J2207" t="str">
            <v>PI-702-UTILITIES</v>
          </cell>
        </row>
        <row r="2208">
          <cell r="J2208" t="str">
            <v>PI-707-012</v>
          </cell>
        </row>
        <row r="2209">
          <cell r="J2209" t="str">
            <v>PI-702-UTILITIES</v>
          </cell>
        </row>
        <row r="2210">
          <cell r="J2210" t="str">
            <v>PI-707-401</v>
          </cell>
        </row>
        <row r="2211">
          <cell r="J2211" t="str">
            <v>PI-707-002</v>
          </cell>
        </row>
        <row r="2212">
          <cell r="J2212" t="str">
            <v>PI-707-002</v>
          </cell>
        </row>
        <row r="2213">
          <cell r="J2213" t="str">
            <v>PI-702-UTILITIES</v>
          </cell>
        </row>
        <row r="2214">
          <cell r="J2214" t="str">
            <v>PI-707-003</v>
          </cell>
        </row>
        <row r="2215">
          <cell r="J2215" t="str">
            <v>PI-707-023</v>
          </cell>
        </row>
        <row r="2216">
          <cell r="J2216" t="str">
            <v>PI-707-023</v>
          </cell>
        </row>
        <row r="2217">
          <cell r="J2217" t="str">
            <v>PI-707-003</v>
          </cell>
        </row>
        <row r="2218">
          <cell r="J2218" t="str">
            <v>PI-707-005</v>
          </cell>
        </row>
        <row r="2219">
          <cell r="J2219" t="str">
            <v>PI-707-005</v>
          </cell>
        </row>
        <row r="2220">
          <cell r="J2220" t="str">
            <v>PI-702-UTILITIES</v>
          </cell>
        </row>
        <row r="2221">
          <cell r="J2221" t="str">
            <v>PI-708-003</v>
          </cell>
        </row>
        <row r="2222">
          <cell r="J2222" t="str">
            <v>PI-708-003</v>
          </cell>
        </row>
        <row r="2223">
          <cell r="J2223" t="str">
            <v>PI-707-401</v>
          </cell>
        </row>
        <row r="2224">
          <cell r="J2224" t="str">
            <v>PI-707-012</v>
          </cell>
        </row>
        <row r="2225">
          <cell r="J2225" t="str">
            <v>PI-707-012</v>
          </cell>
        </row>
        <row r="2226">
          <cell r="J2226" t="str">
            <v>PI-707-401</v>
          </cell>
        </row>
        <row r="2227">
          <cell r="J2227" t="str">
            <v>PI-707-008</v>
          </cell>
        </row>
        <row r="2228">
          <cell r="J2228" t="str">
            <v>PI-707-008</v>
          </cell>
        </row>
        <row r="2229">
          <cell r="J2229" t="str">
            <v>PI-707-013</v>
          </cell>
        </row>
        <row r="2230">
          <cell r="J2230" t="str">
            <v>PI-706-003</v>
          </cell>
        </row>
        <row r="2231">
          <cell r="J2231" t="str">
            <v>PI-706-003</v>
          </cell>
        </row>
        <row r="2232">
          <cell r="J2232" t="str">
            <v>PI-707-005</v>
          </cell>
        </row>
        <row r="2233">
          <cell r="J2233" t="str">
            <v>PI-707-005</v>
          </cell>
        </row>
        <row r="2234">
          <cell r="J2234" t="str">
            <v>PI-702-201</v>
          </cell>
        </row>
        <row r="2235">
          <cell r="J2235" t="str">
            <v>PI-719-103</v>
          </cell>
        </row>
        <row r="2236">
          <cell r="J2236" t="str">
            <v>PI-719-103</v>
          </cell>
        </row>
        <row r="2237">
          <cell r="J2237" t="str">
            <v>PI-719-103</v>
          </cell>
        </row>
        <row r="2238">
          <cell r="J2238" t="str">
            <v>PI-719-103</v>
          </cell>
        </row>
        <row r="2239">
          <cell r="J2239" t="str">
            <v>PI-719-103</v>
          </cell>
        </row>
        <row r="2240">
          <cell r="J2240" t="str">
            <v>PI-725-101</v>
          </cell>
        </row>
        <row r="2241">
          <cell r="J2241" t="str">
            <v>PI-725-101</v>
          </cell>
        </row>
        <row r="2242">
          <cell r="J2242" t="str">
            <v>PI-702-201</v>
          </cell>
        </row>
        <row r="2243">
          <cell r="J2243" t="str">
            <v>PI-702-201</v>
          </cell>
        </row>
        <row r="2244">
          <cell r="J2244" t="str">
            <v>PI-719-102</v>
          </cell>
        </row>
        <row r="2245">
          <cell r="J2245" t="str">
            <v>PI-719-102</v>
          </cell>
        </row>
        <row r="2246">
          <cell r="J2246" t="str">
            <v>PI-719-103</v>
          </cell>
        </row>
        <row r="2247">
          <cell r="J2247" t="str">
            <v>PI-719-103</v>
          </cell>
        </row>
        <row r="2248">
          <cell r="J2248" t="str">
            <v>PI-719-103</v>
          </cell>
        </row>
        <row r="2249">
          <cell r="J2249" t="str">
            <v>PI-719-103</v>
          </cell>
        </row>
        <row r="2250">
          <cell r="J2250" t="str">
            <v>PI-719-103</v>
          </cell>
        </row>
        <row r="2251">
          <cell r="J2251" t="str">
            <v>PI-719-103</v>
          </cell>
        </row>
        <row r="2252">
          <cell r="J2252" t="str">
            <v>PI-725-101</v>
          </cell>
        </row>
        <row r="2253">
          <cell r="J2253" t="str">
            <v>PI-725-002</v>
          </cell>
        </row>
        <row r="2254">
          <cell r="J2254" t="str">
            <v>PI-725-002</v>
          </cell>
        </row>
        <row r="2255">
          <cell r="J2255"/>
        </row>
        <row r="2256">
          <cell r="J2256" t="str">
            <v>PI-707-001</v>
          </cell>
        </row>
        <row r="2257">
          <cell r="J2257" t="str">
            <v>PI-707-002</v>
          </cell>
        </row>
        <row r="2258">
          <cell r="J2258" t="str">
            <v>PI-707-002</v>
          </cell>
        </row>
        <row r="2259">
          <cell r="J2259" t="str">
            <v>PI-707-009</v>
          </cell>
        </row>
        <row r="2260">
          <cell r="J2260" t="str">
            <v>PI-707-009</v>
          </cell>
        </row>
        <row r="2261">
          <cell r="J2261" t="str">
            <v>PI-707-010</v>
          </cell>
        </row>
        <row r="2262">
          <cell r="J2262" t="str">
            <v>PI-707-301</v>
          </cell>
        </row>
        <row r="2263">
          <cell r="J2263" t="str">
            <v>PI-707-301</v>
          </cell>
        </row>
        <row r="2264">
          <cell r="J2264" t="str">
            <v>PI-707-013</v>
          </cell>
        </row>
        <row r="2265">
          <cell r="J2265" t="str">
            <v>PI-707-013</v>
          </cell>
        </row>
        <row r="2266">
          <cell r="J2266" t="str">
            <v>PI-707-013</v>
          </cell>
        </row>
        <row r="2267">
          <cell r="J2267" t="str">
            <v>PI-702-101</v>
          </cell>
        </row>
        <row r="2268">
          <cell r="J2268" t="str">
            <v>PI-707-006</v>
          </cell>
        </row>
        <row r="2269">
          <cell r="J2269" t="str">
            <v>PI-702-101</v>
          </cell>
        </row>
        <row r="2270">
          <cell r="J2270" t="str">
            <v>PI-707-004</v>
          </cell>
        </row>
        <row r="2271">
          <cell r="J2271"/>
        </row>
        <row r="2272">
          <cell r="J2272" t="str">
            <v>PI-704-011</v>
          </cell>
        </row>
        <row r="2273">
          <cell r="J2273" t="str">
            <v>PI-704-011</v>
          </cell>
        </row>
        <row r="2274">
          <cell r="J2274" t="str">
            <v>PI-704-015</v>
          </cell>
        </row>
        <row r="2275">
          <cell r="J2275" t="str">
            <v>PI-704-015</v>
          </cell>
        </row>
        <row r="2276">
          <cell r="J2276" t="str">
            <v>PI-704-017</v>
          </cell>
        </row>
        <row r="2277">
          <cell r="J2277" t="str">
            <v>PI-704-017</v>
          </cell>
        </row>
        <row r="2278">
          <cell r="J2278" t="str">
            <v>PI-703-103</v>
          </cell>
        </row>
        <row r="2279">
          <cell r="J2279" t="str">
            <v>PI-703-103</v>
          </cell>
        </row>
        <row r="2280">
          <cell r="J2280" t="str">
            <v>PI-703-103</v>
          </cell>
        </row>
        <row r="2281">
          <cell r="J2281" t="str">
            <v>PI-703-103</v>
          </cell>
        </row>
        <row r="2282">
          <cell r="J2282" t="str">
            <v>PI-702-201</v>
          </cell>
        </row>
        <row r="2283">
          <cell r="J2283" t="str">
            <v>PI-702-201</v>
          </cell>
        </row>
        <row r="2284">
          <cell r="J2284" t="str">
            <v>PI-704-105</v>
          </cell>
        </row>
        <row r="2285">
          <cell r="J2285" t="str">
            <v>PI-704-105</v>
          </cell>
        </row>
        <row r="2286">
          <cell r="J2286" t="str">
            <v>PI-703-012</v>
          </cell>
        </row>
        <row r="2287">
          <cell r="J2287" t="str">
            <v>PI-703-012</v>
          </cell>
        </row>
        <row r="2288">
          <cell r="J2288" t="str">
            <v>PI-703-104</v>
          </cell>
        </row>
        <row r="2289">
          <cell r="J2289"/>
        </row>
        <row r="2290">
          <cell r="J2290"/>
        </row>
        <row r="2291">
          <cell r="J2291" t="str">
            <v>PI-707-301</v>
          </cell>
        </row>
        <row r="2292">
          <cell r="J2292" t="str">
            <v>PI-707-301</v>
          </cell>
        </row>
        <row r="2293">
          <cell r="J2293" t="str">
            <v>PI-707-301</v>
          </cell>
        </row>
        <row r="2294">
          <cell r="J2294" t="str">
            <v>PI-707-301</v>
          </cell>
        </row>
        <row r="2295">
          <cell r="J2295" t="str">
            <v>PI-702-101</v>
          </cell>
        </row>
        <row r="2296">
          <cell r="J2296" t="str">
            <v>PI-702-102</v>
          </cell>
        </row>
        <row r="2297">
          <cell r="J2297" t="str">
            <v>PI-702-103</v>
          </cell>
        </row>
        <row r="2298">
          <cell r="J2298" t="str">
            <v>PI-702-103</v>
          </cell>
        </row>
        <row r="2299">
          <cell r="J2299" t="str">
            <v>PI-702-103</v>
          </cell>
        </row>
        <row r="2300">
          <cell r="J2300" t="str">
            <v>PI-704-105</v>
          </cell>
        </row>
        <row r="2301">
          <cell r="J2301" t="str">
            <v>PI-704-105</v>
          </cell>
        </row>
        <row r="2302">
          <cell r="J2302" t="str">
            <v>PI-704-105</v>
          </cell>
        </row>
        <row r="2303">
          <cell r="J2303" t="str">
            <v>PI-704-205</v>
          </cell>
        </row>
        <row r="2304">
          <cell r="J2304" t="str">
            <v>PI-724-201</v>
          </cell>
        </row>
        <row r="2305">
          <cell r="J2305" t="str">
            <v>PI-724-201</v>
          </cell>
        </row>
        <row r="2306">
          <cell r="J2306" t="str">
            <v>PI-724-301</v>
          </cell>
        </row>
        <row r="2307">
          <cell r="J2307" t="str">
            <v>PI-707-301</v>
          </cell>
        </row>
        <row r="2308">
          <cell r="J2308" t="str">
            <v>PI-707-301</v>
          </cell>
        </row>
        <row r="2309">
          <cell r="J2309" t="str">
            <v>PI-707-301</v>
          </cell>
        </row>
        <row r="2310">
          <cell r="J2310" t="str">
            <v>PI-707-301</v>
          </cell>
        </row>
        <row r="2311">
          <cell r="J2311" t="str">
            <v>PI-707-301</v>
          </cell>
        </row>
        <row r="2312">
          <cell r="J2312" t="str">
            <v>PI-707-301</v>
          </cell>
        </row>
        <row r="2313">
          <cell r="J2313" t="str">
            <v>PI-707-301</v>
          </cell>
        </row>
        <row r="2314">
          <cell r="J2314" t="str">
            <v>PI-707-014</v>
          </cell>
        </row>
        <row r="2315">
          <cell r="J2315" t="str">
            <v>PI-707-301</v>
          </cell>
        </row>
        <row r="2316">
          <cell r="J2316" t="str">
            <v>PI-707-301</v>
          </cell>
        </row>
        <row r="2317">
          <cell r="J2317" t="str">
            <v>PI-707-301</v>
          </cell>
        </row>
        <row r="2318">
          <cell r="J2318" t="str">
            <v>PI-707-015</v>
          </cell>
        </row>
        <row r="2319">
          <cell r="J2319" t="str">
            <v>PI-702-201</v>
          </cell>
        </row>
        <row r="2320">
          <cell r="J2320" t="str">
            <v>PI-702-101</v>
          </cell>
        </row>
        <row r="2321">
          <cell r="J2321"/>
        </row>
        <row r="2322">
          <cell r="J2322"/>
        </row>
        <row r="2323">
          <cell r="J2323" t="str">
            <v>PI-707-007</v>
          </cell>
        </row>
        <row r="2324">
          <cell r="J2324" t="str">
            <v>PI-707-007</v>
          </cell>
        </row>
        <row r="2325">
          <cell r="J2325" t="str">
            <v>PI-707-101</v>
          </cell>
        </row>
        <row r="2326">
          <cell r="J2326" t="str">
            <v>PI-703-104</v>
          </cell>
        </row>
        <row r="2327">
          <cell r="J2327" t="str">
            <v>PI-703-104</v>
          </cell>
        </row>
        <row r="2328">
          <cell r="J2328"/>
        </row>
        <row r="2329">
          <cell r="J2329" t="str">
            <v>PI-702-101</v>
          </cell>
        </row>
        <row r="2330">
          <cell r="J2330" t="str">
            <v>PI-707-007</v>
          </cell>
        </row>
        <row r="2331">
          <cell r="J2331" t="str">
            <v>PI-707-007</v>
          </cell>
        </row>
        <row r="2332">
          <cell r="J2332" t="str">
            <v>PI-707-007</v>
          </cell>
        </row>
        <row r="2333">
          <cell r="J2333" t="str">
            <v>PI-702-201</v>
          </cell>
        </row>
        <row r="2334">
          <cell r="J2334" t="str">
            <v>PI-719-101</v>
          </cell>
        </row>
        <row r="2335">
          <cell r="J2335" t="str">
            <v>PI-719-102</v>
          </cell>
        </row>
        <row r="2336">
          <cell r="J2336" t="str">
            <v>PI-719-103</v>
          </cell>
        </row>
        <row r="2337">
          <cell r="J2337" t="str">
            <v>PI-719-103</v>
          </cell>
        </row>
        <row r="2338">
          <cell r="J2338" t="str">
            <v>PI-719-103</v>
          </cell>
        </row>
        <row r="2339">
          <cell r="J2339"/>
        </row>
        <row r="2340">
          <cell r="J2340" t="str">
            <v>PI-707-014</v>
          </cell>
        </row>
        <row r="2341">
          <cell r="J2341" t="str">
            <v>PI-707-201</v>
          </cell>
        </row>
        <row r="2342">
          <cell r="J2342" t="str">
            <v>PI-707-020</v>
          </cell>
        </row>
        <row r="2343">
          <cell r="J2343" t="str">
            <v>PI-707-020</v>
          </cell>
        </row>
        <row r="2344">
          <cell r="J2344" t="str">
            <v>PI-707-020</v>
          </cell>
        </row>
        <row r="2345">
          <cell r="J2345" t="str">
            <v>PI-707-021</v>
          </cell>
        </row>
        <row r="2346">
          <cell r="J2346" t="str">
            <v>PI-707-021</v>
          </cell>
        </row>
        <row r="2347">
          <cell r="J2347" t="str">
            <v>PI-707-021</v>
          </cell>
        </row>
        <row r="2348">
          <cell r="J2348" t="str">
            <v>PI-707-020</v>
          </cell>
        </row>
        <row r="2349">
          <cell r="J2349" t="str">
            <v>PI-707-020</v>
          </cell>
        </row>
        <row r="2350">
          <cell r="J2350" t="str">
            <v>PI-707-020</v>
          </cell>
        </row>
        <row r="2351">
          <cell r="J2351" t="str">
            <v>PI-707-020</v>
          </cell>
        </row>
        <row r="2352">
          <cell r="J2352" t="str">
            <v>PI-707-020</v>
          </cell>
        </row>
        <row r="2353">
          <cell r="J2353" t="str">
            <v>PI-707-020</v>
          </cell>
        </row>
        <row r="2354">
          <cell r="J2354" t="str">
            <v>PI-707-020</v>
          </cell>
        </row>
        <row r="2355">
          <cell r="J2355" t="str">
            <v>PI-707-020</v>
          </cell>
        </row>
        <row r="2356">
          <cell r="J2356" t="str">
            <v>PI-707-020</v>
          </cell>
        </row>
        <row r="2357">
          <cell r="J2357" t="str">
            <v>PI-707-020</v>
          </cell>
        </row>
        <row r="2358">
          <cell r="J2358" t="str">
            <v>PI-707-020</v>
          </cell>
        </row>
        <row r="2359">
          <cell r="J2359" t="str">
            <v>PI-707-020</v>
          </cell>
        </row>
        <row r="2360">
          <cell r="J2360" t="str">
            <v>PI-707-020</v>
          </cell>
        </row>
        <row r="2361">
          <cell r="J2361" t="str">
            <v>PI-707-020</v>
          </cell>
        </row>
        <row r="2362">
          <cell r="J2362" t="str">
            <v>PI-707-020</v>
          </cell>
        </row>
        <row r="2363">
          <cell r="J2363" t="str">
            <v>PI-707-020</v>
          </cell>
        </row>
        <row r="2364">
          <cell r="J2364" t="str">
            <v>PI-707-020</v>
          </cell>
        </row>
        <row r="2365">
          <cell r="J2365" t="str">
            <v>PI-707-020</v>
          </cell>
        </row>
        <row r="2366">
          <cell r="J2366" t="str">
            <v>PI-707-020</v>
          </cell>
        </row>
        <row r="2367">
          <cell r="J2367" t="str">
            <v>PI-707-020</v>
          </cell>
        </row>
        <row r="2368">
          <cell r="J2368" t="str">
            <v>PI-707-021</v>
          </cell>
        </row>
        <row r="2369">
          <cell r="J2369" t="str">
            <v>PI-707-021</v>
          </cell>
        </row>
        <row r="2370">
          <cell r="J2370" t="str">
            <v>PI-707-021</v>
          </cell>
        </row>
        <row r="2371">
          <cell r="J2371" t="str">
            <v>PI-707-021</v>
          </cell>
        </row>
        <row r="2372">
          <cell r="J2372" t="str">
            <v>PI-707-021</v>
          </cell>
        </row>
        <row r="2373">
          <cell r="J2373" t="str">
            <v>PI-707-021</v>
          </cell>
        </row>
        <row r="2374">
          <cell r="J2374" t="str">
            <v>PI-707-021</v>
          </cell>
        </row>
        <row r="2375">
          <cell r="J2375" t="str">
            <v>PI-707-021</v>
          </cell>
        </row>
        <row r="2376">
          <cell r="J2376" t="str">
            <v>PI-707-021</v>
          </cell>
        </row>
        <row r="2377">
          <cell r="J2377" t="str">
            <v>PI-707-021</v>
          </cell>
        </row>
        <row r="2378">
          <cell r="J2378" t="str">
            <v>PI-707-021</v>
          </cell>
        </row>
        <row r="2379">
          <cell r="J2379" t="str">
            <v>PI-707-021</v>
          </cell>
        </row>
        <row r="2380">
          <cell r="J2380" t="str">
            <v>PI-707-021</v>
          </cell>
        </row>
        <row r="2381">
          <cell r="J2381" t="str">
            <v>PI-707-021</v>
          </cell>
        </row>
        <row r="2382">
          <cell r="J2382" t="str">
            <v>PI-707-021</v>
          </cell>
        </row>
        <row r="2383">
          <cell r="J2383" t="str">
            <v>PI-707-021</v>
          </cell>
        </row>
        <row r="2384">
          <cell r="J2384" t="str">
            <v>PI-707-021</v>
          </cell>
        </row>
        <row r="2385">
          <cell r="J2385" t="str">
            <v>PI-707-021</v>
          </cell>
        </row>
        <row r="2386">
          <cell r="J2386"/>
        </row>
        <row r="2387">
          <cell r="J2387" t="str">
            <v>PI-707-014</v>
          </cell>
        </row>
        <row r="2388">
          <cell r="J2388" t="str">
            <v>PI-707-020</v>
          </cell>
        </row>
        <row r="2389">
          <cell r="J2389" t="str">
            <v>PI-707-020</v>
          </cell>
        </row>
        <row r="2390">
          <cell r="J2390" t="str">
            <v>PI-707-020</v>
          </cell>
        </row>
        <row r="2391">
          <cell r="J2391" t="str">
            <v>PI-707-021</v>
          </cell>
        </row>
        <row r="2392">
          <cell r="J2392" t="str">
            <v>PI-707-021</v>
          </cell>
        </row>
        <row r="2393">
          <cell r="J2393" t="str">
            <v>PI-707-021</v>
          </cell>
        </row>
        <row r="2394">
          <cell r="J2394" t="str">
            <v>PI-707-020</v>
          </cell>
        </row>
        <row r="2395">
          <cell r="J2395" t="str">
            <v>PI-707-020</v>
          </cell>
        </row>
        <row r="2396">
          <cell r="J2396" t="str">
            <v>PI-707-020</v>
          </cell>
        </row>
        <row r="2397">
          <cell r="J2397" t="str">
            <v>PI-707-020</v>
          </cell>
        </row>
        <row r="2398">
          <cell r="J2398" t="str">
            <v>PI-707-020</v>
          </cell>
        </row>
        <row r="2399">
          <cell r="J2399" t="str">
            <v>PI-707-020</v>
          </cell>
        </row>
        <row r="2400">
          <cell r="J2400" t="str">
            <v>PI-707-020</v>
          </cell>
        </row>
        <row r="2401">
          <cell r="J2401" t="str">
            <v>PI-707-020</v>
          </cell>
        </row>
        <row r="2402">
          <cell r="J2402" t="str">
            <v>PI-707-020</v>
          </cell>
        </row>
        <row r="2403">
          <cell r="J2403" t="str">
            <v>PI-707-020</v>
          </cell>
        </row>
        <row r="2404">
          <cell r="J2404" t="str">
            <v>PI-707-020</v>
          </cell>
        </row>
        <row r="2405">
          <cell r="J2405" t="str">
            <v>PI-707-020</v>
          </cell>
        </row>
        <row r="2406">
          <cell r="J2406" t="str">
            <v>PI-707-020</v>
          </cell>
        </row>
        <row r="2407">
          <cell r="J2407" t="str">
            <v>PI-707-020</v>
          </cell>
        </row>
        <row r="2408">
          <cell r="J2408" t="str">
            <v>PI-707-020</v>
          </cell>
        </row>
        <row r="2409">
          <cell r="J2409" t="str">
            <v>PI-707-020</v>
          </cell>
        </row>
        <row r="2410">
          <cell r="J2410" t="str">
            <v>PI-707-020</v>
          </cell>
        </row>
        <row r="2411">
          <cell r="J2411" t="str">
            <v>PI-707-021</v>
          </cell>
        </row>
        <row r="2412">
          <cell r="J2412" t="str">
            <v>PI-707-021</v>
          </cell>
        </row>
        <row r="2413">
          <cell r="J2413" t="str">
            <v>PI-707-021</v>
          </cell>
        </row>
        <row r="2414">
          <cell r="J2414" t="str">
            <v>PI-707-021</v>
          </cell>
        </row>
        <row r="2415">
          <cell r="J2415" t="str">
            <v>PI-707-021</v>
          </cell>
        </row>
        <row r="2416">
          <cell r="J2416" t="str">
            <v>PI-707-021</v>
          </cell>
        </row>
        <row r="2417">
          <cell r="J2417" t="str">
            <v>PI-707-021</v>
          </cell>
        </row>
        <row r="2418">
          <cell r="J2418" t="str">
            <v>PI-707-021</v>
          </cell>
        </row>
        <row r="2419">
          <cell r="J2419" t="str">
            <v>PI-707-021</v>
          </cell>
        </row>
        <row r="2420">
          <cell r="J2420" t="str">
            <v>PI-707-021</v>
          </cell>
        </row>
        <row r="2421">
          <cell r="J2421" t="str">
            <v>PI-707-021</v>
          </cell>
        </row>
        <row r="2422">
          <cell r="J2422" t="str">
            <v>PI-707-021</v>
          </cell>
        </row>
        <row r="2423">
          <cell r="J2423" t="str">
            <v>PI-707-021</v>
          </cell>
        </row>
        <row r="2424">
          <cell r="J2424" t="str">
            <v>PI-707-021</v>
          </cell>
        </row>
        <row r="2425">
          <cell r="J2425" t="str">
            <v>PI-707-021</v>
          </cell>
        </row>
        <row r="2426">
          <cell r="J2426" t="str">
            <v>PI-707-021</v>
          </cell>
        </row>
        <row r="2427">
          <cell r="J2427" t="str">
            <v>PI-707-021</v>
          </cell>
        </row>
        <row r="2428">
          <cell r="J2428" t="str">
            <v>PI-707-021</v>
          </cell>
        </row>
        <row r="2429">
          <cell r="J2429" t="str">
            <v>PI-707-021</v>
          </cell>
        </row>
        <row r="2430">
          <cell r="J2430" t="str">
            <v>PI-707-021</v>
          </cell>
        </row>
        <row r="2431">
          <cell r="J2431" t="str">
            <v>PI-707-021</v>
          </cell>
        </row>
        <row r="2432">
          <cell r="J2432" t="str">
            <v>PI-707-021</v>
          </cell>
        </row>
        <row r="2433">
          <cell r="J2433"/>
        </row>
        <row r="2434">
          <cell r="J2434" t="str">
            <v>PI-707-007</v>
          </cell>
        </row>
        <row r="2435">
          <cell r="J2435"/>
        </row>
        <row r="2436">
          <cell r="J2436" t="str">
            <v>PI-707-007</v>
          </cell>
        </row>
        <row r="2437">
          <cell r="J2437" t="str">
            <v>PI-707-007</v>
          </cell>
        </row>
        <row r="2438">
          <cell r="J2438"/>
        </row>
        <row r="2439">
          <cell r="J2439" t="str">
            <v>PI-707-007</v>
          </cell>
        </row>
        <row r="2440">
          <cell r="J2440"/>
        </row>
        <row r="2441">
          <cell r="J2441" t="str">
            <v>PI-707-015</v>
          </cell>
        </row>
        <row r="2442">
          <cell r="J2442" t="str">
            <v>PI-707-015</v>
          </cell>
        </row>
        <row r="2443">
          <cell r="J2443" t="str">
            <v>PI-707-015</v>
          </cell>
        </row>
        <row r="2444">
          <cell r="J2444" t="str">
            <v>PI-707-015</v>
          </cell>
        </row>
        <row r="2445">
          <cell r="J2445"/>
        </row>
        <row r="2446">
          <cell r="J2446" t="str">
            <v>PI-724-007</v>
          </cell>
        </row>
        <row r="2447">
          <cell r="J2447" t="str">
            <v>PI-724-007</v>
          </cell>
        </row>
        <row r="2448">
          <cell r="J2448" t="str">
            <v>PI-724-007</v>
          </cell>
        </row>
        <row r="2449">
          <cell r="J2449" t="str">
            <v>PI-724-007</v>
          </cell>
        </row>
        <row r="2450">
          <cell r="J2450" t="str">
            <v>PI-724-007</v>
          </cell>
        </row>
        <row r="2451">
          <cell r="J2451" t="str">
            <v>PI-724-007</v>
          </cell>
        </row>
        <row r="2452">
          <cell r="J2452" t="str">
            <v>PI-724-007</v>
          </cell>
        </row>
        <row r="2453">
          <cell r="J2453" t="str">
            <v>PI-724-001</v>
          </cell>
        </row>
        <row r="2454">
          <cell r="J2454"/>
        </row>
        <row r="2455">
          <cell r="J2455" t="str">
            <v>PI-702-103</v>
          </cell>
        </row>
        <row r="2456">
          <cell r="J2456" t="str">
            <v>PI-703-011</v>
          </cell>
        </row>
        <row r="2457">
          <cell r="J2457" t="str">
            <v>PI-724-101</v>
          </cell>
        </row>
        <row r="2458">
          <cell r="J2458" t="str">
            <v>PI-724-003</v>
          </cell>
        </row>
        <row r="2459">
          <cell r="J2459" t="str">
            <v>PI-724-003</v>
          </cell>
        </row>
        <row r="2460">
          <cell r="J2460" t="str">
            <v>PI-724-004</v>
          </cell>
        </row>
        <row r="2461">
          <cell r="J2461" t="str">
            <v>PI-724-101</v>
          </cell>
        </row>
        <row r="2462">
          <cell r="J2462" t="str">
            <v>PI-724-101</v>
          </cell>
        </row>
        <row r="2463">
          <cell r="J2463" t="str">
            <v>PI-724-003</v>
          </cell>
        </row>
        <row r="2464">
          <cell r="J2464" t="str">
            <v>PI-724-003</v>
          </cell>
        </row>
        <row r="2465">
          <cell r="J2465" t="str">
            <v>PI-724-101</v>
          </cell>
        </row>
        <row r="2466">
          <cell r="J2466" t="str">
            <v>PI-724-004</v>
          </cell>
        </row>
        <row r="2467">
          <cell r="J2467" t="str">
            <v>PI-724-301</v>
          </cell>
        </row>
        <row r="2468">
          <cell r="J2468" t="str">
            <v>PI-724-003</v>
          </cell>
        </row>
        <row r="2469">
          <cell r="J2469" t="str">
            <v>PI-724-003</v>
          </cell>
        </row>
        <row r="2470">
          <cell r="J2470"/>
        </row>
        <row r="2471">
          <cell r="J2471" t="str">
            <v>PI-724-101</v>
          </cell>
        </row>
        <row r="2472">
          <cell r="J2472" t="str">
            <v>PI-724-004</v>
          </cell>
        </row>
        <row r="2473">
          <cell r="J2473" t="str">
            <v>PI-724-004</v>
          </cell>
        </row>
        <row r="2474">
          <cell r="J2474" t="str">
            <v>PI-724-004</v>
          </cell>
        </row>
        <row r="2475">
          <cell r="J2475" t="str">
            <v>PI-724-001</v>
          </cell>
        </row>
        <row r="2476">
          <cell r="J2476" t="str">
            <v>PI-724-001</v>
          </cell>
        </row>
        <row r="2477">
          <cell r="J2477" t="str">
            <v>PI-724-001</v>
          </cell>
        </row>
        <row r="2478">
          <cell r="J2478" t="str">
            <v>PI-724-001</v>
          </cell>
        </row>
        <row r="2479">
          <cell r="J2479" t="str">
            <v>PI-724-001</v>
          </cell>
        </row>
        <row r="2480">
          <cell r="J2480" t="str">
            <v>PI-724-001</v>
          </cell>
        </row>
        <row r="2481">
          <cell r="J2481" t="str">
            <v>PI-724-004</v>
          </cell>
        </row>
        <row r="2482">
          <cell r="J2482" t="str">
            <v>PI-724-004</v>
          </cell>
        </row>
        <row r="2483">
          <cell r="J2483" t="str">
            <v>PI-724-101</v>
          </cell>
        </row>
        <row r="2484">
          <cell r="J2484" t="str">
            <v>PI-724-101</v>
          </cell>
        </row>
        <row r="2485">
          <cell r="J2485" t="str">
            <v>PI-724-001</v>
          </cell>
        </row>
        <row r="2486">
          <cell r="J2486" t="str">
            <v>PI-724-001</v>
          </cell>
        </row>
        <row r="2487">
          <cell r="J2487"/>
        </row>
        <row r="2488">
          <cell r="J2488" t="str">
            <v>PI-724-004</v>
          </cell>
        </row>
        <row r="2489">
          <cell r="J2489"/>
        </row>
        <row r="2490">
          <cell r="J2490" t="str">
            <v>PI-724-004</v>
          </cell>
        </row>
        <row r="2491">
          <cell r="J2491"/>
        </row>
        <row r="2492">
          <cell r="J2492" t="str">
            <v>PI-724-004</v>
          </cell>
        </row>
        <row r="2493">
          <cell r="J2493"/>
        </row>
        <row r="2494">
          <cell r="J2494" t="str">
            <v>PI-724-004</v>
          </cell>
        </row>
        <row r="2495">
          <cell r="J2495"/>
        </row>
        <row r="2496">
          <cell r="J2496" t="str">
            <v>PI-724-006</v>
          </cell>
        </row>
        <row r="2497">
          <cell r="J2497"/>
        </row>
        <row r="2498">
          <cell r="J2498" t="str">
            <v>PI-724-101</v>
          </cell>
        </row>
        <row r="2499">
          <cell r="J2499" t="str">
            <v>PI-724-006</v>
          </cell>
        </row>
        <row r="2500">
          <cell r="J2500" t="str">
            <v>PI-724-006</v>
          </cell>
        </row>
        <row r="2501">
          <cell r="J2501" t="str">
            <v>PI-724-006</v>
          </cell>
        </row>
        <row r="2502">
          <cell r="J2502" t="str">
            <v>PI-724-001</v>
          </cell>
        </row>
        <row r="2503">
          <cell r="J2503" t="str">
            <v>PI-724-001</v>
          </cell>
        </row>
        <row r="2504">
          <cell r="J2504" t="str">
            <v>PI-724-001</v>
          </cell>
        </row>
        <row r="2505">
          <cell r="J2505" t="str">
            <v>PI-724-001</v>
          </cell>
        </row>
        <row r="2506">
          <cell r="J2506" t="str">
            <v>PI-724-001</v>
          </cell>
        </row>
        <row r="2507">
          <cell r="J2507" t="str">
            <v>PI-724-001</v>
          </cell>
        </row>
        <row r="2508">
          <cell r="J2508" t="str">
            <v>PI-702-103</v>
          </cell>
        </row>
        <row r="2509">
          <cell r="J2509" t="str">
            <v>PI-704-001</v>
          </cell>
        </row>
        <row r="2510">
          <cell r="J2510" t="str">
            <v>PI-704-001</v>
          </cell>
        </row>
        <row r="2511">
          <cell r="J2511" t="str">
            <v>PI-704-001</v>
          </cell>
        </row>
        <row r="2512">
          <cell r="J2512" t="str">
            <v>PI-724-101</v>
          </cell>
        </row>
        <row r="2513">
          <cell r="J2513" t="str">
            <v>PI-724-006</v>
          </cell>
        </row>
        <row r="2514">
          <cell r="J2514" t="str">
            <v>PI-724-006</v>
          </cell>
        </row>
        <row r="2515">
          <cell r="J2515" t="str">
            <v>PI-724-001</v>
          </cell>
        </row>
        <row r="2516">
          <cell r="J2516" t="str">
            <v>PI-724-001</v>
          </cell>
        </row>
        <row r="2517">
          <cell r="J2517"/>
        </row>
        <row r="2518">
          <cell r="J2518" t="str">
            <v>PI-724-006</v>
          </cell>
        </row>
        <row r="2519">
          <cell r="J2519"/>
        </row>
        <row r="2520">
          <cell r="J2520" t="str">
            <v>PI-724-006</v>
          </cell>
        </row>
        <row r="2521">
          <cell r="J2521"/>
        </row>
        <row r="2522">
          <cell r="J2522" t="str">
            <v>PI-724-006</v>
          </cell>
        </row>
        <row r="2523">
          <cell r="J2523"/>
        </row>
        <row r="2524">
          <cell r="J2524" t="str">
            <v>PI-724-006</v>
          </cell>
        </row>
        <row r="2525">
          <cell r="J2525"/>
        </row>
        <row r="2526">
          <cell r="J2526" t="str">
            <v>PI-724-007</v>
          </cell>
        </row>
        <row r="2527">
          <cell r="J2527" t="str">
            <v>PI-724-007</v>
          </cell>
        </row>
        <row r="2528">
          <cell r="J2528" t="str">
            <v>PI-724-007</v>
          </cell>
        </row>
        <row r="2529">
          <cell r="J2529" t="str">
            <v>PI-724-007</v>
          </cell>
        </row>
        <row r="2530">
          <cell r="J2530" t="str">
            <v>PI-724-007</v>
          </cell>
        </row>
        <row r="2531">
          <cell r="J2531" t="str">
            <v>PI-724-007</v>
          </cell>
        </row>
        <row r="2532">
          <cell r="J2532" t="str">
            <v>PI-724-001</v>
          </cell>
        </row>
        <row r="2533">
          <cell r="J2533"/>
        </row>
        <row r="2534">
          <cell r="J2534" t="str">
            <v>PI-700-005</v>
          </cell>
        </row>
        <row r="2535">
          <cell r="J2535"/>
        </row>
        <row r="2536">
          <cell r="J2536" t="str">
            <v>PI-702-201</v>
          </cell>
        </row>
        <row r="2537">
          <cell r="J2537" t="str">
            <v>PI-702-201</v>
          </cell>
        </row>
        <row r="2538">
          <cell r="J2538" t="str">
            <v>PI-702-202</v>
          </cell>
        </row>
        <row r="2539">
          <cell r="J2539" t="str">
            <v>PI-702-203</v>
          </cell>
        </row>
        <row r="2540">
          <cell r="J2540" t="str">
            <v>PI-702-203</v>
          </cell>
        </row>
        <row r="2541">
          <cell r="J2541" t="str">
            <v>PI-724-201</v>
          </cell>
        </row>
        <row r="2542">
          <cell r="J2542" t="str">
            <v>PI-706-201</v>
          </cell>
        </row>
        <row r="2543">
          <cell r="J2543" t="str">
            <v>PI-707-002</v>
          </cell>
        </row>
        <row r="2544">
          <cell r="J2544" t="str">
            <v>PI-704-015</v>
          </cell>
        </row>
        <row r="2545">
          <cell r="J2545" t="str">
            <v>PI-704-015</v>
          </cell>
        </row>
        <row r="2546">
          <cell r="J2546" t="str">
            <v>PI-704-017</v>
          </cell>
        </row>
        <row r="2547">
          <cell r="J2547" t="str">
            <v>PI-707-401</v>
          </cell>
        </row>
        <row r="2548">
          <cell r="J2548" t="str">
            <v>PI-707-401</v>
          </cell>
        </row>
        <row r="2549">
          <cell r="J2549" t="str">
            <v>PI-707-401</v>
          </cell>
        </row>
        <row r="2550">
          <cell r="J2550" t="str">
            <v>PI-707-023</v>
          </cell>
        </row>
        <row r="2551">
          <cell r="J2551" t="str">
            <v>PI-707-023</v>
          </cell>
        </row>
        <row r="2552">
          <cell r="J2552" t="str">
            <v>PI-707-023</v>
          </cell>
        </row>
        <row r="2553">
          <cell r="J2553" t="str">
            <v>PI-708-002</v>
          </cell>
        </row>
        <row r="2554">
          <cell r="J2554" t="str">
            <v>PI-708-002</v>
          </cell>
        </row>
        <row r="2555">
          <cell r="J2555" t="str">
            <v>PI-724-201</v>
          </cell>
        </row>
        <row r="2556">
          <cell r="J2556" t="str">
            <v>PI-724-001</v>
          </cell>
        </row>
        <row r="2557">
          <cell r="J2557" t="str">
            <v>PI-707-401</v>
          </cell>
        </row>
        <row r="2558">
          <cell r="J2558" t="str">
            <v>PI-707-023</v>
          </cell>
        </row>
        <row r="2559">
          <cell r="J2559" t="str">
            <v>PI-706-004</v>
          </cell>
        </row>
        <row r="2560">
          <cell r="J2560" t="str">
            <v>PI-706-004</v>
          </cell>
        </row>
        <row r="2561">
          <cell r="J2561" t="str">
            <v>PI-724-201</v>
          </cell>
        </row>
        <row r="2562">
          <cell r="J2562" t="str">
            <v>PI-718-003</v>
          </cell>
        </row>
        <row r="2563">
          <cell r="J2563" t="str">
            <v>PI-718-003</v>
          </cell>
        </row>
        <row r="2564">
          <cell r="J2564" t="str">
            <v>PI-718-101</v>
          </cell>
        </row>
        <row r="2565">
          <cell r="J2565" t="str">
            <v>PI-718-003</v>
          </cell>
        </row>
        <row r="2566">
          <cell r="J2566" t="str">
            <v>PI-718-003</v>
          </cell>
        </row>
        <row r="2567">
          <cell r="J2567" t="str">
            <v>PI-706-006</v>
          </cell>
        </row>
        <row r="2568">
          <cell r="J2568" t="str">
            <v>PI-706-002</v>
          </cell>
        </row>
        <row r="2569">
          <cell r="J2569" t="str">
            <v>PI-706-002</v>
          </cell>
        </row>
        <row r="2570">
          <cell r="J2570" t="str">
            <v>PI-707-002</v>
          </cell>
        </row>
        <row r="2571">
          <cell r="J2571" t="str">
            <v>PI-704-017</v>
          </cell>
        </row>
        <row r="2572">
          <cell r="J2572" t="str">
            <v>PI-707-401</v>
          </cell>
        </row>
        <row r="2573">
          <cell r="J2573" t="str">
            <v>PI-707-023</v>
          </cell>
        </row>
        <row r="2574">
          <cell r="J2574" t="str">
            <v>PI-707-023</v>
          </cell>
        </row>
        <row r="2575">
          <cell r="J2575" t="str">
            <v>PI-708-002</v>
          </cell>
        </row>
        <row r="2576">
          <cell r="J2576" t="str">
            <v>PI-724-001</v>
          </cell>
        </row>
        <row r="2577">
          <cell r="J2577" t="str">
            <v>PI-706-UTILITIES</v>
          </cell>
        </row>
        <row r="2578">
          <cell r="J2578" t="str">
            <v>PI-706-004</v>
          </cell>
        </row>
        <row r="2579">
          <cell r="J2579" t="str">
            <v>PI-718-003</v>
          </cell>
        </row>
        <row r="2580">
          <cell r="J2580" t="str">
            <v>PI-718-003</v>
          </cell>
        </row>
        <row r="2581">
          <cell r="J2581" t="str">
            <v>PI-718-003</v>
          </cell>
        </row>
        <row r="2582">
          <cell r="J2582" t="str">
            <v>PI-706-002</v>
          </cell>
        </row>
        <row r="2583">
          <cell r="J2583" t="str">
            <v>PI-709-001</v>
          </cell>
        </row>
        <row r="2584">
          <cell r="J2584" t="str">
            <v>PI-725-002</v>
          </cell>
        </row>
        <row r="2585">
          <cell r="J2585" t="str">
            <v>PI-725-002</v>
          </cell>
        </row>
        <row r="2586">
          <cell r="J2586" t="str">
            <v>PI-709-001</v>
          </cell>
        </row>
        <row r="2587">
          <cell r="J2587" t="str">
            <v>PI-709-001</v>
          </cell>
        </row>
        <row r="2588">
          <cell r="J2588" t="str">
            <v>PI-706-101</v>
          </cell>
        </row>
        <row r="2589">
          <cell r="J2589" t="str">
            <v>PI-709-001</v>
          </cell>
        </row>
        <row r="2590">
          <cell r="J2590" t="str">
            <v>PI-706-101</v>
          </cell>
        </row>
        <row r="2591">
          <cell r="J2591" t="str">
            <v>PI-709-001</v>
          </cell>
        </row>
        <row r="2592">
          <cell r="J2592" t="str">
            <v>PI-709-001</v>
          </cell>
        </row>
        <row r="2593">
          <cell r="J2593"/>
        </row>
        <row r="2594">
          <cell r="J2594" t="str">
            <v>PI-702-101</v>
          </cell>
        </row>
        <row r="2595">
          <cell r="J2595" t="str">
            <v>PI-707-201</v>
          </cell>
        </row>
        <row r="2596">
          <cell r="J2596" t="str">
            <v>PI-707-001</v>
          </cell>
        </row>
        <row r="2597">
          <cell r="J2597" t="str">
            <v>PI-707-009</v>
          </cell>
        </row>
        <row r="2598">
          <cell r="J2598" t="str">
            <v>PI-707-009</v>
          </cell>
        </row>
        <row r="2599">
          <cell r="J2599" t="str">
            <v>PI-702-101</v>
          </cell>
        </row>
        <row r="2600">
          <cell r="J2600" t="str">
            <v>PI-707-001</v>
          </cell>
        </row>
        <row r="2601">
          <cell r="J2601" t="str">
            <v>PI-707-001</v>
          </cell>
        </row>
        <row r="2602">
          <cell r="J2602" t="str">
            <v>PI-707-001</v>
          </cell>
        </row>
        <row r="2603">
          <cell r="J2603" t="str">
            <v>PI-707-001</v>
          </cell>
        </row>
        <row r="2604">
          <cell r="J2604" t="str">
            <v>PI-707-002</v>
          </cell>
        </row>
        <row r="2605">
          <cell r="J2605" t="str">
            <v>PI-707-002</v>
          </cell>
        </row>
        <row r="2606">
          <cell r="J2606" t="str">
            <v>PI-707-003</v>
          </cell>
        </row>
        <row r="2607">
          <cell r="J2607" t="str">
            <v>PI-707-004</v>
          </cell>
        </row>
        <row r="2608">
          <cell r="J2608" t="str">
            <v>PI-707-004</v>
          </cell>
        </row>
        <row r="2609">
          <cell r="J2609" t="str">
            <v>PI-707-013</v>
          </cell>
        </row>
        <row r="2610">
          <cell r="J2610" t="str">
            <v>PI-707-013</v>
          </cell>
        </row>
        <row r="2611">
          <cell r="J2611" t="str">
            <v>PI-707-008</v>
          </cell>
        </row>
        <row r="2612">
          <cell r="J2612" t="str">
            <v>PI-707-009</v>
          </cell>
        </row>
        <row r="2613">
          <cell r="J2613" t="str">
            <v>PI-707-012</v>
          </cell>
        </row>
        <row r="2614">
          <cell r="J2614" t="str">
            <v>PI-707-012</v>
          </cell>
        </row>
        <row r="2615">
          <cell r="J2615" t="str">
            <v>PI-702-101</v>
          </cell>
        </row>
        <row r="2616">
          <cell r="J2616" t="str">
            <v>PI-707-006</v>
          </cell>
        </row>
        <row r="2617">
          <cell r="J2617" t="str">
            <v>PI-702-101</v>
          </cell>
        </row>
        <row r="2618">
          <cell r="J2618" t="str">
            <v>PI-707-006</v>
          </cell>
        </row>
        <row r="2619">
          <cell r="J2619"/>
        </row>
        <row r="2620">
          <cell r="J2620" t="str">
            <v>PI-706-007</v>
          </cell>
        </row>
        <row r="2621">
          <cell r="J2621" t="str">
            <v>PI-706-007</v>
          </cell>
        </row>
        <row r="2622">
          <cell r="J2622" t="str">
            <v>PI-706-007</v>
          </cell>
        </row>
        <row r="2623">
          <cell r="J2623" t="str">
            <v>PI-706-007</v>
          </cell>
        </row>
        <row r="2624">
          <cell r="J2624" t="str">
            <v>PI-706-007</v>
          </cell>
        </row>
        <row r="2625">
          <cell r="J2625" t="str">
            <v>PI-706-007</v>
          </cell>
        </row>
        <row r="2626">
          <cell r="J2626" t="str">
            <v>PI-706-007</v>
          </cell>
        </row>
        <row r="2627">
          <cell r="J2627" t="str">
            <v>PI-706-007</v>
          </cell>
        </row>
        <row r="2628">
          <cell r="J2628" t="str">
            <v>PI-706-007</v>
          </cell>
        </row>
        <row r="2629">
          <cell r="J2629" t="str">
            <v>PI-706-007</v>
          </cell>
        </row>
        <row r="2630">
          <cell r="J2630" t="str">
            <v>PI-706-007</v>
          </cell>
        </row>
        <row r="2631">
          <cell r="J2631" t="str">
            <v>PI-706-007</v>
          </cell>
        </row>
        <row r="2632">
          <cell r="J2632"/>
        </row>
        <row r="2633">
          <cell r="J2633" t="str">
            <v>PI-708-002</v>
          </cell>
        </row>
        <row r="2634">
          <cell r="J2634" t="str">
            <v>PI-708-002</v>
          </cell>
        </row>
        <row r="2635">
          <cell r="J2635" t="str">
            <v>PI-708-002</v>
          </cell>
        </row>
        <row r="2636">
          <cell r="J2636"/>
        </row>
        <row r="2637">
          <cell r="J2637" t="str">
            <v>PI-708-002</v>
          </cell>
        </row>
        <row r="2638">
          <cell r="J2638" t="str">
            <v>PI-708-002</v>
          </cell>
        </row>
        <row r="2639">
          <cell r="J2639" t="str">
            <v>PI-708-002</v>
          </cell>
        </row>
        <row r="2640">
          <cell r="J2640" t="str">
            <v>PI-708-002</v>
          </cell>
        </row>
        <row r="2641">
          <cell r="J2641" t="str">
            <v>PI-708-002</v>
          </cell>
        </row>
        <row r="2642">
          <cell r="J2642"/>
        </row>
        <row r="2643">
          <cell r="J2643" t="str">
            <v>PI-702-101</v>
          </cell>
        </row>
        <row r="2644">
          <cell r="J2644" t="str">
            <v>PI-708-001</v>
          </cell>
        </row>
        <row r="2645">
          <cell r="J2645" t="str">
            <v>PI-707-301</v>
          </cell>
        </row>
        <row r="2646">
          <cell r="J2646" t="str">
            <v>PI-707-301</v>
          </cell>
        </row>
        <row r="2647">
          <cell r="J2647" t="str">
            <v>PI-707-015</v>
          </cell>
        </row>
        <row r="2648">
          <cell r="J2648"/>
        </row>
        <row r="2649">
          <cell r="J2649" t="str">
            <v>PI-708-001</v>
          </cell>
        </row>
        <row r="2650">
          <cell r="J2650" t="str">
            <v>PI-708-001</v>
          </cell>
        </row>
        <row r="2651">
          <cell r="J2651" t="str">
            <v>PI-708-001</v>
          </cell>
        </row>
        <row r="2652">
          <cell r="J2652" t="str">
            <v>PI-708-001</v>
          </cell>
        </row>
        <row r="2653">
          <cell r="J2653" t="str">
            <v>PI-708-001</v>
          </cell>
        </row>
        <row r="2654">
          <cell r="J2654" t="str">
            <v>PI-708-001</v>
          </cell>
        </row>
        <row r="2655">
          <cell r="J2655" t="str">
            <v>PI-708-001</v>
          </cell>
        </row>
        <row r="2656">
          <cell r="J2656"/>
        </row>
        <row r="2657">
          <cell r="J2657" t="str">
            <v>PI-708-003</v>
          </cell>
        </row>
        <row r="2658">
          <cell r="J2658" t="str">
            <v>PI-708-003</v>
          </cell>
        </row>
        <row r="2659">
          <cell r="J2659" t="str">
            <v>PI-708-003</v>
          </cell>
        </row>
        <row r="2660">
          <cell r="J2660"/>
        </row>
        <row r="2661">
          <cell r="J2661" t="str">
            <v>PI-708-003</v>
          </cell>
        </row>
        <row r="2662">
          <cell r="J2662" t="str">
            <v>PI-708-003</v>
          </cell>
        </row>
        <row r="2663">
          <cell r="J2663" t="str">
            <v>PI-708-003</v>
          </cell>
        </row>
        <row r="2664">
          <cell r="J2664" t="str">
            <v>PI-708-003</v>
          </cell>
        </row>
        <row r="2665">
          <cell r="J2665" t="str">
            <v>PI-708-003</v>
          </cell>
        </row>
        <row r="2666">
          <cell r="J2666"/>
        </row>
        <row r="2667">
          <cell r="J2667" t="str">
            <v>PI-708-003</v>
          </cell>
        </row>
        <row r="2668">
          <cell r="J2668"/>
        </row>
        <row r="2669">
          <cell r="J2669" t="str">
            <v>PI-708-003</v>
          </cell>
        </row>
        <row r="2670">
          <cell r="J2670"/>
        </row>
        <row r="2671">
          <cell r="J2671" t="str">
            <v>PI-706-201</v>
          </cell>
        </row>
        <row r="2672">
          <cell r="J2672" t="str">
            <v>PI-706-101</v>
          </cell>
        </row>
        <row r="2673">
          <cell r="J2673" t="str">
            <v>PI-706-101</v>
          </cell>
        </row>
        <row r="2674">
          <cell r="J2674" t="str">
            <v>PI-706-101</v>
          </cell>
        </row>
        <row r="2675">
          <cell r="J2675" t="str">
            <v>PI-706-101</v>
          </cell>
        </row>
        <row r="2676">
          <cell r="J2676" t="str">
            <v>PI-709-003</v>
          </cell>
        </row>
        <row r="2677">
          <cell r="J2677" t="str">
            <v>PI-709-003</v>
          </cell>
        </row>
        <row r="2678">
          <cell r="J2678" t="str">
            <v>PI-709-003</v>
          </cell>
        </row>
        <row r="2679">
          <cell r="J2679" t="str">
            <v>PI-709-003</v>
          </cell>
        </row>
        <row r="2680">
          <cell r="J2680" t="str">
            <v>PI-709-003</v>
          </cell>
        </row>
        <row r="2681">
          <cell r="J2681" t="str">
            <v>PI-709-003</v>
          </cell>
        </row>
        <row r="2682">
          <cell r="J2682" t="str">
            <v>PI-709-003</v>
          </cell>
        </row>
        <row r="2683">
          <cell r="J2683" t="str">
            <v>PI-709-003</v>
          </cell>
        </row>
        <row r="2684">
          <cell r="J2684" t="str">
            <v>PI-706-101</v>
          </cell>
        </row>
        <row r="2685">
          <cell r="J2685" t="str">
            <v>PI-709-003</v>
          </cell>
        </row>
        <row r="2686">
          <cell r="J2686" t="str">
            <v>PI-709-003</v>
          </cell>
        </row>
        <row r="2687">
          <cell r="J2687" t="str">
            <v>PI-709-003</v>
          </cell>
        </row>
        <row r="2688">
          <cell r="J2688" t="str">
            <v>PI-709-003</v>
          </cell>
        </row>
        <row r="2689">
          <cell r="J2689" t="str">
            <v>PI-709-003</v>
          </cell>
        </row>
        <row r="2690">
          <cell r="J2690" t="str">
            <v>PI-709-003</v>
          </cell>
        </row>
        <row r="2691">
          <cell r="J2691" t="str">
            <v>PI-709-003</v>
          </cell>
        </row>
        <row r="2692">
          <cell r="J2692" t="str">
            <v>PI-709-003</v>
          </cell>
        </row>
        <row r="2693">
          <cell r="J2693" t="str">
            <v>PI-709-003</v>
          </cell>
        </row>
        <row r="2694">
          <cell r="J2694" t="str">
            <v>PI-709-003</v>
          </cell>
        </row>
        <row r="2695">
          <cell r="J2695"/>
        </row>
        <row r="2696">
          <cell r="J2696" t="str">
            <v>PI-709-003</v>
          </cell>
        </row>
        <row r="2697">
          <cell r="J2697" t="str">
            <v>PI-709-003</v>
          </cell>
        </row>
        <row r="2698">
          <cell r="J2698" t="str">
            <v>PI-709-003</v>
          </cell>
        </row>
        <row r="2699">
          <cell r="J2699" t="str">
            <v>PI-706-101</v>
          </cell>
        </row>
        <row r="2700">
          <cell r="J2700"/>
        </row>
        <row r="2701">
          <cell r="J2701" t="str">
            <v>PI-709-001</v>
          </cell>
        </row>
        <row r="2702">
          <cell r="J2702"/>
        </row>
        <row r="2703">
          <cell r="J2703" t="str">
            <v>PI-704-302</v>
          </cell>
        </row>
        <row r="2704">
          <cell r="J2704" t="str">
            <v>PI-704-302</v>
          </cell>
        </row>
        <row r="2705">
          <cell r="J2705" t="str">
            <v>PI-704-006</v>
          </cell>
        </row>
        <row r="2706">
          <cell r="J2706" t="str">
            <v>PI-704-302</v>
          </cell>
        </row>
        <row r="2707">
          <cell r="J2707" t="str">
            <v>PI-704-204</v>
          </cell>
        </row>
        <row r="2708">
          <cell r="J2708" t="str">
            <v>PI-704-105</v>
          </cell>
        </row>
        <row r="2709">
          <cell r="J2709" t="str">
            <v>PI-704-302</v>
          </cell>
        </row>
        <row r="2710">
          <cell r="J2710"/>
        </row>
        <row r="2711">
          <cell r="J2711" t="str">
            <v>PI-704-011</v>
          </cell>
        </row>
        <row r="2712">
          <cell r="J2712"/>
        </row>
        <row r="2713">
          <cell r="J2713" t="str">
            <v>PI-704-011</v>
          </cell>
        </row>
        <row r="2714">
          <cell r="J2714" t="str">
            <v>PI-704-011</v>
          </cell>
        </row>
        <row r="2715">
          <cell r="J2715" t="str">
            <v>PI-704-011</v>
          </cell>
        </row>
        <row r="2716">
          <cell r="J2716" t="str">
            <v>PI-716-102</v>
          </cell>
        </row>
        <row r="2717">
          <cell r="J2717" t="str">
            <v>PI-716-102</v>
          </cell>
        </row>
        <row r="2718">
          <cell r="J2718" t="str">
            <v>PI-716-102</v>
          </cell>
        </row>
        <row r="2719">
          <cell r="J2719" t="str">
            <v>PI-716-102</v>
          </cell>
        </row>
        <row r="2720">
          <cell r="J2720" t="str">
            <v>PI-716-102</v>
          </cell>
        </row>
        <row r="2721">
          <cell r="J2721" t="str">
            <v>PI-716-102</v>
          </cell>
        </row>
        <row r="2722">
          <cell r="J2722" t="str">
            <v>PI-716-103</v>
          </cell>
        </row>
        <row r="2723">
          <cell r="J2723" t="str">
            <v>PI-716-103</v>
          </cell>
        </row>
        <row r="2724">
          <cell r="J2724" t="str">
            <v>PI-716-103</v>
          </cell>
        </row>
        <row r="2725">
          <cell r="J2725" t="str">
            <v>PI-716-103</v>
          </cell>
        </row>
        <row r="2726">
          <cell r="J2726" t="str">
            <v>PI-716-103</v>
          </cell>
        </row>
        <row r="2727">
          <cell r="J2727" t="str">
            <v>PI-704-011</v>
          </cell>
        </row>
        <row r="2728">
          <cell r="J2728" t="str">
            <v>PI-704-204</v>
          </cell>
        </row>
        <row r="2729">
          <cell r="J2729" t="str">
            <v>PI-704-303</v>
          </cell>
        </row>
        <row r="2730">
          <cell r="J2730" t="str">
            <v>PI-704-011</v>
          </cell>
        </row>
        <row r="2731">
          <cell r="J2731"/>
        </row>
        <row r="2732">
          <cell r="J2732" t="str">
            <v>PI-704-205</v>
          </cell>
        </row>
        <row r="2733">
          <cell r="J2733" t="str">
            <v>PI-704-017</v>
          </cell>
        </row>
        <row r="2734">
          <cell r="J2734" t="str">
            <v>PI-704-017</v>
          </cell>
        </row>
        <row r="2735">
          <cell r="J2735" t="str">
            <v>PI-702-103</v>
          </cell>
        </row>
        <row r="2736">
          <cell r="J2736" t="str">
            <v>PI-704-007</v>
          </cell>
        </row>
        <row r="2737">
          <cell r="J2737" t="str">
            <v>PI-704-007</v>
          </cell>
        </row>
        <row r="2738">
          <cell r="J2738" t="str">
            <v>PI-704-017</v>
          </cell>
        </row>
        <row r="2739">
          <cell r="J2739" t="str">
            <v>PI-705-002</v>
          </cell>
        </row>
        <row r="2740">
          <cell r="J2740" t="str">
            <v>PI-704-007</v>
          </cell>
        </row>
        <row r="2741">
          <cell r="J2741" t="str">
            <v>PI-704-007</v>
          </cell>
        </row>
        <row r="2742">
          <cell r="J2742" t="str">
            <v>PI-704-007</v>
          </cell>
        </row>
        <row r="2743">
          <cell r="J2743" t="str">
            <v>PI-704-017</v>
          </cell>
        </row>
        <row r="2744">
          <cell r="J2744" t="str">
            <v>PI-704-017</v>
          </cell>
        </row>
        <row r="2745">
          <cell r="J2745" t="str">
            <v>PI-704-017</v>
          </cell>
        </row>
        <row r="2746">
          <cell r="J2746" t="str">
            <v>PI-704-007</v>
          </cell>
        </row>
        <row r="2747">
          <cell r="J2747" t="str">
            <v>PI-704-017</v>
          </cell>
        </row>
        <row r="2748">
          <cell r="J2748" t="str">
            <v>PI-704-017</v>
          </cell>
        </row>
        <row r="2749">
          <cell r="J2749" t="str">
            <v>PI-702-203</v>
          </cell>
        </row>
        <row r="2750">
          <cell r="J2750" t="str">
            <v>PI-705-002</v>
          </cell>
        </row>
        <row r="2751">
          <cell r="J2751" t="str">
            <v>PI-705-002</v>
          </cell>
        </row>
        <row r="2752">
          <cell r="J2752" t="str">
            <v>PI-716-102</v>
          </cell>
        </row>
        <row r="2753">
          <cell r="J2753" t="str">
            <v>PI-716-102</v>
          </cell>
        </row>
        <row r="2754">
          <cell r="J2754" t="str">
            <v>PI-716-102</v>
          </cell>
        </row>
        <row r="2755">
          <cell r="J2755" t="str">
            <v>PI-716-102</v>
          </cell>
        </row>
        <row r="2756">
          <cell r="J2756" t="str">
            <v>PI-716-102</v>
          </cell>
        </row>
        <row r="2757">
          <cell r="J2757" t="str">
            <v>PI-716-102</v>
          </cell>
        </row>
        <row r="2758">
          <cell r="J2758" t="str">
            <v>PI-716-103</v>
          </cell>
        </row>
        <row r="2759">
          <cell r="J2759" t="str">
            <v>PI-716-103</v>
          </cell>
        </row>
        <row r="2760">
          <cell r="J2760" t="str">
            <v>PI-716-103</v>
          </cell>
        </row>
        <row r="2761">
          <cell r="J2761" t="str">
            <v>PI-716-103</v>
          </cell>
        </row>
        <row r="2762">
          <cell r="J2762" t="str">
            <v>PI-716-103</v>
          </cell>
        </row>
        <row r="2763">
          <cell r="J2763" t="str">
            <v>PI-705-002</v>
          </cell>
        </row>
        <row r="2764">
          <cell r="J2764"/>
        </row>
        <row r="2765">
          <cell r="J2765" t="str">
            <v>PI-702-203</v>
          </cell>
        </row>
        <row r="2766">
          <cell r="J2766" t="str">
            <v>PI-704-205</v>
          </cell>
        </row>
        <row r="2767">
          <cell r="J2767" t="str">
            <v>PI-704-301</v>
          </cell>
        </row>
        <row r="2768">
          <cell r="J2768" t="str">
            <v>PI-704-301</v>
          </cell>
        </row>
        <row r="2769">
          <cell r="J2769" t="str">
            <v>PI-705-001</v>
          </cell>
        </row>
        <row r="2770">
          <cell r="J2770" t="str">
            <v>PI-705-001</v>
          </cell>
        </row>
        <row r="2771">
          <cell r="J2771" t="str">
            <v>PI-705-002</v>
          </cell>
        </row>
        <row r="2772">
          <cell r="J2772" t="str">
            <v>PI-705-002</v>
          </cell>
        </row>
        <row r="2773">
          <cell r="J2773" t="str">
            <v>PI-705-002</v>
          </cell>
        </row>
        <row r="2774">
          <cell r="J2774" t="str">
            <v>PI-705-003</v>
          </cell>
        </row>
        <row r="2775">
          <cell r="J2775" t="str">
            <v>PI-702-103</v>
          </cell>
        </row>
        <row r="2776">
          <cell r="J2776" t="str">
            <v>PI-704-205</v>
          </cell>
        </row>
        <row r="2777">
          <cell r="J2777" t="str">
            <v>PI-704-303</v>
          </cell>
        </row>
        <row r="2778">
          <cell r="J2778" t="str">
            <v>PI-705-002</v>
          </cell>
        </row>
        <row r="2779">
          <cell r="J2779" t="str">
            <v>PI-705-001</v>
          </cell>
        </row>
        <row r="2780">
          <cell r="J2780" t="str">
            <v>PI-705-003</v>
          </cell>
        </row>
        <row r="2781">
          <cell r="J2781" t="str">
            <v>PI-705-003</v>
          </cell>
        </row>
        <row r="2782">
          <cell r="J2782" t="str">
            <v>PI-705-001</v>
          </cell>
        </row>
        <row r="2783">
          <cell r="J2783" t="str">
            <v>PI-705-001</v>
          </cell>
        </row>
        <row r="2784">
          <cell r="J2784" t="str">
            <v>PI-705-001</v>
          </cell>
        </row>
        <row r="2785">
          <cell r="J2785" t="str">
            <v>PI-705-001</v>
          </cell>
        </row>
        <row r="2786">
          <cell r="J2786" t="str">
            <v>PI-705-001</v>
          </cell>
        </row>
        <row r="2787">
          <cell r="J2787"/>
        </row>
        <row r="2788">
          <cell r="J2788" t="str">
            <v>PI-704-011</v>
          </cell>
        </row>
        <row r="2789">
          <cell r="J2789"/>
        </row>
        <row r="2790">
          <cell r="J2790" t="str">
            <v>PI-704-302</v>
          </cell>
        </row>
        <row r="2791">
          <cell r="J2791" t="str">
            <v>PI-704-205</v>
          </cell>
        </row>
        <row r="2792">
          <cell r="J2792" t="str">
            <v>PI-704-205</v>
          </cell>
        </row>
        <row r="2793">
          <cell r="J2793"/>
        </row>
        <row r="2794">
          <cell r="J2794" t="str">
            <v>PI-704-302</v>
          </cell>
        </row>
        <row r="2795">
          <cell r="J2795" t="str">
            <v>PI-704-302</v>
          </cell>
        </row>
        <row r="2796">
          <cell r="J2796"/>
        </row>
        <row r="2797">
          <cell r="J2797" t="str">
            <v>PI-704-302</v>
          </cell>
        </row>
        <row r="2798">
          <cell r="J2798"/>
        </row>
        <row r="2799">
          <cell r="J2799" t="str">
            <v>PI-704-011</v>
          </cell>
        </row>
        <row r="2800">
          <cell r="J2800"/>
        </row>
        <row r="2801">
          <cell r="J2801" t="str">
            <v>PI-704-006</v>
          </cell>
        </row>
        <row r="2802">
          <cell r="J2802" t="str">
            <v>PI-704-011</v>
          </cell>
        </row>
        <row r="2803">
          <cell r="J2803" t="str">
            <v>PI-704-204</v>
          </cell>
        </row>
        <row r="2804">
          <cell r="J2804" t="str">
            <v>PI-704-011</v>
          </cell>
        </row>
        <row r="2805">
          <cell r="J2805"/>
        </row>
        <row r="2806">
          <cell r="J2806" t="str">
            <v>PI-704-301</v>
          </cell>
        </row>
        <row r="2807">
          <cell r="J2807" t="str">
            <v>PI-704-301</v>
          </cell>
        </row>
        <row r="2808">
          <cell r="J2808"/>
        </row>
        <row r="2809">
          <cell r="J2809" t="str">
            <v>PI-705-003</v>
          </cell>
        </row>
        <row r="2810">
          <cell r="J2810" t="str">
            <v>PI-705-003</v>
          </cell>
        </row>
        <row r="2811">
          <cell r="J2811"/>
        </row>
        <row r="2812">
          <cell r="J2812" t="str">
            <v>PI-704-301</v>
          </cell>
        </row>
        <row r="2813">
          <cell r="J2813" t="str">
            <v>PI-704-301</v>
          </cell>
        </row>
        <row r="2814">
          <cell r="J2814" t="str">
            <v>PI-704-301</v>
          </cell>
        </row>
        <row r="2815">
          <cell r="J2815" t="str">
            <v>PI-704-301</v>
          </cell>
        </row>
        <row r="2816">
          <cell r="J2816" t="str">
            <v>PI-704-301</v>
          </cell>
        </row>
        <row r="2817">
          <cell r="J2817" t="str">
            <v>PI-704-301</v>
          </cell>
        </row>
        <row r="2818">
          <cell r="J2818"/>
        </row>
        <row r="2819">
          <cell r="J2819" t="str">
            <v>PI-704-006</v>
          </cell>
        </row>
        <row r="2820">
          <cell r="J2820" t="str">
            <v>PI-704-006</v>
          </cell>
        </row>
        <row r="2821">
          <cell r="J2821" t="str">
            <v>PI-704-006</v>
          </cell>
        </row>
        <row r="2822">
          <cell r="J2822"/>
        </row>
        <row r="2823">
          <cell r="J2823" t="str">
            <v>PI-704-006</v>
          </cell>
        </row>
        <row r="2824">
          <cell r="J2824"/>
        </row>
        <row r="2825">
          <cell r="J2825" t="str">
            <v>PI-704-006</v>
          </cell>
        </row>
        <row r="2826">
          <cell r="J2826" t="str">
            <v>PI-704-006</v>
          </cell>
        </row>
        <row r="2827">
          <cell r="J2827" t="str">
            <v>PI-704-006</v>
          </cell>
        </row>
        <row r="2828">
          <cell r="J2828" t="str">
            <v>PI-704-006</v>
          </cell>
        </row>
        <row r="2829">
          <cell r="J2829" t="str">
            <v>PI-704-006</v>
          </cell>
        </row>
        <row r="2830">
          <cell r="J2830" t="str">
            <v>PI-704-006</v>
          </cell>
        </row>
        <row r="2831">
          <cell r="J2831" t="str">
            <v>PI-704-006</v>
          </cell>
        </row>
        <row r="2832">
          <cell r="J2832"/>
        </row>
        <row r="2833">
          <cell r="J2833" t="str">
            <v>PI-704-303</v>
          </cell>
        </row>
        <row r="2834">
          <cell r="J2834"/>
        </row>
        <row r="2835">
          <cell r="J2835" t="str">
            <v>PI-704-205</v>
          </cell>
        </row>
        <row r="2836">
          <cell r="J2836"/>
        </row>
        <row r="2837">
          <cell r="J2837" t="str">
            <v>PI-705-002</v>
          </cell>
        </row>
        <row r="2838">
          <cell r="J2838" t="str">
            <v>PI-705-002</v>
          </cell>
        </row>
        <row r="2839">
          <cell r="J2839"/>
        </row>
        <row r="2840">
          <cell r="J2840" t="str">
            <v>PI-705-002</v>
          </cell>
        </row>
        <row r="2841">
          <cell r="J2841"/>
        </row>
        <row r="2842">
          <cell r="J2842" t="str">
            <v>PI-704-301</v>
          </cell>
        </row>
        <row r="2843">
          <cell r="J2843"/>
        </row>
        <row r="2844">
          <cell r="J2844" t="str">
            <v>PI-704-302</v>
          </cell>
        </row>
        <row r="2845">
          <cell r="J2845"/>
        </row>
        <row r="2846">
          <cell r="J2846" t="str">
            <v>PI-704-007</v>
          </cell>
        </row>
        <row r="2847">
          <cell r="J2847"/>
        </row>
        <row r="2848">
          <cell r="J2848" t="str">
            <v>PI-705-002</v>
          </cell>
        </row>
        <row r="2849">
          <cell r="J2849"/>
        </row>
        <row r="2850">
          <cell r="J2850" t="str">
            <v>PI-704-011</v>
          </cell>
        </row>
        <row r="2851">
          <cell r="J2851" t="str">
            <v>PI-704-011</v>
          </cell>
        </row>
        <row r="2852">
          <cell r="J2852" t="str">
            <v>PI-704-011</v>
          </cell>
        </row>
        <row r="2853">
          <cell r="J2853" t="str">
            <v>PI-704-014</v>
          </cell>
        </row>
        <row r="2854">
          <cell r="J2854" t="str">
            <v>PI-704-014</v>
          </cell>
        </row>
        <row r="2855">
          <cell r="J2855" t="str">
            <v>PI-704-014</v>
          </cell>
        </row>
        <row r="2856">
          <cell r="J2856" t="str">
            <v>PI-704-014</v>
          </cell>
        </row>
        <row r="2857">
          <cell r="J2857" t="str">
            <v>PI-704-014</v>
          </cell>
        </row>
        <row r="2858">
          <cell r="J2858" t="str">
            <v>PI-704-014</v>
          </cell>
        </row>
        <row r="2859">
          <cell r="J2859" t="str">
            <v>PI-704-014</v>
          </cell>
        </row>
        <row r="2860">
          <cell r="J2860" t="str">
            <v>PI-704-014</v>
          </cell>
        </row>
        <row r="2861">
          <cell r="J2861" t="str">
            <v>PI-704-014</v>
          </cell>
        </row>
        <row r="2862">
          <cell r="J2862" t="str">
            <v>PI-704-014</v>
          </cell>
        </row>
        <row r="2863">
          <cell r="J2863" t="str">
            <v>PI-704-014</v>
          </cell>
        </row>
        <row r="2864">
          <cell r="J2864" t="str">
            <v>PI-704-014</v>
          </cell>
        </row>
        <row r="2865">
          <cell r="J2865" t="str">
            <v>PI-704-014</v>
          </cell>
        </row>
        <row r="2866">
          <cell r="J2866" t="str">
            <v>PI-704-014</v>
          </cell>
        </row>
        <row r="2867">
          <cell r="J2867" t="str">
            <v>PI-704-014</v>
          </cell>
        </row>
        <row r="2868">
          <cell r="J2868" t="str">
            <v>PI-704-011</v>
          </cell>
        </row>
        <row r="2869">
          <cell r="J2869" t="str">
            <v>PI-704-011</v>
          </cell>
        </row>
        <row r="2870">
          <cell r="J2870" t="str">
            <v>PI-704-011</v>
          </cell>
        </row>
        <row r="2871">
          <cell r="J2871"/>
        </row>
        <row r="2872">
          <cell r="J2872" t="str">
            <v>PI-704-011</v>
          </cell>
        </row>
        <row r="2873">
          <cell r="J2873" t="str">
            <v>PI-704-011</v>
          </cell>
        </row>
        <row r="2874">
          <cell r="J2874" t="str">
            <v>PI-704-011</v>
          </cell>
        </row>
        <row r="2875">
          <cell r="J2875" t="str">
            <v>PI-704-011</v>
          </cell>
        </row>
        <row r="2876">
          <cell r="J2876" t="str">
            <v>PI-704-011</v>
          </cell>
        </row>
        <row r="2877">
          <cell r="J2877" t="str">
            <v>PI-704-011</v>
          </cell>
        </row>
        <row r="2878">
          <cell r="J2878"/>
        </row>
        <row r="2879">
          <cell r="J2879" t="str">
            <v>PI-704-011</v>
          </cell>
        </row>
        <row r="2880">
          <cell r="J2880" t="str">
            <v>PI-704-011</v>
          </cell>
        </row>
        <row r="2881">
          <cell r="J2881"/>
        </row>
        <row r="2882">
          <cell r="J2882" t="str">
            <v>PI-704-011</v>
          </cell>
        </row>
        <row r="2883">
          <cell r="J2883" t="str">
            <v>PI-704-011</v>
          </cell>
        </row>
        <row r="2884">
          <cell r="J2884"/>
        </row>
        <row r="2885">
          <cell r="J2885" t="str">
            <v>PI-704-011</v>
          </cell>
        </row>
        <row r="2886">
          <cell r="J2886"/>
        </row>
        <row r="2887">
          <cell r="J2887" t="str">
            <v>PI-704-011</v>
          </cell>
        </row>
        <row r="2888">
          <cell r="J2888"/>
        </row>
        <row r="2889">
          <cell r="J2889" t="str">
            <v>PI-704-011</v>
          </cell>
        </row>
        <row r="2890">
          <cell r="J2890" t="str">
            <v>PI-704-011</v>
          </cell>
        </row>
        <row r="2891">
          <cell r="J2891" t="str">
            <v>PI-704-011</v>
          </cell>
        </row>
        <row r="2892">
          <cell r="J2892" t="str">
            <v>PI-704-011</v>
          </cell>
        </row>
        <row r="2893">
          <cell r="J2893"/>
        </row>
        <row r="2894">
          <cell r="J2894" t="str">
            <v>PI-704-301</v>
          </cell>
        </row>
        <row r="2895">
          <cell r="J2895" t="str">
            <v>PI-704-205</v>
          </cell>
        </row>
        <row r="2896">
          <cell r="J2896" t="str">
            <v>PI-704-011</v>
          </cell>
        </row>
        <row r="2897">
          <cell r="J2897"/>
        </row>
        <row r="2898">
          <cell r="J2898" t="str">
            <v>PI-716-102</v>
          </cell>
        </row>
        <row r="2899">
          <cell r="J2899" t="str">
            <v>PI-716-102</v>
          </cell>
        </row>
        <row r="2900">
          <cell r="J2900" t="str">
            <v>PI-716-102</v>
          </cell>
        </row>
        <row r="2901">
          <cell r="J2901" t="str">
            <v>PI-716-102</v>
          </cell>
        </row>
        <row r="2902">
          <cell r="J2902" t="str">
            <v>PI-716-102</v>
          </cell>
        </row>
        <row r="2903">
          <cell r="J2903" t="str">
            <v>PI-716-102</v>
          </cell>
        </row>
        <row r="2904">
          <cell r="J2904" t="str">
            <v>PI-716-102</v>
          </cell>
        </row>
        <row r="2905">
          <cell r="J2905" t="str">
            <v>PI-716-102</v>
          </cell>
        </row>
        <row r="2906">
          <cell r="J2906" t="str">
            <v>PI-716-102</v>
          </cell>
        </row>
        <row r="2907">
          <cell r="J2907" t="str">
            <v>PI-716-102</v>
          </cell>
        </row>
        <row r="2908">
          <cell r="J2908" t="str">
            <v>PI-716-102</v>
          </cell>
        </row>
        <row r="2909">
          <cell r="J2909" t="str">
            <v>PI-716-102</v>
          </cell>
        </row>
        <row r="2910">
          <cell r="J2910" t="str">
            <v>PI-716-102</v>
          </cell>
        </row>
        <row r="2911">
          <cell r="J2911" t="str">
            <v>PI-716-102</v>
          </cell>
        </row>
        <row r="2912">
          <cell r="J2912" t="str">
            <v>PI-716-102</v>
          </cell>
        </row>
        <row r="2913">
          <cell r="J2913" t="str">
            <v>PI-716-102</v>
          </cell>
        </row>
        <row r="2914">
          <cell r="J2914" t="str">
            <v>PI-716-102</v>
          </cell>
        </row>
        <row r="2915">
          <cell r="J2915" t="str">
            <v>PI-716-102</v>
          </cell>
        </row>
        <row r="2916">
          <cell r="J2916" t="str">
            <v>PI-716-102</v>
          </cell>
        </row>
        <row r="2917">
          <cell r="J2917" t="str">
            <v>PI-716-102</v>
          </cell>
        </row>
        <row r="2918">
          <cell r="J2918" t="str">
            <v>PI-716-102</v>
          </cell>
        </row>
        <row r="2919">
          <cell r="J2919" t="str">
            <v>PI-716-102</v>
          </cell>
        </row>
        <row r="2920">
          <cell r="J2920" t="str">
            <v>PI-716-102</v>
          </cell>
        </row>
        <row r="2921">
          <cell r="J2921" t="str">
            <v>PI-716-102</v>
          </cell>
        </row>
        <row r="2922">
          <cell r="J2922" t="str">
            <v>PI-716-102</v>
          </cell>
        </row>
        <row r="2923">
          <cell r="J2923" t="str">
            <v>PI-716-102</v>
          </cell>
        </row>
        <row r="2924">
          <cell r="J2924"/>
        </row>
        <row r="2925">
          <cell r="J2925" t="str">
            <v>PI-716-102</v>
          </cell>
        </row>
        <row r="2926">
          <cell r="J2926" t="str">
            <v>PI-716-102</v>
          </cell>
        </row>
        <row r="2927">
          <cell r="J2927" t="str">
            <v>PI-716-102</v>
          </cell>
        </row>
        <row r="2928">
          <cell r="J2928" t="str">
            <v>PI-716-102</v>
          </cell>
        </row>
        <row r="2929">
          <cell r="J2929" t="str">
            <v>PI-716-102</v>
          </cell>
        </row>
        <row r="2930">
          <cell r="J2930" t="str">
            <v>PI-716-102</v>
          </cell>
        </row>
        <row r="2931">
          <cell r="J2931" t="str">
            <v>PI-716-102</v>
          </cell>
        </row>
        <row r="2932">
          <cell r="J2932" t="str">
            <v>PI-716-102</v>
          </cell>
        </row>
        <row r="2933">
          <cell r="J2933" t="str">
            <v>PI-716-102</v>
          </cell>
        </row>
        <row r="2934">
          <cell r="J2934" t="str">
            <v>PI-716-102</v>
          </cell>
        </row>
        <row r="2935">
          <cell r="J2935" t="str">
            <v>PI-716-102</v>
          </cell>
        </row>
        <row r="2936">
          <cell r="J2936" t="str">
            <v>PI-716-102</v>
          </cell>
        </row>
        <row r="2937">
          <cell r="J2937" t="str">
            <v>PI-716-102</v>
          </cell>
        </row>
        <row r="2938">
          <cell r="J2938" t="str">
            <v>PI-716-102</v>
          </cell>
        </row>
        <row r="2939">
          <cell r="J2939" t="str">
            <v>PI-716-102</v>
          </cell>
        </row>
        <row r="2940">
          <cell r="J2940" t="str">
            <v>PI-716-102</v>
          </cell>
        </row>
        <row r="2941">
          <cell r="J2941" t="str">
            <v>PI-716-102</v>
          </cell>
        </row>
        <row r="2942">
          <cell r="J2942" t="str">
            <v>PI-716-102</v>
          </cell>
        </row>
        <row r="2943">
          <cell r="J2943" t="str">
            <v>PI-716-102</v>
          </cell>
        </row>
        <row r="2944">
          <cell r="J2944" t="str">
            <v>PI-716-102</v>
          </cell>
        </row>
        <row r="2945">
          <cell r="J2945" t="str">
            <v>PI-716-102</v>
          </cell>
        </row>
        <row r="2946">
          <cell r="J2946" t="str">
            <v>PI-716-102</v>
          </cell>
        </row>
        <row r="2947">
          <cell r="J2947" t="str">
            <v>PI-716-102</v>
          </cell>
        </row>
        <row r="2948">
          <cell r="J2948" t="str">
            <v>PI-716-102</v>
          </cell>
        </row>
        <row r="2949">
          <cell r="J2949" t="str">
            <v>PI-716-102</v>
          </cell>
        </row>
        <row r="2950">
          <cell r="J2950" t="str">
            <v>PI-716-102</v>
          </cell>
        </row>
        <row r="2951">
          <cell r="J2951" t="str">
            <v>PI-716-103</v>
          </cell>
        </row>
        <row r="2952">
          <cell r="J2952" t="str">
            <v>PI-716-103</v>
          </cell>
        </row>
        <row r="2953">
          <cell r="J2953" t="str">
            <v>PI-716-103</v>
          </cell>
        </row>
        <row r="2954">
          <cell r="J2954" t="str">
            <v>PI-716-103</v>
          </cell>
        </row>
        <row r="2955">
          <cell r="J2955" t="str">
            <v>PI-716-103</v>
          </cell>
        </row>
        <row r="2956">
          <cell r="J2956" t="str">
            <v>PI-716-103</v>
          </cell>
        </row>
        <row r="2957">
          <cell r="J2957" t="str">
            <v>PI-716-103</v>
          </cell>
        </row>
        <row r="2958">
          <cell r="J2958" t="str">
            <v>PI-716-103</v>
          </cell>
        </row>
        <row r="2959">
          <cell r="J2959" t="str">
            <v>PI-716-103</v>
          </cell>
        </row>
        <row r="2960">
          <cell r="J2960" t="str">
            <v>PI-716-103</v>
          </cell>
        </row>
        <row r="2961">
          <cell r="J2961" t="str">
            <v>PI-716-103</v>
          </cell>
        </row>
        <row r="2962">
          <cell r="J2962" t="str">
            <v>PI-716-103</v>
          </cell>
        </row>
        <row r="2963">
          <cell r="J2963" t="str">
            <v>PI-716-103</v>
          </cell>
        </row>
        <row r="2964">
          <cell r="J2964" t="str">
            <v>PI-716-103</v>
          </cell>
        </row>
        <row r="2965">
          <cell r="J2965" t="str">
            <v>PI-716-103</v>
          </cell>
        </row>
        <row r="2966">
          <cell r="J2966" t="str">
            <v>PI-716-103</v>
          </cell>
        </row>
        <row r="2967">
          <cell r="J2967" t="str">
            <v>PI-716-103</v>
          </cell>
        </row>
        <row r="2968">
          <cell r="J2968" t="str">
            <v>PI-716-103</v>
          </cell>
        </row>
        <row r="2969">
          <cell r="J2969" t="str">
            <v>PI-716-103</v>
          </cell>
        </row>
        <row r="2970">
          <cell r="J2970" t="str">
            <v>PI-716-103</v>
          </cell>
        </row>
        <row r="2971">
          <cell r="J2971" t="str">
            <v>PI-716-103</v>
          </cell>
        </row>
        <row r="2972">
          <cell r="J2972" t="str">
            <v>PI-716-103</v>
          </cell>
        </row>
        <row r="2973">
          <cell r="J2973" t="str">
            <v>PI-716-103</v>
          </cell>
        </row>
        <row r="2974">
          <cell r="J2974" t="str">
            <v>PI-716-103</v>
          </cell>
        </row>
        <row r="2975">
          <cell r="J2975" t="str">
            <v>PI-716-103</v>
          </cell>
        </row>
        <row r="2976">
          <cell r="J2976" t="str">
            <v>PI-716-103</v>
          </cell>
        </row>
        <row r="2977">
          <cell r="J2977"/>
        </row>
        <row r="2978">
          <cell r="J2978" t="str">
            <v>PI-716-103</v>
          </cell>
        </row>
        <row r="2979">
          <cell r="J2979" t="str">
            <v>PI-716-103</v>
          </cell>
        </row>
        <row r="2980">
          <cell r="J2980" t="str">
            <v>PI-716-103</v>
          </cell>
        </row>
        <row r="2981">
          <cell r="J2981" t="str">
            <v>PI-716-103</v>
          </cell>
        </row>
        <row r="2982">
          <cell r="J2982" t="str">
            <v>PI-716-103</v>
          </cell>
        </row>
        <row r="2983">
          <cell r="J2983" t="str">
            <v>PI-716-103</v>
          </cell>
        </row>
        <row r="2984">
          <cell r="J2984" t="str">
            <v>PI-716-103</v>
          </cell>
        </row>
        <row r="2985">
          <cell r="J2985" t="str">
            <v>PI-716-103</v>
          </cell>
        </row>
        <row r="2986">
          <cell r="J2986" t="str">
            <v>PI-716-103</v>
          </cell>
        </row>
        <row r="2987">
          <cell r="J2987" t="str">
            <v>PI-716-103</v>
          </cell>
        </row>
        <row r="2988">
          <cell r="J2988" t="str">
            <v>PI-716-103</v>
          </cell>
        </row>
        <row r="2989">
          <cell r="J2989" t="str">
            <v>PI-716-103</v>
          </cell>
        </row>
        <row r="2990">
          <cell r="J2990" t="str">
            <v>PI-716-103</v>
          </cell>
        </row>
        <row r="2991">
          <cell r="J2991" t="str">
            <v>PI-716-103</v>
          </cell>
        </row>
        <row r="2992">
          <cell r="J2992" t="str">
            <v>PI-716-103</v>
          </cell>
        </row>
        <row r="2993">
          <cell r="J2993" t="str">
            <v>PI-716-103</v>
          </cell>
        </row>
        <row r="2994">
          <cell r="J2994" t="str">
            <v>PI-716-103</v>
          </cell>
        </row>
        <row r="2995">
          <cell r="J2995" t="str">
            <v>PI-716-103</v>
          </cell>
        </row>
        <row r="2996">
          <cell r="J2996" t="str">
            <v>PI-716-103</v>
          </cell>
        </row>
        <row r="2997">
          <cell r="J2997" t="str">
            <v>PI-716-103</v>
          </cell>
        </row>
        <row r="2998">
          <cell r="J2998" t="str">
            <v>PI-716-103</v>
          </cell>
        </row>
        <row r="2999">
          <cell r="J2999" t="str">
            <v>PI-716-103</v>
          </cell>
        </row>
        <row r="3000">
          <cell r="J3000" t="str">
            <v>PI-716-103</v>
          </cell>
        </row>
        <row r="3001">
          <cell r="J3001" t="str">
            <v>PI-716-103</v>
          </cell>
        </row>
        <row r="3002">
          <cell r="J3002" t="str">
            <v>PI-716-103</v>
          </cell>
        </row>
        <row r="3003">
          <cell r="J3003" t="str">
            <v>PI-716-103</v>
          </cell>
        </row>
        <row r="3004">
          <cell r="J3004"/>
        </row>
        <row r="3005">
          <cell r="J3005" t="str">
            <v>PI-704-011</v>
          </cell>
        </row>
        <row r="3006">
          <cell r="J3006"/>
        </row>
        <row r="3007">
          <cell r="J3007" t="str">
            <v>PI-704-011</v>
          </cell>
        </row>
        <row r="3008">
          <cell r="J3008" t="str">
            <v>PI-704-011</v>
          </cell>
        </row>
        <row r="3009">
          <cell r="J3009"/>
        </row>
        <row r="3010">
          <cell r="J3010" t="str">
            <v>PI-704-011</v>
          </cell>
        </row>
        <row r="3011">
          <cell r="J3011"/>
        </row>
        <row r="3012">
          <cell r="J3012" t="str">
            <v>PI-706-003</v>
          </cell>
        </row>
        <row r="3013">
          <cell r="J3013" t="str">
            <v>PI-706-001</v>
          </cell>
        </row>
        <row r="3014">
          <cell r="J3014" t="str">
            <v>PI-706-002</v>
          </cell>
        </row>
        <row r="3015">
          <cell r="J3015" t="str">
            <v>PI-706-002</v>
          </cell>
        </row>
        <row r="3016">
          <cell r="J3016" t="str">
            <v>PI-706-002</v>
          </cell>
        </row>
        <row r="3017">
          <cell r="J3017" t="str">
            <v>PI-706-002</v>
          </cell>
        </row>
        <row r="3018">
          <cell r="J3018" t="str">
            <v>PI-706-003</v>
          </cell>
        </row>
        <row r="3019">
          <cell r="J3019" t="str">
            <v>PI-706-003</v>
          </cell>
        </row>
        <row r="3020">
          <cell r="J3020" t="str">
            <v>PI-706-003</v>
          </cell>
        </row>
        <row r="3021">
          <cell r="J3021" t="str">
            <v>PI-706-003</v>
          </cell>
        </row>
        <row r="3022">
          <cell r="J3022" t="str">
            <v>PI-706-003</v>
          </cell>
        </row>
        <row r="3023">
          <cell r="J3023" t="str">
            <v>PI-706-001</v>
          </cell>
        </row>
        <row r="3024">
          <cell r="J3024" t="str">
            <v>PI-706-001</v>
          </cell>
        </row>
        <row r="3025">
          <cell r="J3025" t="str">
            <v>PI-706-002</v>
          </cell>
        </row>
        <row r="3026">
          <cell r="J3026" t="str">
            <v>PI-706-002</v>
          </cell>
        </row>
        <row r="3027">
          <cell r="J3027" t="str">
            <v>PI-706-002</v>
          </cell>
        </row>
        <row r="3028">
          <cell r="J3028" t="str">
            <v>PI-706-002</v>
          </cell>
        </row>
        <row r="3029">
          <cell r="J3029" t="str">
            <v>PI-706-002</v>
          </cell>
        </row>
        <row r="3030">
          <cell r="J3030" t="str">
            <v>PI-706-003</v>
          </cell>
        </row>
        <row r="3031">
          <cell r="J3031" t="str">
            <v>PI-706-003</v>
          </cell>
        </row>
        <row r="3032">
          <cell r="J3032" t="str">
            <v>PI-706-003</v>
          </cell>
        </row>
        <row r="3033">
          <cell r="J3033" t="str">
            <v>PI-706-003</v>
          </cell>
        </row>
        <row r="3034">
          <cell r="J3034" t="str">
            <v>PI-706-004</v>
          </cell>
        </row>
        <row r="3035">
          <cell r="J3035" t="str">
            <v>PI-706-004</v>
          </cell>
        </row>
        <row r="3036">
          <cell r="J3036"/>
        </row>
        <row r="3037">
          <cell r="J3037" t="str">
            <v>PI-706-004</v>
          </cell>
        </row>
        <row r="3038">
          <cell r="J3038" t="str">
            <v>PI-706-004</v>
          </cell>
        </row>
        <row r="3039">
          <cell r="J3039" t="str">
            <v>PI-706-005</v>
          </cell>
        </row>
        <row r="3040">
          <cell r="J3040" t="str">
            <v>PI-706-005</v>
          </cell>
        </row>
        <row r="3041">
          <cell r="J3041" t="str">
            <v>PI-706-005</v>
          </cell>
        </row>
        <row r="3042">
          <cell r="J3042" t="str">
            <v>PI-706-004</v>
          </cell>
        </row>
        <row r="3043">
          <cell r="J3043" t="str">
            <v>PI-706-004</v>
          </cell>
        </row>
        <row r="3044">
          <cell r="J3044"/>
        </row>
        <row r="3045">
          <cell r="J3045" t="str">
            <v>PI-706-003</v>
          </cell>
        </row>
        <row r="3046">
          <cell r="J3046" t="str">
            <v>PI-706-003</v>
          </cell>
        </row>
        <row r="3047">
          <cell r="J3047"/>
        </row>
        <row r="3048">
          <cell r="J3048" t="str">
            <v>PI-706-006</v>
          </cell>
        </row>
        <row r="3049">
          <cell r="J3049" t="str">
            <v>PI-706-006</v>
          </cell>
        </row>
        <row r="3050">
          <cell r="J3050" t="str">
            <v>PI-706-006</v>
          </cell>
        </row>
        <row r="3051">
          <cell r="J3051" t="str">
            <v>PI-706-006</v>
          </cell>
        </row>
        <row r="3052">
          <cell r="J3052" t="str">
            <v>PI-706-006</v>
          </cell>
        </row>
        <row r="3053">
          <cell r="J3053"/>
        </row>
        <row r="3054">
          <cell r="J3054" t="str">
            <v>PI-706-006</v>
          </cell>
        </row>
        <row r="3055">
          <cell r="J3055" t="str">
            <v>PI-706-006</v>
          </cell>
        </row>
        <row r="3056">
          <cell r="J3056"/>
        </row>
        <row r="3057">
          <cell r="J3057" t="str">
            <v>PI-706-006</v>
          </cell>
        </row>
        <row r="3058">
          <cell r="J3058" t="str">
            <v>PI-706-006</v>
          </cell>
        </row>
        <row r="3059">
          <cell r="J3059" t="str">
            <v>PI-706-006</v>
          </cell>
        </row>
        <row r="3060">
          <cell r="J3060" t="str">
            <v>PI-706-006</v>
          </cell>
        </row>
        <row r="3061">
          <cell r="J3061" t="str">
            <v>PI-706-006</v>
          </cell>
        </row>
        <row r="3062">
          <cell r="J3062" t="str">
            <v>PI-706-006</v>
          </cell>
        </row>
        <row r="3063">
          <cell r="J3063" t="str">
            <v>PI-706-006</v>
          </cell>
        </row>
        <row r="3064">
          <cell r="J3064"/>
        </row>
        <row r="3065">
          <cell r="J3065" t="str">
            <v>PI-706-004</v>
          </cell>
        </row>
        <row r="3066">
          <cell r="J3066" t="str">
            <v>PI-706-004</v>
          </cell>
        </row>
        <row r="3067">
          <cell r="J3067"/>
        </row>
        <row r="3068">
          <cell r="J3068" t="str">
            <v>PI-706-004</v>
          </cell>
        </row>
        <row r="3069">
          <cell r="J3069"/>
        </row>
        <row r="3070">
          <cell r="J3070" t="str">
            <v>PI-706-004</v>
          </cell>
        </row>
        <row r="3071">
          <cell r="J3071" t="str">
            <v>PI-706-004</v>
          </cell>
        </row>
        <row r="3072">
          <cell r="J3072" t="str">
            <v>PI-706-004</v>
          </cell>
        </row>
        <row r="3073">
          <cell r="J3073" t="str">
            <v>PI-706-201</v>
          </cell>
        </row>
        <row r="3074">
          <cell r="J3074" t="str">
            <v>PI-706-201</v>
          </cell>
        </row>
        <row r="3075">
          <cell r="J3075"/>
        </row>
        <row r="3076">
          <cell r="J3076" t="str">
            <v>PI-706-004</v>
          </cell>
        </row>
        <row r="3077">
          <cell r="J3077" t="str">
            <v>PI-706-004</v>
          </cell>
        </row>
        <row r="3078">
          <cell r="J3078" t="str">
            <v>PI-706-004</v>
          </cell>
        </row>
        <row r="3079">
          <cell r="J3079" t="str">
            <v>PI-706-004</v>
          </cell>
        </row>
        <row r="3080">
          <cell r="J3080" t="str">
            <v>PI-706-004</v>
          </cell>
        </row>
        <row r="3081">
          <cell r="J3081" t="str">
            <v>PI-706-004</v>
          </cell>
        </row>
        <row r="3082">
          <cell r="J3082" t="str">
            <v>PI-706-004</v>
          </cell>
        </row>
        <row r="3083">
          <cell r="J3083" t="str">
            <v>PI-706-004</v>
          </cell>
        </row>
        <row r="3084">
          <cell r="J3084"/>
        </row>
        <row r="3085">
          <cell r="J3085" t="str">
            <v>PI-706-002</v>
          </cell>
        </row>
        <row r="3086">
          <cell r="J3086" t="str">
            <v>PI-706-002</v>
          </cell>
        </row>
        <row r="3087">
          <cell r="J3087"/>
        </row>
        <row r="3088">
          <cell r="J3088" t="str">
            <v>PI-706-005</v>
          </cell>
        </row>
        <row r="3089">
          <cell r="J3089"/>
        </row>
        <row r="3090">
          <cell r="J3090" t="str">
            <v>PI-706-005</v>
          </cell>
        </row>
        <row r="3091">
          <cell r="J3091" t="str">
            <v>PI-706-005</v>
          </cell>
        </row>
        <row r="3092">
          <cell r="J3092" t="str">
            <v>PI-706-005</v>
          </cell>
        </row>
        <row r="3093">
          <cell r="J3093" t="str">
            <v>PI-706-005</v>
          </cell>
        </row>
        <row r="3094">
          <cell r="J3094" t="str">
            <v>PI-706-005</v>
          </cell>
        </row>
        <row r="3095">
          <cell r="J3095" t="str">
            <v>PI-706-005</v>
          </cell>
        </row>
        <row r="3096">
          <cell r="J3096" t="str">
            <v>PI-706-005</v>
          </cell>
        </row>
        <row r="3097">
          <cell r="J3097" t="str">
            <v>PI-706-005</v>
          </cell>
        </row>
        <row r="3098">
          <cell r="J3098" t="str">
            <v>PI-706-005</v>
          </cell>
        </row>
        <row r="3099">
          <cell r="J3099" t="str">
            <v>PI-706-005</v>
          </cell>
        </row>
        <row r="3100">
          <cell r="J3100" t="str">
            <v>PI-706-005</v>
          </cell>
        </row>
        <row r="3101">
          <cell r="J3101" t="str">
            <v>PI-706-005</v>
          </cell>
        </row>
        <row r="3102">
          <cell r="J3102"/>
        </row>
        <row r="3103">
          <cell r="J3103" t="str">
            <v>PI-706-005</v>
          </cell>
        </row>
        <row r="3104">
          <cell r="J3104"/>
        </row>
        <row r="3105">
          <cell r="J3105" t="str">
            <v>PI-706-006</v>
          </cell>
        </row>
        <row r="3106">
          <cell r="J3106" t="str">
            <v>PI-706-006</v>
          </cell>
        </row>
        <row r="3107">
          <cell r="J3107" t="str">
            <v>PI-706-006</v>
          </cell>
        </row>
        <row r="3108">
          <cell r="J3108"/>
        </row>
        <row r="3109">
          <cell r="J3109" t="str">
            <v>PI-706-001</v>
          </cell>
        </row>
        <row r="3110">
          <cell r="J3110" t="str">
            <v>PI-706-002</v>
          </cell>
        </row>
        <row r="3111">
          <cell r="J3111" t="str">
            <v>PI-706-002</v>
          </cell>
        </row>
        <row r="3112">
          <cell r="J3112" t="str">
            <v>PI-706-002</v>
          </cell>
        </row>
        <row r="3113">
          <cell r="J3113" t="str">
            <v>PI-706-002</v>
          </cell>
        </row>
        <row r="3114">
          <cell r="J3114" t="str">
            <v>PI-706-002</v>
          </cell>
        </row>
        <row r="3115">
          <cell r="J3115" t="str">
            <v>PI-706-003</v>
          </cell>
        </row>
        <row r="3116">
          <cell r="J3116"/>
        </row>
        <row r="3117">
          <cell r="J3117" t="str">
            <v>PI-706-002</v>
          </cell>
        </row>
        <row r="3118">
          <cell r="J3118" t="str">
            <v>PI-706-002</v>
          </cell>
        </row>
        <row r="3119">
          <cell r="J3119"/>
        </row>
        <row r="3120">
          <cell r="J3120" t="str">
            <v>PI-706-001</v>
          </cell>
        </row>
        <row r="3121">
          <cell r="J3121" t="str">
            <v>PI-706-001</v>
          </cell>
        </row>
        <row r="3122">
          <cell r="J3122" t="str">
            <v>PI-706-001</v>
          </cell>
        </row>
        <row r="3123">
          <cell r="J3123"/>
        </row>
        <row r="3124">
          <cell r="J3124" t="str">
            <v>PI-706-005</v>
          </cell>
        </row>
        <row r="3125">
          <cell r="J3125" t="str">
            <v>PI-706-005</v>
          </cell>
        </row>
        <row r="3126">
          <cell r="J3126"/>
        </row>
        <row r="3127">
          <cell r="J3127" t="str">
            <v>PI-704-013</v>
          </cell>
        </row>
        <row r="3128">
          <cell r="J3128" t="str">
            <v>PI-704-013</v>
          </cell>
        </row>
        <row r="3129">
          <cell r="J3129" t="str">
            <v>PI-704-016</v>
          </cell>
        </row>
        <row r="3130">
          <cell r="J3130" t="str">
            <v>PI-704-016</v>
          </cell>
        </row>
        <row r="3131">
          <cell r="J3131" t="str">
            <v>PI-704-016</v>
          </cell>
        </row>
        <row r="3132">
          <cell r="J3132" t="str">
            <v>PI-703-103</v>
          </cell>
        </row>
        <row r="3133">
          <cell r="J3133" t="str">
            <v>PI-703-104</v>
          </cell>
        </row>
        <row r="3134">
          <cell r="J3134" t="str">
            <v>PI-703-104</v>
          </cell>
        </row>
        <row r="3135">
          <cell r="J3135" t="str">
            <v>PI-703-004</v>
          </cell>
        </row>
        <row r="3136">
          <cell r="J3136" t="str">
            <v>PI-703-004</v>
          </cell>
        </row>
        <row r="3137">
          <cell r="J3137" t="str">
            <v>PI-703-104</v>
          </cell>
        </row>
        <row r="3138">
          <cell r="J3138" t="str">
            <v>PI-703-014</v>
          </cell>
        </row>
        <row r="3139">
          <cell r="J3139" t="str">
            <v>PI-703-014</v>
          </cell>
        </row>
        <row r="3140">
          <cell r="J3140" t="str">
            <v>PI-703-007</v>
          </cell>
        </row>
        <row r="3141">
          <cell r="J3141" t="str">
            <v>PI-703-007</v>
          </cell>
        </row>
        <row r="3142">
          <cell r="J3142" t="str">
            <v>PI-703-014</v>
          </cell>
        </row>
        <row r="3143">
          <cell r="J3143" t="str">
            <v>PI-708-001</v>
          </cell>
        </row>
        <row r="3144">
          <cell r="J3144" t="str">
            <v>PI-702-202</v>
          </cell>
        </row>
        <row r="3145">
          <cell r="J3145" t="str">
            <v>PI-702-202</v>
          </cell>
        </row>
        <row r="3146">
          <cell r="J3146" t="str">
            <v>PI-702-202</v>
          </cell>
        </row>
        <row r="3147">
          <cell r="J3147" t="str">
            <v>PI-702-201</v>
          </cell>
        </row>
        <row r="3148">
          <cell r="J3148" t="str">
            <v>PI-703-103</v>
          </cell>
        </row>
        <row r="3149">
          <cell r="J3149" t="str">
            <v>PI-708-003</v>
          </cell>
        </row>
        <row r="3150">
          <cell r="J3150"/>
        </row>
        <row r="3151">
          <cell r="J3151" t="str">
            <v>PI-704-016</v>
          </cell>
        </row>
        <row r="3152">
          <cell r="J3152" t="str">
            <v>PI-704-016</v>
          </cell>
        </row>
        <row r="3153">
          <cell r="J3153" t="str">
            <v>PI-704-016</v>
          </cell>
        </row>
        <row r="3154">
          <cell r="J3154"/>
        </row>
        <row r="3155">
          <cell r="J3155" t="str">
            <v>PI-707-301</v>
          </cell>
        </row>
        <row r="3156">
          <cell r="J3156"/>
        </row>
        <row r="3157">
          <cell r="J3157" t="str">
            <v>PI-704-011</v>
          </cell>
        </row>
        <row r="3158">
          <cell r="J3158" t="str">
            <v>PI-704-011</v>
          </cell>
        </row>
        <row r="3159">
          <cell r="J3159" t="str">
            <v>PI-704-011</v>
          </cell>
        </row>
        <row r="3160">
          <cell r="J3160" t="str">
            <v>PI-704-011</v>
          </cell>
        </row>
        <row r="3161">
          <cell r="J3161" t="str">
            <v>PI-704-011</v>
          </cell>
        </row>
        <row r="3162">
          <cell r="J3162"/>
        </row>
        <row r="3163">
          <cell r="J3163" t="str">
            <v>PI-702-UTILITIES</v>
          </cell>
        </row>
        <row r="3164">
          <cell r="J3164" t="str">
            <v>PI-702-UTILITIES</v>
          </cell>
        </row>
        <row r="3165">
          <cell r="J3165"/>
        </row>
        <row r="3166">
          <cell r="J3166" t="str">
            <v>PI-703-007</v>
          </cell>
        </row>
        <row r="3167">
          <cell r="J3167" t="str">
            <v>PI-703-007</v>
          </cell>
        </row>
        <row r="3168">
          <cell r="J3168" t="str">
            <v>PI-703-014</v>
          </cell>
        </row>
        <row r="3169">
          <cell r="J3169"/>
        </row>
        <row r="3170">
          <cell r="J3170" t="str">
            <v>PI-704-011</v>
          </cell>
        </row>
        <row r="3171">
          <cell r="J3171" t="str">
            <v>PI-704-011</v>
          </cell>
        </row>
        <row r="3172">
          <cell r="J3172" t="str">
            <v>PI-704-011</v>
          </cell>
        </row>
        <row r="3173">
          <cell r="J3173"/>
        </row>
        <row r="3174">
          <cell r="J3174" t="str">
            <v>PI-707-016</v>
          </cell>
        </row>
        <row r="3175">
          <cell r="J3175"/>
        </row>
        <row r="3176">
          <cell r="J3176" t="str">
            <v>PI-724-301</v>
          </cell>
        </row>
        <row r="3177">
          <cell r="J3177" t="str">
            <v>PI-706-010</v>
          </cell>
        </row>
        <row r="3178">
          <cell r="J3178" t="str">
            <v>PI-706-010</v>
          </cell>
        </row>
        <row r="3179">
          <cell r="J3179" t="str">
            <v>PI-706-010</v>
          </cell>
        </row>
        <row r="3180">
          <cell r="J3180" t="str">
            <v>PI-702-203</v>
          </cell>
        </row>
        <row r="3181">
          <cell r="J3181" t="str">
            <v>PI-702-203</v>
          </cell>
        </row>
        <row r="3182">
          <cell r="J3182" t="str">
            <v>PI-724-301</v>
          </cell>
        </row>
        <row r="3183">
          <cell r="J3183" t="str">
            <v>PI-724-301</v>
          </cell>
        </row>
        <row r="3184">
          <cell r="J3184"/>
        </row>
        <row r="3185">
          <cell r="J3185" t="str">
            <v>PI-704-005</v>
          </cell>
        </row>
        <row r="3186">
          <cell r="J3186"/>
        </row>
        <row r="3187">
          <cell r="J3187" t="str">
            <v>PI-704-005</v>
          </cell>
        </row>
        <row r="3188">
          <cell r="J3188"/>
        </row>
        <row r="3189">
          <cell r="J3189" t="str">
            <v>PI-704-005</v>
          </cell>
        </row>
        <row r="3190">
          <cell r="J3190"/>
        </row>
        <row r="3191">
          <cell r="J3191" t="str">
            <v>PI-704-005</v>
          </cell>
        </row>
        <row r="3192">
          <cell r="J3192" t="str">
            <v>PI-704-017</v>
          </cell>
        </row>
        <row r="3193">
          <cell r="J3193" t="str">
            <v>PI-704-005</v>
          </cell>
        </row>
        <row r="3194">
          <cell r="J3194" t="str">
            <v>PI-704-005</v>
          </cell>
        </row>
        <row r="3195">
          <cell r="J3195" t="str">
            <v>PI-704-005</v>
          </cell>
        </row>
        <row r="3196">
          <cell r="J3196" t="str">
            <v>PI-704-005</v>
          </cell>
        </row>
        <row r="3197">
          <cell r="J3197" t="str">
            <v>PI-704-005</v>
          </cell>
        </row>
        <row r="3198">
          <cell r="J3198"/>
        </row>
        <row r="3199">
          <cell r="J3199" t="str">
            <v>PI-706-008</v>
          </cell>
        </row>
        <row r="3200">
          <cell r="J3200" t="str">
            <v>PI-706-008</v>
          </cell>
        </row>
        <row r="3201">
          <cell r="J3201"/>
        </row>
        <row r="3202">
          <cell r="J3202" t="str">
            <v>PI-707-301</v>
          </cell>
        </row>
        <row r="3203">
          <cell r="J3203" t="str">
            <v>PI-707-301</v>
          </cell>
        </row>
        <row r="3204">
          <cell r="J3204" t="str">
            <v>PI-707-015</v>
          </cell>
        </row>
        <row r="3205">
          <cell r="J3205" t="str">
            <v>PI-702-201</v>
          </cell>
        </row>
        <row r="3206">
          <cell r="J3206" t="str">
            <v>PI-707-002</v>
          </cell>
        </row>
        <row r="3207">
          <cell r="J3207" t="str">
            <v>PI-707-002</v>
          </cell>
        </row>
        <row r="3208">
          <cell r="J3208" t="str">
            <v>PI-707-003</v>
          </cell>
        </row>
        <row r="3209">
          <cell r="J3209" t="str">
            <v>PI-707-003</v>
          </cell>
        </row>
        <row r="3210">
          <cell r="J3210"/>
        </row>
        <row r="3211">
          <cell r="J3211" t="str">
            <v>PI-707-015</v>
          </cell>
        </row>
        <row r="3212">
          <cell r="J3212" t="str">
            <v>PI-707-015</v>
          </cell>
        </row>
        <row r="3213">
          <cell r="J3213"/>
        </row>
        <row r="3214">
          <cell r="J3214" t="str">
            <v>PI-707-015</v>
          </cell>
        </row>
        <row r="3215">
          <cell r="J3215"/>
        </row>
        <row r="3216">
          <cell r="J3216" t="str">
            <v>PI-707-015</v>
          </cell>
        </row>
        <row r="3217">
          <cell r="J3217" t="str">
            <v>PI-707-015</v>
          </cell>
        </row>
        <row r="3218">
          <cell r="J3218" t="str">
            <v>PI-707-015</v>
          </cell>
        </row>
        <row r="3219">
          <cell r="J3219"/>
        </row>
        <row r="3220">
          <cell r="J3220" t="str">
            <v>PI-707-015</v>
          </cell>
        </row>
        <row r="3221">
          <cell r="J3221" t="str">
            <v>PI-707-015</v>
          </cell>
        </row>
        <row r="3222">
          <cell r="J3222" t="str">
            <v>PI-707-015</v>
          </cell>
        </row>
        <row r="3223">
          <cell r="J3223"/>
        </row>
        <row r="3224">
          <cell r="J3224" t="str">
            <v>PI-707-401</v>
          </cell>
        </row>
        <row r="3225">
          <cell r="J3225" t="str">
            <v>PI-707-501</v>
          </cell>
        </row>
        <row r="3226">
          <cell r="J3226" t="str">
            <v>PI-707-015</v>
          </cell>
        </row>
        <row r="3227">
          <cell r="J3227"/>
        </row>
        <row r="3228">
          <cell r="J3228"/>
        </row>
        <row r="3229">
          <cell r="J3229"/>
        </row>
        <row r="3230">
          <cell r="J3230"/>
        </row>
        <row r="3231">
          <cell r="J3231" t="str">
            <v>PI-707-015</v>
          </cell>
        </row>
        <row r="3232">
          <cell r="J3232" t="str">
            <v>PI-707-015</v>
          </cell>
        </row>
        <row r="3233">
          <cell r="J3233" t="str">
            <v>PI-707-015</v>
          </cell>
        </row>
        <row r="3234">
          <cell r="J3234" t="str">
            <v>PI-707-015</v>
          </cell>
        </row>
        <row r="3235">
          <cell r="J3235" t="str">
            <v>PI-707-015</v>
          </cell>
        </row>
        <row r="3236">
          <cell r="J3236" t="str">
            <v>PI-707-501</v>
          </cell>
        </row>
        <row r="3237">
          <cell r="J3237"/>
        </row>
        <row r="3238">
          <cell r="J3238" t="str">
            <v>PI-707-015</v>
          </cell>
        </row>
        <row r="3239">
          <cell r="J3239" t="str">
            <v>PI-707-015</v>
          </cell>
        </row>
        <row r="3240">
          <cell r="J3240"/>
        </row>
        <row r="3241">
          <cell r="J3241" t="str">
            <v>PI-707-015</v>
          </cell>
        </row>
        <row r="3242">
          <cell r="J3242"/>
        </row>
        <row r="3243">
          <cell r="J3243" t="str">
            <v>PI-702-UTILITIES</v>
          </cell>
        </row>
        <row r="3244">
          <cell r="J3244"/>
        </row>
        <row r="3245">
          <cell r="J3245" t="str">
            <v>PI-724-301</v>
          </cell>
        </row>
        <row r="3246">
          <cell r="J3246"/>
        </row>
        <row r="3247">
          <cell r="J3247" t="str">
            <v>PI-702-201</v>
          </cell>
        </row>
        <row r="3248">
          <cell r="J3248" t="str">
            <v>PI-702-201</v>
          </cell>
        </row>
        <row r="3249">
          <cell r="J3249" t="str">
            <v>PI-702-202</v>
          </cell>
        </row>
        <row r="3250">
          <cell r="J3250" t="str">
            <v>PI-702-203</v>
          </cell>
        </row>
        <row r="3251">
          <cell r="J3251" t="str">
            <v>PI-724-201</v>
          </cell>
        </row>
        <row r="3252">
          <cell r="J3252" t="str">
            <v>PI-724-201</v>
          </cell>
        </row>
        <row r="3253">
          <cell r="J3253" t="str">
            <v>PI-724-201</v>
          </cell>
        </row>
        <row r="3254">
          <cell r="J3254" t="str">
            <v>PI-702-UTILITIES</v>
          </cell>
        </row>
        <row r="3255">
          <cell r="J3255" t="str">
            <v>PI-705-UTILITIES</v>
          </cell>
        </row>
        <row r="3256">
          <cell r="J3256" t="str">
            <v>PI-705-UTILITIES</v>
          </cell>
        </row>
        <row r="3257">
          <cell r="J3257" t="str">
            <v>PI-704-105</v>
          </cell>
        </row>
        <row r="3258">
          <cell r="J3258" t="str">
            <v>PI-704-017</v>
          </cell>
        </row>
        <row r="3259">
          <cell r="J3259" t="str">
            <v>PI-704-UTILITIES</v>
          </cell>
        </row>
        <row r="3260">
          <cell r="J3260" t="str">
            <v>PI-702-UTILITIES</v>
          </cell>
        </row>
        <row r="3261">
          <cell r="J3261" t="str">
            <v>PI-704-105</v>
          </cell>
        </row>
        <row r="3262">
          <cell r="J3262" t="str">
            <v>PI-704-105</v>
          </cell>
        </row>
        <row r="3263">
          <cell r="J3263" t="str">
            <v>PI-704-205</v>
          </cell>
        </row>
        <row r="3264">
          <cell r="J3264" t="str">
            <v>PI-704-205</v>
          </cell>
        </row>
        <row r="3265">
          <cell r="J3265" t="str">
            <v>PI-702-UTILITIES</v>
          </cell>
        </row>
        <row r="3266">
          <cell r="J3266" t="str">
            <v>PI-707-401</v>
          </cell>
        </row>
        <row r="3267">
          <cell r="J3267" t="str">
            <v>PI-704-UTILITIES</v>
          </cell>
        </row>
        <row r="3268">
          <cell r="J3268" t="str">
            <v>PI-703-UTILITIES</v>
          </cell>
        </row>
        <row r="3269">
          <cell r="J3269" t="str">
            <v>PI-703-UTILITIES</v>
          </cell>
        </row>
        <row r="3270">
          <cell r="J3270" t="str">
            <v>PI-703-UTILITIES</v>
          </cell>
        </row>
        <row r="3271">
          <cell r="J3271" t="str">
            <v>PI-707-401</v>
          </cell>
        </row>
        <row r="3272">
          <cell r="J3272" t="str">
            <v>PI-704-005</v>
          </cell>
        </row>
        <row r="3273">
          <cell r="J3273" t="str">
            <v>PI-704-005</v>
          </cell>
        </row>
        <row r="3274">
          <cell r="J3274" t="str">
            <v>PI-702-UTILITIES</v>
          </cell>
        </row>
        <row r="3275">
          <cell r="J3275" t="str">
            <v>PI-703-UTILITIES</v>
          </cell>
        </row>
        <row r="3276">
          <cell r="J3276" t="str">
            <v>PI-703-UTILITIES</v>
          </cell>
        </row>
        <row r="3277">
          <cell r="J3277" t="str">
            <v>PI-703-UTILITIES</v>
          </cell>
        </row>
        <row r="3278">
          <cell r="J3278" t="str">
            <v>PI-704-UTILITIES</v>
          </cell>
        </row>
        <row r="3279">
          <cell r="J3279" t="str">
            <v>PI-703-UTILITIES</v>
          </cell>
        </row>
        <row r="3280">
          <cell r="J3280" t="str">
            <v>PI-703-UTILITIES</v>
          </cell>
        </row>
        <row r="3281">
          <cell r="J3281" t="str">
            <v>PI-702-UTILITIES</v>
          </cell>
        </row>
        <row r="3282">
          <cell r="J3282" t="str">
            <v>PI-704-UTILITIES</v>
          </cell>
        </row>
        <row r="3283">
          <cell r="J3283" t="str">
            <v>PI-702-UTILITIES</v>
          </cell>
        </row>
        <row r="3284">
          <cell r="J3284" t="str">
            <v>PI-706-006</v>
          </cell>
        </row>
        <row r="3285">
          <cell r="J3285" t="str">
            <v>PI-706-006</v>
          </cell>
        </row>
        <row r="3286">
          <cell r="J3286" t="str">
            <v>PI-706-006</v>
          </cell>
        </row>
        <row r="3287">
          <cell r="J3287" t="str">
            <v>PI-702-UTILITIES</v>
          </cell>
        </row>
        <row r="3288">
          <cell r="J3288" t="str">
            <v>PI-707-401</v>
          </cell>
        </row>
        <row r="3289">
          <cell r="J3289" t="str">
            <v>PI-707-401</v>
          </cell>
        </row>
        <row r="3290">
          <cell r="J3290" t="str">
            <v>PI-707-401</v>
          </cell>
        </row>
        <row r="3291">
          <cell r="J3291" t="str">
            <v>PI-707-401</v>
          </cell>
        </row>
        <row r="3292">
          <cell r="J3292" t="str">
            <v>PI-724-201</v>
          </cell>
        </row>
        <row r="3293">
          <cell r="J3293" t="str">
            <v>PI-724-201</v>
          </cell>
        </row>
        <row r="3294">
          <cell r="J3294" t="str">
            <v>PI-706-UTILITIES</v>
          </cell>
        </row>
        <row r="3295">
          <cell r="J3295" t="str">
            <v>PI-709-001</v>
          </cell>
        </row>
        <row r="3296">
          <cell r="J3296" t="str">
            <v>PI-709-001</v>
          </cell>
        </row>
        <row r="3297">
          <cell r="J3297" t="str">
            <v>PI-706-201</v>
          </cell>
        </row>
        <row r="3298">
          <cell r="J3298" t="str">
            <v>PI-706-201</v>
          </cell>
        </row>
        <row r="3299">
          <cell r="J3299" t="str">
            <v>PI-702-203</v>
          </cell>
        </row>
        <row r="3300">
          <cell r="J3300" t="str">
            <v>PI-702-UTILITIES</v>
          </cell>
        </row>
        <row r="3301">
          <cell r="J3301" t="str">
            <v>PI-718-101</v>
          </cell>
        </row>
        <row r="3302">
          <cell r="J3302" t="str">
            <v>PI-718-101</v>
          </cell>
        </row>
        <row r="3303">
          <cell r="J3303" t="str">
            <v>PI-718-101</v>
          </cell>
        </row>
        <row r="3304">
          <cell r="J3304" t="str">
            <v>PI-725-001</v>
          </cell>
        </row>
        <row r="3305">
          <cell r="J3305" t="str">
            <v>PI-725-001</v>
          </cell>
        </row>
        <row r="3306">
          <cell r="J3306"/>
        </row>
        <row r="3307">
          <cell r="J3307" t="str">
            <v>PI-700-005</v>
          </cell>
        </row>
        <row r="3308">
          <cell r="J3308"/>
        </row>
        <row r="3309">
          <cell r="J3309" t="str">
            <v>PI-725-001</v>
          </cell>
        </row>
        <row r="3310">
          <cell r="J3310" t="str">
            <v>PI-725-001</v>
          </cell>
        </row>
        <row r="3311">
          <cell r="J3311" t="str">
            <v>PI-725-001</v>
          </cell>
        </row>
        <row r="3312">
          <cell r="J3312" t="str">
            <v>PI-725-001</v>
          </cell>
        </row>
        <row r="3313">
          <cell r="J3313" t="str">
            <v>PI-725-001</v>
          </cell>
        </row>
        <row r="3314">
          <cell r="J3314" t="str">
            <v>PI-725-001</v>
          </cell>
        </row>
        <row r="3315">
          <cell r="J3315" t="str">
            <v>PI-725-001</v>
          </cell>
        </row>
        <row r="3316">
          <cell r="J3316" t="str">
            <v>PI-725-001</v>
          </cell>
        </row>
        <row r="3317">
          <cell r="J3317"/>
        </row>
        <row r="3318">
          <cell r="J3318" t="str">
            <v>PI-702-201</v>
          </cell>
        </row>
        <row r="3319">
          <cell r="J3319" t="str">
            <v>PI-719-102</v>
          </cell>
        </row>
        <row r="3320">
          <cell r="J3320" t="str">
            <v>PI-719-103</v>
          </cell>
        </row>
        <row r="3321">
          <cell r="J3321" t="str">
            <v>PI-719-103</v>
          </cell>
        </row>
        <row r="3322">
          <cell r="J3322" t="str">
            <v>PI-719-103</v>
          </cell>
        </row>
        <row r="3323">
          <cell r="J3323" t="str">
            <v>PI-725-001</v>
          </cell>
        </row>
        <row r="3324">
          <cell r="J3324" t="str">
            <v>PI-725-101</v>
          </cell>
        </row>
        <row r="3325">
          <cell r="J3325" t="str">
            <v>PI-725-002</v>
          </cell>
        </row>
        <row r="3326">
          <cell r="J3326" t="str">
            <v>PI-725-101</v>
          </cell>
        </row>
        <row r="3327">
          <cell r="J3327" t="str">
            <v>PI-725-002</v>
          </cell>
        </row>
        <row r="3328">
          <cell r="J3328" t="str">
            <v>PI-725-002</v>
          </cell>
        </row>
        <row r="3329">
          <cell r="J3329" t="str">
            <v>PI-725-002</v>
          </cell>
        </row>
        <row r="3330">
          <cell r="J3330" t="str">
            <v>PI-725-002</v>
          </cell>
        </row>
        <row r="3331">
          <cell r="J3331" t="str">
            <v>PI-725-002</v>
          </cell>
        </row>
        <row r="3332">
          <cell r="J3332"/>
        </row>
        <row r="3333">
          <cell r="J3333" t="str">
            <v>PI-719-102</v>
          </cell>
        </row>
        <row r="3334">
          <cell r="J3334" t="str">
            <v>PI-725-001</v>
          </cell>
        </row>
        <row r="3335">
          <cell r="J3335" t="str">
            <v>PI-725-001</v>
          </cell>
        </row>
        <row r="3336">
          <cell r="J3336" t="str">
            <v>PI-725-001</v>
          </cell>
        </row>
        <row r="3337">
          <cell r="J3337" t="str">
            <v>PI-725-001</v>
          </cell>
        </row>
        <row r="3338">
          <cell r="J3338" t="str">
            <v>PI-725-001</v>
          </cell>
        </row>
        <row r="3339">
          <cell r="J3339" t="str">
            <v>PI-725-101</v>
          </cell>
        </row>
        <row r="3340">
          <cell r="J3340" t="str">
            <v>PI-719-103</v>
          </cell>
        </row>
        <row r="3341">
          <cell r="J3341" t="str">
            <v>PI-719-103</v>
          </cell>
        </row>
        <row r="3342">
          <cell r="J3342" t="str">
            <v>PI-719-103</v>
          </cell>
        </row>
        <row r="3343">
          <cell r="J3343" t="str">
            <v>PI-719-103</v>
          </cell>
        </row>
        <row r="3344">
          <cell r="J3344" t="str">
            <v>PI-725-101</v>
          </cell>
        </row>
        <row r="3345">
          <cell r="J3345" t="str">
            <v>PI-725-101</v>
          </cell>
        </row>
        <row r="3346">
          <cell r="J3346" t="str">
            <v>PI-725-004</v>
          </cell>
        </row>
        <row r="3347">
          <cell r="J3347" t="str">
            <v>PI-725-004</v>
          </cell>
        </row>
        <row r="3348">
          <cell r="J3348" t="str">
            <v>PI-725-004</v>
          </cell>
        </row>
        <row r="3349">
          <cell r="J3349" t="str">
            <v>PI-725-004</v>
          </cell>
        </row>
        <row r="3350">
          <cell r="J3350" t="str">
            <v>PI-725-004</v>
          </cell>
        </row>
        <row r="3351">
          <cell r="J3351" t="str">
            <v>PI-725-004</v>
          </cell>
        </row>
        <row r="3352">
          <cell r="J3352" t="str">
            <v>PI-725-004</v>
          </cell>
        </row>
        <row r="3353">
          <cell r="J3353" t="str">
            <v>PI-725-004</v>
          </cell>
        </row>
        <row r="3354">
          <cell r="J3354" t="str">
            <v>PI-725-004</v>
          </cell>
        </row>
        <row r="3355">
          <cell r="J3355" t="str">
            <v>PI-725-004</v>
          </cell>
        </row>
        <row r="3356">
          <cell r="J3356" t="str">
            <v>PI-725-004</v>
          </cell>
        </row>
        <row r="3357">
          <cell r="J3357" t="str">
            <v>PI-725-004</v>
          </cell>
        </row>
        <row r="3358">
          <cell r="J3358" t="str">
            <v>PI-725-004</v>
          </cell>
        </row>
        <row r="3359">
          <cell r="J3359" t="str">
            <v>PI-725-004</v>
          </cell>
        </row>
        <row r="3360">
          <cell r="J3360" t="str">
            <v>PI-725-004</v>
          </cell>
        </row>
        <row r="3361">
          <cell r="J3361" t="str">
            <v>PI-725-004</v>
          </cell>
        </row>
        <row r="3362">
          <cell r="J3362" t="str">
            <v>PI-725-004</v>
          </cell>
        </row>
        <row r="3363">
          <cell r="J3363" t="str">
            <v>PI-719-102</v>
          </cell>
        </row>
        <row r="3364">
          <cell r="J3364" t="str">
            <v>PI-725-004</v>
          </cell>
        </row>
        <row r="3365">
          <cell r="J3365" t="str">
            <v>PI-725-004</v>
          </cell>
        </row>
        <row r="3366">
          <cell r="J3366" t="str">
            <v>PI-725-004</v>
          </cell>
        </row>
        <row r="3367">
          <cell r="J3367" t="str">
            <v>PI-725-101</v>
          </cell>
        </row>
        <row r="3368">
          <cell r="J3368" t="str">
            <v>PI-725-001</v>
          </cell>
        </row>
        <row r="3369">
          <cell r="J3369" t="str">
            <v>PI-725-001</v>
          </cell>
        </row>
        <row r="3370">
          <cell r="J3370" t="str">
            <v>PI-725-004</v>
          </cell>
        </row>
        <row r="3371">
          <cell r="J3371" t="str">
            <v>PI-725-004</v>
          </cell>
        </row>
        <row r="3372">
          <cell r="J3372" t="str">
            <v>PI-725-004</v>
          </cell>
        </row>
        <row r="3373">
          <cell r="J3373" t="str">
            <v>PI-725-004</v>
          </cell>
        </row>
        <row r="3374">
          <cell r="J3374" t="str">
            <v>PI-725-004</v>
          </cell>
        </row>
        <row r="3375">
          <cell r="J3375" t="str">
            <v>PI-725-004</v>
          </cell>
        </row>
        <row r="3376">
          <cell r="J3376" t="str">
            <v>PI-725-004</v>
          </cell>
        </row>
        <row r="3377">
          <cell r="J3377" t="str">
            <v>PI-725-004</v>
          </cell>
        </row>
        <row r="3378">
          <cell r="J3378" t="str">
            <v>PI-725-004</v>
          </cell>
        </row>
        <row r="3379">
          <cell r="J3379" t="str">
            <v>PI-725-004</v>
          </cell>
        </row>
        <row r="3380">
          <cell r="J3380" t="str">
            <v>PI-725-004</v>
          </cell>
        </row>
        <row r="3381">
          <cell r="J3381" t="str">
            <v>PI-725-003</v>
          </cell>
        </row>
        <row r="3382">
          <cell r="J3382" t="str">
            <v>PI-725-003</v>
          </cell>
        </row>
        <row r="3383">
          <cell r="J3383" t="str">
            <v>PI-725-003</v>
          </cell>
        </row>
        <row r="3384">
          <cell r="J3384" t="str">
            <v>PI-725-003</v>
          </cell>
        </row>
        <row r="3385">
          <cell r="J3385" t="str">
            <v>PI-725-003</v>
          </cell>
        </row>
        <row r="3386">
          <cell r="J3386" t="str">
            <v>PI-725-101</v>
          </cell>
        </row>
        <row r="3387">
          <cell r="J3387" t="str">
            <v>PI-725-101</v>
          </cell>
        </row>
        <row r="3388">
          <cell r="J3388" t="str">
            <v>PI-725-003</v>
          </cell>
        </row>
        <row r="3389">
          <cell r="J3389" t="str">
            <v>PI-725-003</v>
          </cell>
        </row>
        <row r="3390">
          <cell r="J3390" t="str">
            <v>PI-725-003</v>
          </cell>
        </row>
        <row r="3391">
          <cell r="J3391" t="str">
            <v>PI-725-003</v>
          </cell>
        </row>
        <row r="3392">
          <cell r="J3392" t="str">
            <v>PI-725-003</v>
          </cell>
        </row>
        <row r="3393">
          <cell r="J3393" t="str">
            <v>PI-725-003</v>
          </cell>
        </row>
        <row r="3394">
          <cell r="J3394" t="str">
            <v>PI-725-003</v>
          </cell>
        </row>
        <row r="3395">
          <cell r="J3395"/>
        </row>
        <row r="3396">
          <cell r="J3396"/>
        </row>
        <row r="3397">
          <cell r="J3397"/>
        </row>
        <row r="3398">
          <cell r="J3398" t="str">
            <v>PI-725-001</v>
          </cell>
        </row>
        <row r="3399">
          <cell r="J3399" t="str">
            <v>PI-725-002</v>
          </cell>
        </row>
        <row r="3400">
          <cell r="J3400" t="str">
            <v>PI-725-002</v>
          </cell>
        </row>
        <row r="3401">
          <cell r="J3401" t="str">
            <v>PI-725-003</v>
          </cell>
        </row>
        <row r="3402">
          <cell r="J3402"/>
        </row>
        <row r="3403">
          <cell r="J3403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tabColor indexed="11"/>
    <pageSetUpPr fitToPage="1"/>
  </sheetPr>
  <dimension ref="A1:BP82"/>
  <sheetViews>
    <sheetView showZeros="0" tabSelected="1" topLeftCell="R1" zoomScale="70" zoomScaleNormal="70" workbookViewId="0">
      <pane ySplit="2" topLeftCell="A3" activePane="bottomLeft" state="frozen"/>
      <selection pane="bottomLeft" activeCell="BD3" sqref="BD3"/>
    </sheetView>
  </sheetViews>
  <sheetFormatPr defaultColWidth="30.36328125" defaultRowHeight="20" x14ac:dyDescent="0.35"/>
  <cols>
    <col min="1" max="1" width="11.08984375" style="147" bestFit="1" customWidth="1"/>
    <col min="2" max="2" width="17.6328125" style="78" bestFit="1" customWidth="1"/>
    <col min="3" max="3" width="5" style="78" customWidth="1"/>
    <col min="4" max="4" width="13.1796875" style="78" bestFit="1" customWidth="1"/>
    <col min="5" max="5" width="6.1796875" style="127" bestFit="1" customWidth="1"/>
    <col min="6" max="6" width="6.90625" style="127" bestFit="1" customWidth="1"/>
    <col min="7" max="7" width="14.90625" style="127" bestFit="1" customWidth="1"/>
    <col min="8" max="8" width="18.1796875" style="128" customWidth="1"/>
    <col min="9" max="9" width="68.36328125" style="147" bestFit="1" customWidth="1"/>
    <col min="10" max="10" width="6.08984375" style="78" bestFit="1" customWidth="1"/>
    <col min="11" max="11" width="7.81640625" style="125" bestFit="1" customWidth="1"/>
    <col min="12" max="12" width="9.1796875" style="126" bestFit="1" customWidth="1"/>
    <col min="13" max="13" width="6.36328125" style="78" bestFit="1" customWidth="1"/>
    <col min="14" max="14" width="11.90625" style="78" bestFit="1" customWidth="1"/>
    <col min="15" max="15" width="15.6328125" style="78" bestFit="1" customWidth="1"/>
    <col min="16" max="16" width="13.1796875" style="146" bestFit="1" customWidth="1"/>
    <col min="17" max="17" width="10.54296875" style="436" bestFit="1" customWidth="1"/>
    <col min="18" max="18" width="10.1796875" style="436" bestFit="1" customWidth="1"/>
    <col min="19" max="19" width="7.36328125" style="436" bestFit="1" customWidth="1"/>
    <col min="20" max="20" width="10.1796875" style="436" hidden="1" customWidth="1"/>
    <col min="21" max="21" width="7.453125" style="436" bestFit="1" customWidth="1"/>
    <col min="22" max="22" width="18" style="436" bestFit="1" customWidth="1"/>
    <col min="23" max="23" width="7.08984375" style="436" bestFit="1" customWidth="1"/>
    <col min="24" max="24" width="12" style="436" bestFit="1" customWidth="1"/>
    <col min="25" max="25" width="10.453125" style="436" bestFit="1" customWidth="1"/>
    <col min="26" max="26" width="10.1796875" style="436" bestFit="1" customWidth="1"/>
    <col min="27" max="27" width="8.1796875" style="436" bestFit="1" customWidth="1"/>
    <col min="28" max="28" width="12.453125" style="436" bestFit="1" customWidth="1"/>
    <col min="29" max="29" width="6" style="436" bestFit="1" customWidth="1"/>
    <col min="30" max="30" width="10.1796875" style="436" bestFit="1" customWidth="1"/>
    <col min="31" max="31" width="6.08984375" style="436" bestFit="1" customWidth="1"/>
    <col min="32" max="32" width="23.6328125" style="152" bestFit="1" customWidth="1"/>
    <col min="33" max="33" width="24.453125" style="153" bestFit="1" customWidth="1"/>
    <col min="34" max="34" width="10.08984375" style="152" bestFit="1" customWidth="1"/>
    <col min="35" max="35" width="17.36328125" style="153" bestFit="1" customWidth="1"/>
    <col min="36" max="36" width="10.54296875" style="152" bestFit="1" customWidth="1"/>
    <col min="37" max="37" width="17.6328125" style="470" bestFit="1" customWidth="1"/>
    <col min="38" max="38" width="14.36328125" style="153" bestFit="1" customWidth="1"/>
    <col min="39" max="39" width="15.453125" style="152" bestFit="1" customWidth="1"/>
    <col min="40" max="40" width="5" style="153" bestFit="1" customWidth="1"/>
    <col min="41" max="41" width="5" style="152" bestFit="1" customWidth="1"/>
    <col min="42" max="43" width="4.36328125" style="148" bestFit="1" customWidth="1"/>
    <col min="44" max="45" width="4.36328125" style="149" bestFit="1" customWidth="1"/>
    <col min="46" max="46" width="5" style="150" bestFit="1" customWidth="1"/>
    <col min="47" max="47" width="4.36328125" style="151" bestFit="1" customWidth="1"/>
    <col min="48" max="48" width="8.1796875" style="151" bestFit="1" customWidth="1"/>
    <col min="49" max="49" width="13.54296875" style="78" bestFit="1" customWidth="1"/>
    <col min="50" max="50" width="12.36328125" style="78" bestFit="1" customWidth="1"/>
    <col min="51" max="51" width="18.90625" style="78" bestFit="1" customWidth="1"/>
    <col min="52" max="52" width="7.81640625" style="28" bestFit="1" customWidth="1"/>
    <col min="53" max="53" width="10.1796875" style="76" bestFit="1" customWidth="1"/>
    <col min="54" max="54" width="8.54296875" style="76" bestFit="1" customWidth="1"/>
    <col min="55" max="55" width="4" style="395" bestFit="1" customWidth="1"/>
    <col min="56" max="57" width="19.6328125" style="139" bestFit="1" customWidth="1"/>
    <col min="58" max="58" width="25.453125" style="139" bestFit="1" customWidth="1"/>
    <col min="59" max="59" width="19.90625" style="139" bestFit="1" customWidth="1"/>
    <col min="60" max="60" width="17.453125" style="140" bestFit="1" customWidth="1"/>
    <col min="61" max="61" width="17.81640625" style="140" bestFit="1" customWidth="1"/>
    <col min="62" max="62" width="16.08984375" style="140" bestFit="1" customWidth="1"/>
    <col min="63" max="63" width="26.54296875" style="140" bestFit="1" customWidth="1"/>
    <col min="64" max="64" width="17.90625" style="140" bestFit="1" customWidth="1"/>
    <col min="65" max="65" width="23.81640625" style="67" bestFit="1" customWidth="1"/>
    <col min="66" max="66" width="18" style="67" bestFit="1" customWidth="1"/>
    <col min="67" max="68" width="19.6328125" style="67" bestFit="1" customWidth="1"/>
    <col min="69" max="16384" width="30.36328125" style="67"/>
  </cols>
  <sheetData>
    <row r="1" spans="1:68" s="28" customFormat="1" ht="90" customHeight="1" x14ac:dyDescent="0.25">
      <c r="A1" s="396" t="s">
        <v>274</v>
      </c>
      <c r="B1" s="397" t="s">
        <v>78</v>
      </c>
      <c r="C1" s="397" t="s">
        <v>79</v>
      </c>
      <c r="D1" s="397" t="s">
        <v>154</v>
      </c>
      <c r="E1" s="397" t="s">
        <v>102</v>
      </c>
      <c r="F1" s="397" t="s">
        <v>84</v>
      </c>
      <c r="G1" s="397" t="s">
        <v>94</v>
      </c>
      <c r="H1" s="398" t="s">
        <v>124</v>
      </c>
      <c r="I1" s="396" t="s">
        <v>25</v>
      </c>
      <c r="J1" s="397" t="s">
        <v>105</v>
      </c>
      <c r="K1" s="397" t="s">
        <v>120</v>
      </c>
      <c r="L1" s="397" t="s">
        <v>93</v>
      </c>
      <c r="M1" s="397" t="s">
        <v>26</v>
      </c>
      <c r="N1" s="397" t="s">
        <v>125</v>
      </c>
      <c r="O1" s="399" t="s">
        <v>72</v>
      </c>
      <c r="P1" s="399" t="s">
        <v>73</v>
      </c>
      <c r="Q1" s="433" t="s">
        <v>37</v>
      </c>
      <c r="R1" s="434" t="s">
        <v>126</v>
      </c>
      <c r="S1" s="434" t="s">
        <v>152</v>
      </c>
      <c r="T1" s="434" t="s">
        <v>127</v>
      </c>
      <c r="U1" s="434" t="s">
        <v>142</v>
      </c>
      <c r="V1" s="434" t="s">
        <v>128</v>
      </c>
      <c r="W1" s="434" t="s">
        <v>95</v>
      </c>
      <c r="X1" s="434" t="s">
        <v>129</v>
      </c>
      <c r="Y1" s="434" t="s">
        <v>153</v>
      </c>
      <c r="Z1" s="434" t="s">
        <v>130</v>
      </c>
      <c r="AA1" s="434" t="s">
        <v>138</v>
      </c>
      <c r="AB1" s="433" t="s">
        <v>131</v>
      </c>
      <c r="AC1" s="434" t="s">
        <v>110</v>
      </c>
      <c r="AD1" s="433" t="s">
        <v>132</v>
      </c>
      <c r="AE1" s="434" t="s">
        <v>111</v>
      </c>
      <c r="AF1" s="400" t="s">
        <v>133</v>
      </c>
      <c r="AG1" s="401" t="s">
        <v>27</v>
      </c>
      <c r="AH1" s="401" t="s">
        <v>134</v>
      </c>
      <c r="AI1" s="402" t="s">
        <v>114</v>
      </c>
      <c r="AJ1" s="403" t="s">
        <v>567</v>
      </c>
      <c r="AK1" s="468" t="s">
        <v>256</v>
      </c>
      <c r="AL1" s="404" t="s">
        <v>257</v>
      </c>
      <c r="AM1" s="405" t="s">
        <v>119</v>
      </c>
      <c r="AN1" s="405" t="s">
        <v>21</v>
      </c>
      <c r="AO1" s="405" t="s">
        <v>22</v>
      </c>
      <c r="AP1" s="405" t="s">
        <v>6</v>
      </c>
      <c r="AQ1" s="405" t="s">
        <v>7</v>
      </c>
      <c r="AR1" s="405" t="s">
        <v>8</v>
      </c>
      <c r="AS1" s="405" t="s">
        <v>9</v>
      </c>
      <c r="AT1" s="405" t="s">
        <v>10</v>
      </c>
      <c r="AU1" s="405" t="s">
        <v>11</v>
      </c>
      <c r="AV1" s="397" t="s">
        <v>135</v>
      </c>
      <c r="AW1" s="397" t="s">
        <v>118</v>
      </c>
      <c r="AX1" s="405" t="s">
        <v>136</v>
      </c>
      <c r="AY1" s="405" t="s">
        <v>137</v>
      </c>
      <c r="AZ1" s="397" t="s">
        <v>115</v>
      </c>
      <c r="BA1" s="397" t="s">
        <v>116</v>
      </c>
      <c r="BB1" s="397" t="s">
        <v>117</v>
      </c>
      <c r="BC1" s="406" t="s">
        <v>277</v>
      </c>
      <c r="BD1" s="407" t="s">
        <v>143</v>
      </c>
      <c r="BE1" s="407" t="s">
        <v>101</v>
      </c>
      <c r="BF1" s="407" t="s">
        <v>151</v>
      </c>
      <c r="BG1" s="408" t="s">
        <v>90</v>
      </c>
      <c r="BH1" s="408" t="s">
        <v>91</v>
      </c>
      <c r="BI1" s="408" t="s">
        <v>92</v>
      </c>
      <c r="BJ1" s="408" t="s">
        <v>112</v>
      </c>
      <c r="BK1" s="408" t="s">
        <v>145</v>
      </c>
      <c r="BL1" s="408" t="s">
        <v>113</v>
      </c>
      <c r="BM1" s="408" t="s">
        <v>149</v>
      </c>
      <c r="BN1" s="407" t="s">
        <v>562</v>
      </c>
      <c r="BO1" s="407" t="s">
        <v>563</v>
      </c>
      <c r="BP1" s="407" t="s">
        <v>564</v>
      </c>
    </row>
    <row r="2" spans="1:68" ht="18.75" customHeight="1" x14ac:dyDescent="0.35">
      <c r="A2" s="419"/>
      <c r="B2" s="420" t="s">
        <v>569</v>
      </c>
      <c r="C2" s="421"/>
      <c r="D2" s="421"/>
      <c r="E2" s="421"/>
      <c r="F2" s="420"/>
      <c r="G2" s="421"/>
      <c r="H2" s="422"/>
      <c r="I2" s="423" t="s">
        <v>556</v>
      </c>
      <c r="J2" s="420"/>
      <c r="K2" s="420"/>
      <c r="L2" s="424"/>
      <c r="M2" s="420"/>
      <c r="N2" s="425"/>
      <c r="O2" s="426" t="e">
        <f t="shared" ref="O2" si="0">P2/AM2</f>
        <v>#DIV/0!</v>
      </c>
      <c r="P2" s="426">
        <f t="shared" ref="P2" si="1">L2*Q2*AN2+L2*S2*AO2+L2*U2*AP2+L2*W2*AQ2+L2*Y2*AR2+L2*AA2*AS2+L2*AC2*AT2+L2*AE2*AU2</f>
        <v>0</v>
      </c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27"/>
      <c r="AG2" s="428"/>
      <c r="AH2" s="429"/>
      <c r="AI2" s="420"/>
      <c r="AJ2" s="430"/>
      <c r="AK2" s="469"/>
      <c r="AL2" s="420"/>
      <c r="AM2" s="421"/>
      <c r="AN2" s="421"/>
      <c r="AO2" s="421"/>
      <c r="AP2" s="421"/>
      <c r="AQ2" s="421"/>
      <c r="AR2" s="421"/>
      <c r="AS2" s="421"/>
      <c r="AT2" s="421"/>
      <c r="AU2" s="421"/>
      <c r="AV2" s="421"/>
      <c r="AW2" s="421"/>
      <c r="AX2" s="421"/>
      <c r="AY2" s="421"/>
      <c r="AZ2" s="421"/>
      <c r="BA2" s="421"/>
      <c r="BB2" s="421"/>
      <c r="BC2" s="473"/>
      <c r="BD2" s="474">
        <f t="shared" ref="BD2" si="2">$L2*$AN2+$L2*$AO2+$L2*$AP2+$L2*$AQ2+$L2*$AR2</f>
        <v>0</v>
      </c>
      <c r="BE2" s="474">
        <f t="shared" ref="BE2" si="3">$L2*$Q2*$AN2+$L2*$S2*$AO2+$L2*$U2*$AP2+$L2*$W2*$AQ2+$L2*$Y2*$AR2</f>
        <v>0</v>
      </c>
      <c r="BF2" s="474">
        <f t="shared" ref="BF2" si="4">BD2-BE2</f>
        <v>0</v>
      </c>
      <c r="BG2" s="474">
        <f t="shared" ref="BG2" si="5">L2*AA2*AS2</f>
        <v>0</v>
      </c>
      <c r="BH2" s="474">
        <f t="shared" ref="BH2" si="6">L2*AC2*AT2</f>
        <v>0</v>
      </c>
      <c r="BI2" s="474">
        <f t="shared" ref="BI2" si="7">L2*AE2*AU2</f>
        <v>0</v>
      </c>
      <c r="BJ2" s="474">
        <f t="shared" ref="BJ2" si="8">BH2+BI2</f>
        <v>0</v>
      </c>
      <c r="BK2" s="474">
        <f t="shared" ref="BK2" si="9">BG2+BH2+BI2</f>
        <v>0</v>
      </c>
      <c r="BL2" s="474">
        <f t="shared" ref="BL2" si="10">K2*U2</f>
        <v>0</v>
      </c>
      <c r="BM2" s="474" t="e">
        <f t="shared" ref="BM2" si="11">BE2/BD2</f>
        <v>#DIV/0!</v>
      </c>
      <c r="BN2" s="474">
        <f t="shared" ref="BN2" si="12">$K2*$AN2+$K2*$AO2+$K2*$AP2+$K2*$AQ2+$K2*$AR2</f>
        <v>0</v>
      </c>
      <c r="BO2" s="474">
        <f t="shared" ref="BO2" si="13">$K2*$Q2*$AN2+$K2*$S2*$AO2+$K2*$U2*$AP2+$K2*$W2*$AQ2+$K2*$Y2*$AR2</f>
        <v>0</v>
      </c>
      <c r="BP2" s="475">
        <f t="shared" ref="BP2" si="14">BN2-BO2</f>
        <v>0</v>
      </c>
    </row>
    <row r="3" spans="1:68" s="471" customFormat="1" ht="21" customHeight="1" x14ac:dyDescent="0.35">
      <c r="A3" s="476">
        <v>1</v>
      </c>
      <c r="B3" s="476" t="s">
        <v>589</v>
      </c>
      <c r="C3" s="482">
        <v>1</v>
      </c>
      <c r="D3" s="476" t="s">
        <v>590</v>
      </c>
      <c r="E3" s="476"/>
      <c r="F3" s="483" t="s">
        <v>591</v>
      </c>
      <c r="G3" s="476" t="s">
        <v>592</v>
      </c>
      <c r="H3" s="476" t="s">
        <v>593</v>
      </c>
      <c r="I3" s="476" t="s">
        <v>594</v>
      </c>
      <c r="J3" s="476" t="s">
        <v>595</v>
      </c>
      <c r="K3" s="476">
        <v>131</v>
      </c>
      <c r="L3" s="476">
        <v>5.0599999999999996</v>
      </c>
      <c r="M3" s="476" t="s">
        <v>76</v>
      </c>
      <c r="N3" s="476" t="s">
        <v>596</v>
      </c>
      <c r="O3" s="481" t="e">
        <f t="shared" ref="O3:O66" si="15">P3/AM3</f>
        <v>#DIV/0!</v>
      </c>
      <c r="P3" s="481">
        <f t="shared" ref="P3:P66" si="16">L3*Q3*AN3+L3*S3*AO3+L3*U3*AP3+L3*W3*AQ3+L3*Y3*AR3+L3*AA3*AS3+L3*AC3*AT3+L3*AE3*AU3</f>
        <v>10.119999999999999</v>
      </c>
      <c r="Q3" s="476">
        <v>100</v>
      </c>
      <c r="R3" s="476" t="s">
        <v>146</v>
      </c>
      <c r="S3" s="476"/>
      <c r="T3" s="476" t="s">
        <v>147</v>
      </c>
      <c r="U3" s="476"/>
      <c r="V3" s="476" t="s">
        <v>597</v>
      </c>
      <c r="W3" s="476"/>
      <c r="X3" s="476" t="s">
        <v>148</v>
      </c>
      <c r="Y3" s="476"/>
      <c r="Z3" s="476" t="s">
        <v>150</v>
      </c>
      <c r="AA3" s="476"/>
      <c r="AB3" s="476" t="s">
        <v>570</v>
      </c>
      <c r="AC3" s="476"/>
      <c r="AD3" s="476" t="s">
        <v>122</v>
      </c>
      <c r="AE3" s="476"/>
      <c r="AF3" s="476" t="s">
        <v>123</v>
      </c>
      <c r="AG3" s="476"/>
      <c r="AH3" s="476"/>
      <c r="AI3" s="476"/>
      <c r="AJ3" s="476">
        <v>1</v>
      </c>
      <c r="AK3" s="476" t="s">
        <v>598</v>
      </c>
      <c r="AL3" s="476"/>
      <c r="AM3" s="476"/>
      <c r="AN3" s="476">
        <v>0.02</v>
      </c>
      <c r="AO3" s="476">
        <v>0.03</v>
      </c>
      <c r="AP3" s="476">
        <v>0.2</v>
      </c>
      <c r="AQ3" s="476">
        <v>0.3</v>
      </c>
      <c r="AR3" s="476">
        <v>0.1</v>
      </c>
      <c r="AS3" s="476">
        <v>0.1</v>
      </c>
      <c r="AT3" s="476">
        <v>0.15</v>
      </c>
      <c r="AU3" s="476">
        <v>0.1</v>
      </c>
      <c r="AV3" s="476">
        <v>120</v>
      </c>
      <c r="AW3" s="476" t="s">
        <v>599</v>
      </c>
      <c r="AX3" s="476" t="s">
        <v>599</v>
      </c>
      <c r="AY3" s="476" t="s">
        <v>599</v>
      </c>
      <c r="AZ3" s="476"/>
      <c r="BA3" s="476"/>
      <c r="BB3" s="476"/>
      <c r="BC3" s="476"/>
      <c r="BD3" s="474" t="e">
        <f>#REF!*#REF!+#REF!*#REF!+#REF!*#REF!+#REF!*#REF!+#REF!*#REF!</f>
        <v>#REF!</v>
      </c>
      <c r="BE3" s="474" t="e">
        <f>#REF!*#REF!*#REF!+#REF!*#REF!*#REF!+#REF!*#REF!*#REF!+#REF!*#REF!*#REF!+#REF!*#REF!*#REF!</f>
        <v>#REF!</v>
      </c>
      <c r="BF3" s="474" t="e">
        <f t="shared" ref="BF3:BF66" si="17">BD3-BE3</f>
        <v>#REF!</v>
      </c>
      <c r="BG3" s="474" t="e">
        <f>#REF!*#REF!*#REF!</f>
        <v>#REF!</v>
      </c>
      <c r="BH3" s="474" t="e">
        <f>#REF!*#REF!*#REF!</f>
        <v>#REF!</v>
      </c>
      <c r="BI3" s="474" t="e">
        <f>#REF!*#REF!*#REF!</f>
        <v>#REF!</v>
      </c>
      <c r="BJ3" s="474" t="e">
        <f t="shared" ref="BJ3:BJ66" si="18">BH3+BI3</f>
        <v>#REF!</v>
      </c>
      <c r="BK3" s="474" t="e">
        <f t="shared" ref="BK3:BK66" si="19">BG3+BH3+BI3</f>
        <v>#REF!</v>
      </c>
      <c r="BL3" s="474" t="e">
        <f>#REF!*#REF!</f>
        <v>#REF!</v>
      </c>
      <c r="BM3" s="474" t="e">
        <f t="shared" ref="BM3:BM66" si="20">BE3/BD3</f>
        <v>#REF!</v>
      </c>
      <c r="BN3" s="474" t="e">
        <f>#REF!*#REF!+#REF!*#REF!+#REF!*#REF!+#REF!*#REF!+#REF!*#REF!</f>
        <v>#REF!</v>
      </c>
      <c r="BO3" s="474" t="e">
        <f>#REF!*#REF!*#REF!+#REF!*#REF!*#REF!+#REF!*#REF!*#REF!+#REF!*#REF!*#REF!+#REF!*#REF!*#REF!</f>
        <v>#REF!</v>
      </c>
      <c r="BP3" s="475" t="e">
        <f t="shared" ref="BP3:BP66" si="21">BN3-BO3</f>
        <v>#REF!</v>
      </c>
    </row>
    <row r="4" spans="1:68" s="471" customFormat="1" ht="21" customHeight="1" x14ac:dyDescent="0.35">
      <c r="A4" s="476">
        <v>2</v>
      </c>
      <c r="B4" s="476" t="s">
        <v>600</v>
      </c>
      <c r="C4" s="482">
        <v>0</v>
      </c>
      <c r="D4" s="476" t="s">
        <v>590</v>
      </c>
      <c r="E4" s="476"/>
      <c r="F4" s="483" t="s">
        <v>591</v>
      </c>
      <c r="G4" s="476" t="s">
        <v>592</v>
      </c>
      <c r="H4" s="476" t="s">
        <v>593</v>
      </c>
      <c r="I4" s="476" t="s">
        <v>601</v>
      </c>
      <c r="J4" s="476" t="s">
        <v>595</v>
      </c>
      <c r="K4" s="476">
        <v>208</v>
      </c>
      <c r="L4" s="476"/>
      <c r="M4" s="476" t="s">
        <v>76</v>
      </c>
      <c r="N4" s="476" t="s">
        <v>596</v>
      </c>
      <c r="O4" s="481" t="e">
        <f t="shared" si="15"/>
        <v>#DIV/0!</v>
      </c>
      <c r="P4" s="481">
        <f t="shared" si="16"/>
        <v>0</v>
      </c>
      <c r="Q4" s="476"/>
      <c r="R4" s="476" t="s">
        <v>146</v>
      </c>
      <c r="S4" s="476"/>
      <c r="T4" s="476" t="s">
        <v>147</v>
      </c>
      <c r="U4" s="476"/>
      <c r="V4" s="476" t="s">
        <v>597</v>
      </c>
      <c r="W4" s="476"/>
      <c r="X4" s="476" t="s">
        <v>148</v>
      </c>
      <c r="Y4" s="476"/>
      <c r="Z4" s="476" t="s">
        <v>150</v>
      </c>
      <c r="AA4" s="476"/>
      <c r="AB4" s="476" t="s">
        <v>570</v>
      </c>
      <c r="AC4" s="476"/>
      <c r="AD4" s="476" t="s">
        <v>122</v>
      </c>
      <c r="AE4" s="476"/>
      <c r="AF4" s="476" t="s">
        <v>123</v>
      </c>
      <c r="AG4" s="476"/>
      <c r="AH4" s="476"/>
      <c r="AI4" s="476"/>
      <c r="AJ4" s="476">
        <v>1</v>
      </c>
      <c r="AK4" s="476" t="s">
        <v>602</v>
      </c>
      <c r="AL4" s="476"/>
      <c r="AM4" s="476"/>
      <c r="AN4" s="476">
        <v>0.02</v>
      </c>
      <c r="AO4" s="476">
        <v>0.03</v>
      </c>
      <c r="AP4" s="476">
        <v>0.2</v>
      </c>
      <c r="AQ4" s="476">
        <v>0.3</v>
      </c>
      <c r="AR4" s="476">
        <v>0.1</v>
      </c>
      <c r="AS4" s="476">
        <v>0.1</v>
      </c>
      <c r="AT4" s="476">
        <v>0.15</v>
      </c>
      <c r="AU4" s="476">
        <v>0.1</v>
      </c>
      <c r="AV4" s="476">
        <v>120</v>
      </c>
      <c r="AW4" s="476" t="s">
        <v>599</v>
      </c>
      <c r="AX4" s="476" t="s">
        <v>599</v>
      </c>
      <c r="AY4" s="476" t="s">
        <v>599</v>
      </c>
      <c r="AZ4" s="476"/>
      <c r="BA4" s="476"/>
      <c r="BB4" s="476"/>
      <c r="BC4" s="476"/>
      <c r="BD4" s="474" t="e">
        <f>#REF!*#REF!+#REF!*#REF!+#REF!*#REF!+#REF!*#REF!+#REF!*#REF!</f>
        <v>#REF!</v>
      </c>
      <c r="BE4" s="474" t="e">
        <f>#REF!*#REF!*#REF!+#REF!*#REF!*#REF!+#REF!*#REF!*#REF!+#REF!*#REF!*#REF!+#REF!*#REF!*#REF!</f>
        <v>#REF!</v>
      </c>
      <c r="BF4" s="474" t="e">
        <f t="shared" si="17"/>
        <v>#REF!</v>
      </c>
      <c r="BG4" s="474" t="e">
        <f>#REF!*#REF!*#REF!</f>
        <v>#REF!</v>
      </c>
      <c r="BH4" s="474" t="e">
        <f>#REF!*#REF!*#REF!</f>
        <v>#REF!</v>
      </c>
      <c r="BI4" s="474" t="e">
        <f>#REF!*#REF!*#REF!</f>
        <v>#REF!</v>
      </c>
      <c r="BJ4" s="474" t="e">
        <f t="shared" si="18"/>
        <v>#REF!</v>
      </c>
      <c r="BK4" s="474" t="e">
        <f t="shared" si="19"/>
        <v>#REF!</v>
      </c>
      <c r="BL4" s="474" t="e">
        <f>#REF!*#REF!</f>
        <v>#REF!</v>
      </c>
      <c r="BM4" s="474" t="e">
        <f t="shared" si="20"/>
        <v>#REF!</v>
      </c>
      <c r="BN4" s="474" t="e">
        <f>#REF!*#REF!+#REF!*#REF!+#REF!*#REF!+#REF!*#REF!+#REF!*#REF!</f>
        <v>#REF!</v>
      </c>
      <c r="BO4" s="474" t="e">
        <f>#REF!*#REF!*#REF!+#REF!*#REF!*#REF!+#REF!*#REF!*#REF!+#REF!*#REF!*#REF!+#REF!*#REF!*#REF!</f>
        <v>#REF!</v>
      </c>
      <c r="BP4" s="475" t="e">
        <f t="shared" si="21"/>
        <v>#REF!</v>
      </c>
    </row>
    <row r="5" spans="1:68" s="471" customFormat="1" ht="21" customHeight="1" x14ac:dyDescent="0.35">
      <c r="A5" s="476">
        <v>3</v>
      </c>
      <c r="B5" s="476" t="s">
        <v>603</v>
      </c>
      <c r="C5" s="484">
        <v>1</v>
      </c>
      <c r="D5" s="476" t="s">
        <v>590</v>
      </c>
      <c r="E5" s="476"/>
      <c r="F5" s="483" t="s">
        <v>591</v>
      </c>
      <c r="G5" s="476" t="s">
        <v>592</v>
      </c>
      <c r="H5" s="476" t="s">
        <v>593</v>
      </c>
      <c r="I5" s="476" t="s">
        <v>604</v>
      </c>
      <c r="J5" s="476" t="s">
        <v>595</v>
      </c>
      <c r="K5" s="476">
        <v>137</v>
      </c>
      <c r="L5" s="476"/>
      <c r="M5" s="476" t="s">
        <v>76</v>
      </c>
      <c r="N5" s="476" t="s">
        <v>596</v>
      </c>
      <c r="O5" s="481" t="e">
        <f t="shared" si="15"/>
        <v>#DIV/0!</v>
      </c>
      <c r="P5" s="481">
        <f t="shared" si="16"/>
        <v>0</v>
      </c>
      <c r="Q5" s="476"/>
      <c r="R5" s="476" t="s">
        <v>146</v>
      </c>
      <c r="S5" s="476"/>
      <c r="T5" s="476" t="s">
        <v>147</v>
      </c>
      <c r="U5" s="476"/>
      <c r="V5" s="476" t="s">
        <v>597</v>
      </c>
      <c r="W5" s="476"/>
      <c r="X5" s="476" t="s">
        <v>148</v>
      </c>
      <c r="Y5" s="476"/>
      <c r="Z5" s="476" t="s">
        <v>150</v>
      </c>
      <c r="AA5" s="476"/>
      <c r="AB5" s="476" t="s">
        <v>570</v>
      </c>
      <c r="AC5" s="476"/>
      <c r="AD5" s="476" t="s">
        <v>122</v>
      </c>
      <c r="AE5" s="476"/>
      <c r="AF5" s="476" t="s">
        <v>123</v>
      </c>
      <c r="AG5" s="476"/>
      <c r="AH5" s="476"/>
      <c r="AI5" s="476"/>
      <c r="AJ5" s="476">
        <v>1</v>
      </c>
      <c r="AK5" s="476" t="s">
        <v>605</v>
      </c>
      <c r="AL5" s="476"/>
      <c r="AM5" s="476"/>
      <c r="AN5" s="476">
        <v>0.02</v>
      </c>
      <c r="AO5" s="476">
        <v>0.03</v>
      </c>
      <c r="AP5" s="476">
        <v>0.2</v>
      </c>
      <c r="AQ5" s="476">
        <v>0.3</v>
      </c>
      <c r="AR5" s="476">
        <v>0.1</v>
      </c>
      <c r="AS5" s="476">
        <v>0.1</v>
      </c>
      <c r="AT5" s="476">
        <v>0.15</v>
      </c>
      <c r="AU5" s="476">
        <v>0.1</v>
      </c>
      <c r="AV5" s="476">
        <v>120</v>
      </c>
      <c r="AW5" s="476" t="s">
        <v>599</v>
      </c>
      <c r="AX5" s="476" t="s">
        <v>599</v>
      </c>
      <c r="AY5" s="476" t="s">
        <v>599</v>
      </c>
      <c r="AZ5" s="476"/>
      <c r="BA5" s="476"/>
      <c r="BB5" s="476"/>
      <c r="BC5" s="476"/>
      <c r="BD5" s="474" t="e">
        <f>#REF!*#REF!+#REF!*#REF!+#REF!*#REF!+#REF!*#REF!+#REF!*#REF!</f>
        <v>#REF!</v>
      </c>
      <c r="BE5" s="474" t="e">
        <f>#REF!*#REF!*#REF!+#REF!*#REF!*#REF!+#REF!*#REF!*#REF!+#REF!*#REF!*#REF!+#REF!*#REF!*#REF!</f>
        <v>#REF!</v>
      </c>
      <c r="BF5" s="474" t="e">
        <f t="shared" si="17"/>
        <v>#REF!</v>
      </c>
      <c r="BG5" s="474" t="e">
        <f>#REF!*#REF!*#REF!</f>
        <v>#REF!</v>
      </c>
      <c r="BH5" s="474" t="e">
        <f>#REF!*#REF!*#REF!</f>
        <v>#REF!</v>
      </c>
      <c r="BI5" s="474" t="e">
        <f>#REF!*#REF!*#REF!</f>
        <v>#REF!</v>
      </c>
      <c r="BJ5" s="474" t="e">
        <f t="shared" si="18"/>
        <v>#REF!</v>
      </c>
      <c r="BK5" s="474" t="e">
        <f t="shared" si="19"/>
        <v>#REF!</v>
      </c>
      <c r="BL5" s="474" t="e">
        <f>#REF!*#REF!</f>
        <v>#REF!</v>
      </c>
      <c r="BM5" s="474" t="e">
        <f t="shared" si="20"/>
        <v>#REF!</v>
      </c>
      <c r="BN5" s="474" t="e">
        <f>#REF!*#REF!+#REF!*#REF!+#REF!*#REF!+#REF!*#REF!+#REF!*#REF!</f>
        <v>#REF!</v>
      </c>
      <c r="BO5" s="474" t="e">
        <f>#REF!*#REF!*#REF!+#REF!*#REF!*#REF!+#REF!*#REF!*#REF!+#REF!*#REF!*#REF!+#REF!*#REF!*#REF!</f>
        <v>#REF!</v>
      </c>
      <c r="BP5" s="475" t="e">
        <f t="shared" si="21"/>
        <v>#REF!</v>
      </c>
    </row>
    <row r="6" spans="1:68" s="471" customFormat="1" ht="21" customHeight="1" x14ac:dyDescent="0.35">
      <c r="A6" s="476">
        <v>4</v>
      </c>
      <c r="B6" s="476" t="s">
        <v>606</v>
      </c>
      <c r="C6" s="484">
        <v>0</v>
      </c>
      <c r="D6" s="476" t="s">
        <v>590</v>
      </c>
      <c r="E6" s="476"/>
      <c r="F6" s="483" t="s">
        <v>591</v>
      </c>
      <c r="G6" s="476" t="s">
        <v>592</v>
      </c>
      <c r="H6" s="476" t="s">
        <v>593</v>
      </c>
      <c r="I6" s="476" t="s">
        <v>607</v>
      </c>
      <c r="J6" s="476" t="s">
        <v>595</v>
      </c>
      <c r="K6" s="476">
        <v>218</v>
      </c>
      <c r="L6" s="476"/>
      <c r="M6" s="476" t="s">
        <v>76</v>
      </c>
      <c r="N6" s="476" t="s">
        <v>596</v>
      </c>
      <c r="O6" s="481" t="e">
        <f t="shared" si="15"/>
        <v>#DIV/0!</v>
      </c>
      <c r="P6" s="481">
        <f t="shared" si="16"/>
        <v>0</v>
      </c>
      <c r="Q6" s="476"/>
      <c r="R6" s="476" t="s">
        <v>146</v>
      </c>
      <c r="S6" s="476"/>
      <c r="T6" s="476" t="s">
        <v>147</v>
      </c>
      <c r="U6" s="476"/>
      <c r="V6" s="476" t="s">
        <v>597</v>
      </c>
      <c r="W6" s="476"/>
      <c r="X6" s="476" t="s">
        <v>148</v>
      </c>
      <c r="Y6" s="476"/>
      <c r="Z6" s="476" t="s">
        <v>150</v>
      </c>
      <c r="AA6" s="476"/>
      <c r="AB6" s="476" t="s">
        <v>570</v>
      </c>
      <c r="AC6" s="476"/>
      <c r="AD6" s="476" t="s">
        <v>122</v>
      </c>
      <c r="AE6" s="476"/>
      <c r="AF6" s="476" t="s">
        <v>123</v>
      </c>
      <c r="AG6" s="476"/>
      <c r="AH6" s="476"/>
      <c r="AI6" s="476"/>
      <c r="AJ6" s="476">
        <v>1</v>
      </c>
      <c r="AK6" s="476" t="s">
        <v>608</v>
      </c>
      <c r="AL6" s="476"/>
      <c r="AM6" s="476"/>
      <c r="AN6" s="476">
        <v>0.02</v>
      </c>
      <c r="AO6" s="476">
        <v>0.03</v>
      </c>
      <c r="AP6" s="476">
        <v>0.2</v>
      </c>
      <c r="AQ6" s="476">
        <v>0.3</v>
      </c>
      <c r="AR6" s="476">
        <v>0.1</v>
      </c>
      <c r="AS6" s="476">
        <v>0.1</v>
      </c>
      <c r="AT6" s="476">
        <v>0.15</v>
      </c>
      <c r="AU6" s="476">
        <v>0.1</v>
      </c>
      <c r="AV6" s="476">
        <v>120</v>
      </c>
      <c r="AW6" s="476" t="s">
        <v>599</v>
      </c>
      <c r="AX6" s="476" t="s">
        <v>599</v>
      </c>
      <c r="AY6" s="476" t="s">
        <v>599</v>
      </c>
      <c r="AZ6" s="476"/>
      <c r="BA6" s="476"/>
      <c r="BB6" s="476"/>
      <c r="BC6" s="476"/>
      <c r="BD6" s="474" t="e">
        <f>#REF!*#REF!+#REF!*#REF!+#REF!*#REF!+#REF!*#REF!+#REF!*#REF!</f>
        <v>#REF!</v>
      </c>
      <c r="BE6" s="474" t="e">
        <f>#REF!*#REF!*#REF!+#REF!*#REF!*#REF!+#REF!*#REF!*#REF!+#REF!*#REF!*#REF!+#REF!*#REF!*#REF!</f>
        <v>#REF!</v>
      </c>
      <c r="BF6" s="474" t="e">
        <f t="shared" si="17"/>
        <v>#REF!</v>
      </c>
      <c r="BG6" s="474" t="e">
        <f>#REF!*#REF!*#REF!</f>
        <v>#REF!</v>
      </c>
      <c r="BH6" s="474" t="e">
        <f>#REF!*#REF!*#REF!</f>
        <v>#REF!</v>
      </c>
      <c r="BI6" s="474" t="e">
        <f>#REF!*#REF!*#REF!</f>
        <v>#REF!</v>
      </c>
      <c r="BJ6" s="474" t="e">
        <f t="shared" si="18"/>
        <v>#REF!</v>
      </c>
      <c r="BK6" s="474" t="e">
        <f t="shared" si="19"/>
        <v>#REF!</v>
      </c>
      <c r="BL6" s="474" t="e">
        <f>#REF!*#REF!</f>
        <v>#REF!</v>
      </c>
      <c r="BM6" s="474" t="e">
        <f t="shared" si="20"/>
        <v>#REF!</v>
      </c>
      <c r="BN6" s="474" t="e">
        <f>#REF!*#REF!+#REF!*#REF!+#REF!*#REF!+#REF!*#REF!+#REF!*#REF!</f>
        <v>#REF!</v>
      </c>
      <c r="BO6" s="474" t="e">
        <f>#REF!*#REF!*#REF!+#REF!*#REF!*#REF!+#REF!*#REF!*#REF!+#REF!*#REF!*#REF!+#REF!*#REF!*#REF!</f>
        <v>#REF!</v>
      </c>
      <c r="BP6" s="475" t="e">
        <f t="shared" si="21"/>
        <v>#REF!</v>
      </c>
    </row>
    <row r="7" spans="1:68" s="471" customFormat="1" ht="21" customHeight="1" x14ac:dyDescent="0.35">
      <c r="A7" s="476">
        <v>5</v>
      </c>
      <c r="B7" s="476" t="s">
        <v>609</v>
      </c>
      <c r="C7" s="484">
        <v>0</v>
      </c>
      <c r="D7" s="476" t="s">
        <v>610</v>
      </c>
      <c r="E7" s="476"/>
      <c r="F7" s="483" t="s">
        <v>591</v>
      </c>
      <c r="G7" s="476" t="s">
        <v>611</v>
      </c>
      <c r="H7" s="476" t="s">
        <v>612</v>
      </c>
      <c r="I7" s="476" t="s">
        <v>613</v>
      </c>
      <c r="J7" s="476" t="s">
        <v>595</v>
      </c>
      <c r="K7" s="476">
        <v>8</v>
      </c>
      <c r="L7" s="476"/>
      <c r="M7" s="476" t="s">
        <v>76</v>
      </c>
      <c r="N7" s="476" t="s">
        <v>596</v>
      </c>
      <c r="O7" s="481" t="e">
        <f t="shared" si="15"/>
        <v>#DIV/0!</v>
      </c>
      <c r="P7" s="481">
        <f t="shared" si="16"/>
        <v>0</v>
      </c>
      <c r="Q7" s="476"/>
      <c r="R7" s="476" t="s">
        <v>146</v>
      </c>
      <c r="S7" s="476"/>
      <c r="T7" s="476" t="s">
        <v>147</v>
      </c>
      <c r="U7" s="476"/>
      <c r="V7" s="476" t="s">
        <v>597</v>
      </c>
      <c r="W7" s="476"/>
      <c r="X7" s="476" t="s">
        <v>148</v>
      </c>
      <c r="Y7" s="476"/>
      <c r="Z7" s="476" t="s">
        <v>150</v>
      </c>
      <c r="AA7" s="476"/>
      <c r="AB7" s="476" t="s">
        <v>570</v>
      </c>
      <c r="AC7" s="476"/>
      <c r="AD7" s="476" t="s">
        <v>122</v>
      </c>
      <c r="AE7" s="476"/>
      <c r="AF7" s="476" t="s">
        <v>123</v>
      </c>
      <c r="AG7" s="476"/>
      <c r="AH7" s="476"/>
      <c r="AI7" s="476" t="s">
        <v>614</v>
      </c>
      <c r="AJ7" s="476">
        <v>1</v>
      </c>
      <c r="AK7" s="476" t="s">
        <v>615</v>
      </c>
      <c r="AL7" s="476"/>
      <c r="AM7" s="476"/>
      <c r="AN7" s="476">
        <v>0.02</v>
      </c>
      <c r="AO7" s="476">
        <v>0.03</v>
      </c>
      <c r="AP7" s="476">
        <v>0.2</v>
      </c>
      <c r="AQ7" s="476">
        <v>0.3</v>
      </c>
      <c r="AR7" s="476">
        <v>0.1</v>
      </c>
      <c r="AS7" s="476">
        <v>0.1</v>
      </c>
      <c r="AT7" s="476">
        <v>0.15</v>
      </c>
      <c r="AU7" s="476">
        <v>0.1</v>
      </c>
      <c r="AV7" s="476">
        <v>401</v>
      </c>
      <c r="AW7" s="476" t="s">
        <v>599</v>
      </c>
      <c r="AX7" s="476" t="s">
        <v>599</v>
      </c>
      <c r="AY7" s="476" t="s">
        <v>599</v>
      </c>
      <c r="AZ7" s="476"/>
      <c r="BA7" s="476"/>
      <c r="BB7" s="476"/>
      <c r="BC7" s="476"/>
      <c r="BD7" s="474" t="e">
        <f>#REF!*#REF!+#REF!*#REF!+#REF!*#REF!+#REF!*#REF!+#REF!*#REF!</f>
        <v>#REF!</v>
      </c>
      <c r="BE7" s="474" t="e">
        <f>#REF!*#REF!*#REF!+#REF!*#REF!*#REF!+#REF!*#REF!*#REF!+#REF!*#REF!*#REF!+#REF!*#REF!*#REF!</f>
        <v>#REF!</v>
      </c>
      <c r="BF7" s="474" t="e">
        <f t="shared" si="17"/>
        <v>#REF!</v>
      </c>
      <c r="BG7" s="474" t="e">
        <f>#REF!*#REF!*#REF!</f>
        <v>#REF!</v>
      </c>
      <c r="BH7" s="474" t="e">
        <f>#REF!*#REF!*#REF!</f>
        <v>#REF!</v>
      </c>
      <c r="BI7" s="474" t="e">
        <f>#REF!*#REF!*#REF!</f>
        <v>#REF!</v>
      </c>
      <c r="BJ7" s="474" t="e">
        <f t="shared" si="18"/>
        <v>#REF!</v>
      </c>
      <c r="BK7" s="474" t="e">
        <f t="shared" si="19"/>
        <v>#REF!</v>
      </c>
      <c r="BL7" s="474" t="e">
        <f>#REF!*#REF!</f>
        <v>#REF!</v>
      </c>
      <c r="BM7" s="474" t="e">
        <f t="shared" si="20"/>
        <v>#REF!</v>
      </c>
      <c r="BN7" s="474" t="e">
        <f>#REF!*#REF!+#REF!*#REF!+#REF!*#REF!+#REF!*#REF!+#REF!*#REF!</f>
        <v>#REF!</v>
      </c>
      <c r="BO7" s="474" t="e">
        <f>#REF!*#REF!*#REF!+#REF!*#REF!*#REF!+#REF!*#REF!*#REF!+#REF!*#REF!*#REF!+#REF!*#REF!*#REF!</f>
        <v>#REF!</v>
      </c>
      <c r="BP7" s="475" t="e">
        <f t="shared" si="21"/>
        <v>#REF!</v>
      </c>
    </row>
    <row r="8" spans="1:68" s="471" customFormat="1" ht="21" customHeight="1" x14ac:dyDescent="0.35">
      <c r="A8" s="476">
        <v>6</v>
      </c>
      <c r="B8" s="476" t="s">
        <v>609</v>
      </c>
      <c r="C8" s="484">
        <v>0</v>
      </c>
      <c r="D8" s="476" t="s">
        <v>610</v>
      </c>
      <c r="E8" s="476"/>
      <c r="F8" s="483" t="s">
        <v>616</v>
      </c>
      <c r="G8" s="476" t="s">
        <v>611</v>
      </c>
      <c r="H8" s="476" t="s">
        <v>612</v>
      </c>
      <c r="I8" s="476" t="s">
        <v>617</v>
      </c>
      <c r="J8" s="476" t="s">
        <v>618</v>
      </c>
      <c r="K8" s="476">
        <v>44</v>
      </c>
      <c r="L8" s="476"/>
      <c r="M8" s="476" t="s">
        <v>76</v>
      </c>
      <c r="N8" s="476" t="s">
        <v>596</v>
      </c>
      <c r="O8" s="481" t="e">
        <f t="shared" si="15"/>
        <v>#DIV/0!</v>
      </c>
      <c r="P8" s="481">
        <f t="shared" si="16"/>
        <v>0</v>
      </c>
      <c r="Q8" s="476"/>
      <c r="R8" s="476" t="s">
        <v>146</v>
      </c>
      <c r="S8" s="476"/>
      <c r="T8" s="476" t="s">
        <v>147</v>
      </c>
      <c r="U8" s="476"/>
      <c r="V8" s="476" t="s">
        <v>597</v>
      </c>
      <c r="W8" s="476"/>
      <c r="X8" s="476" t="s">
        <v>148</v>
      </c>
      <c r="Y8" s="476"/>
      <c r="Z8" s="476" t="s">
        <v>150</v>
      </c>
      <c r="AA8" s="476"/>
      <c r="AB8" s="476" t="s">
        <v>570</v>
      </c>
      <c r="AC8" s="476"/>
      <c r="AD8" s="476" t="s">
        <v>122</v>
      </c>
      <c r="AE8" s="476"/>
      <c r="AF8" s="476" t="s">
        <v>123</v>
      </c>
      <c r="AG8" s="476"/>
      <c r="AH8" s="476"/>
      <c r="AI8" s="476" t="s">
        <v>614</v>
      </c>
      <c r="AJ8" s="476">
        <v>1</v>
      </c>
      <c r="AK8" s="476" t="s">
        <v>598</v>
      </c>
      <c r="AL8" s="476"/>
      <c r="AM8" s="476"/>
      <c r="AN8" s="476">
        <v>0.02</v>
      </c>
      <c r="AO8" s="476">
        <v>0.03</v>
      </c>
      <c r="AP8" s="476">
        <v>0.2</v>
      </c>
      <c r="AQ8" s="476">
        <v>0.3</v>
      </c>
      <c r="AR8" s="476">
        <v>0.1</v>
      </c>
      <c r="AS8" s="476">
        <v>0.1</v>
      </c>
      <c r="AT8" s="476">
        <v>0.15</v>
      </c>
      <c r="AU8" s="476">
        <v>0.1</v>
      </c>
      <c r="AV8" s="476">
        <v>401</v>
      </c>
      <c r="AW8" s="476" t="s">
        <v>599</v>
      </c>
      <c r="AX8" s="476" t="s">
        <v>599</v>
      </c>
      <c r="AY8" s="476" t="s">
        <v>599</v>
      </c>
      <c r="AZ8" s="476"/>
      <c r="BA8" s="476"/>
      <c r="BB8" s="476"/>
      <c r="BC8" s="476"/>
      <c r="BD8" s="474" t="e">
        <f>#REF!*#REF!+#REF!*#REF!+#REF!*#REF!+#REF!*#REF!+#REF!*#REF!</f>
        <v>#REF!</v>
      </c>
      <c r="BE8" s="474" t="e">
        <f>#REF!*#REF!*#REF!+#REF!*#REF!*#REF!+#REF!*#REF!*#REF!+#REF!*#REF!*#REF!+#REF!*#REF!*#REF!</f>
        <v>#REF!</v>
      </c>
      <c r="BF8" s="474" t="e">
        <f t="shared" si="17"/>
        <v>#REF!</v>
      </c>
      <c r="BG8" s="474" t="e">
        <f>#REF!*#REF!*#REF!</f>
        <v>#REF!</v>
      </c>
      <c r="BH8" s="474" t="e">
        <f>#REF!*#REF!*#REF!</f>
        <v>#REF!</v>
      </c>
      <c r="BI8" s="474" t="e">
        <f>#REF!*#REF!*#REF!</f>
        <v>#REF!</v>
      </c>
      <c r="BJ8" s="474" t="e">
        <f t="shared" si="18"/>
        <v>#REF!</v>
      </c>
      <c r="BK8" s="474" t="e">
        <f t="shared" si="19"/>
        <v>#REF!</v>
      </c>
      <c r="BL8" s="474" t="e">
        <f>#REF!*#REF!</f>
        <v>#REF!</v>
      </c>
      <c r="BM8" s="474" t="e">
        <f t="shared" si="20"/>
        <v>#REF!</v>
      </c>
      <c r="BN8" s="474" t="e">
        <f>#REF!*#REF!+#REF!*#REF!+#REF!*#REF!+#REF!*#REF!+#REF!*#REF!</f>
        <v>#REF!</v>
      </c>
      <c r="BO8" s="474" t="e">
        <f>#REF!*#REF!*#REF!+#REF!*#REF!*#REF!+#REF!*#REF!*#REF!+#REF!*#REF!*#REF!+#REF!*#REF!*#REF!</f>
        <v>#REF!</v>
      </c>
      <c r="BP8" s="475" t="e">
        <f t="shared" si="21"/>
        <v>#REF!</v>
      </c>
    </row>
    <row r="9" spans="1:68" s="471" customFormat="1" ht="21" customHeight="1" x14ac:dyDescent="0.35">
      <c r="A9" s="476">
        <v>7</v>
      </c>
      <c r="B9" s="476" t="s">
        <v>619</v>
      </c>
      <c r="C9" s="484">
        <v>0</v>
      </c>
      <c r="D9" s="476" t="s">
        <v>610</v>
      </c>
      <c r="E9" s="476"/>
      <c r="F9" s="483" t="s">
        <v>616</v>
      </c>
      <c r="G9" s="476" t="s">
        <v>611</v>
      </c>
      <c r="H9" s="476" t="s">
        <v>612</v>
      </c>
      <c r="I9" s="476" t="s">
        <v>620</v>
      </c>
      <c r="J9" s="476" t="s">
        <v>618</v>
      </c>
      <c r="K9" s="476">
        <v>33</v>
      </c>
      <c r="L9" s="476"/>
      <c r="M9" s="476" t="s">
        <v>76</v>
      </c>
      <c r="N9" s="476" t="s">
        <v>596</v>
      </c>
      <c r="O9" s="481" t="e">
        <f t="shared" si="15"/>
        <v>#DIV/0!</v>
      </c>
      <c r="P9" s="481">
        <f t="shared" si="16"/>
        <v>0</v>
      </c>
      <c r="Q9" s="476"/>
      <c r="R9" s="476" t="s">
        <v>146</v>
      </c>
      <c r="S9" s="476"/>
      <c r="T9" s="476" t="s">
        <v>147</v>
      </c>
      <c r="U9" s="476"/>
      <c r="V9" s="476" t="s">
        <v>597</v>
      </c>
      <c r="W9" s="476"/>
      <c r="X9" s="476" t="s">
        <v>148</v>
      </c>
      <c r="Y9" s="476"/>
      <c r="Z9" s="476" t="s">
        <v>150</v>
      </c>
      <c r="AA9" s="476"/>
      <c r="AB9" s="476" t="s">
        <v>570</v>
      </c>
      <c r="AC9" s="476"/>
      <c r="AD9" s="476" t="s">
        <v>122</v>
      </c>
      <c r="AE9" s="476"/>
      <c r="AF9" s="476" t="s">
        <v>123</v>
      </c>
      <c r="AG9" s="476"/>
      <c r="AH9" s="476"/>
      <c r="AI9" s="476" t="s">
        <v>614</v>
      </c>
      <c r="AJ9" s="476">
        <v>1</v>
      </c>
      <c r="AK9" s="476" t="s">
        <v>602</v>
      </c>
      <c r="AL9" s="476"/>
      <c r="AM9" s="476"/>
      <c r="AN9" s="476">
        <v>0.02</v>
      </c>
      <c r="AO9" s="476">
        <v>0.03</v>
      </c>
      <c r="AP9" s="476">
        <v>0.2</v>
      </c>
      <c r="AQ9" s="476">
        <v>0.3</v>
      </c>
      <c r="AR9" s="476">
        <v>0.1</v>
      </c>
      <c r="AS9" s="476">
        <v>0.1</v>
      </c>
      <c r="AT9" s="476">
        <v>0.15</v>
      </c>
      <c r="AU9" s="476">
        <v>0.1</v>
      </c>
      <c r="AV9" s="476">
        <v>401</v>
      </c>
      <c r="AW9" s="476" t="s">
        <v>599</v>
      </c>
      <c r="AX9" s="476" t="s">
        <v>599</v>
      </c>
      <c r="AY9" s="476" t="s">
        <v>599</v>
      </c>
      <c r="AZ9" s="476"/>
      <c r="BA9" s="476"/>
      <c r="BB9" s="476"/>
      <c r="BC9" s="476"/>
      <c r="BD9" s="474" t="e">
        <f>#REF!*#REF!+#REF!*#REF!+#REF!*#REF!+#REF!*#REF!+#REF!*#REF!</f>
        <v>#REF!</v>
      </c>
      <c r="BE9" s="474" t="e">
        <f>#REF!*#REF!*#REF!+#REF!*#REF!*#REF!+#REF!*#REF!*#REF!+#REF!*#REF!*#REF!+#REF!*#REF!*#REF!</f>
        <v>#REF!</v>
      </c>
      <c r="BF9" s="474" t="e">
        <f t="shared" si="17"/>
        <v>#REF!</v>
      </c>
      <c r="BG9" s="474" t="e">
        <f>#REF!*#REF!*#REF!</f>
        <v>#REF!</v>
      </c>
      <c r="BH9" s="474" t="e">
        <f>#REF!*#REF!*#REF!</f>
        <v>#REF!</v>
      </c>
      <c r="BI9" s="474" t="e">
        <f>#REF!*#REF!*#REF!</f>
        <v>#REF!</v>
      </c>
      <c r="BJ9" s="474" t="e">
        <f t="shared" si="18"/>
        <v>#REF!</v>
      </c>
      <c r="BK9" s="474" t="e">
        <f t="shared" si="19"/>
        <v>#REF!</v>
      </c>
      <c r="BL9" s="474" t="e">
        <f>#REF!*#REF!</f>
        <v>#REF!</v>
      </c>
      <c r="BM9" s="474" t="e">
        <f t="shared" si="20"/>
        <v>#REF!</v>
      </c>
      <c r="BN9" s="474" t="e">
        <f>#REF!*#REF!+#REF!*#REF!+#REF!*#REF!+#REF!*#REF!+#REF!*#REF!</f>
        <v>#REF!</v>
      </c>
      <c r="BO9" s="474" t="e">
        <f>#REF!*#REF!*#REF!+#REF!*#REF!*#REF!+#REF!*#REF!*#REF!+#REF!*#REF!*#REF!+#REF!*#REF!*#REF!</f>
        <v>#REF!</v>
      </c>
      <c r="BP9" s="475" t="e">
        <f t="shared" si="21"/>
        <v>#REF!</v>
      </c>
    </row>
    <row r="10" spans="1:68" s="471" customFormat="1" ht="21" customHeight="1" x14ac:dyDescent="0.35">
      <c r="A10" s="476">
        <v>8</v>
      </c>
      <c r="B10" s="476" t="s">
        <v>621</v>
      </c>
      <c r="C10" s="484">
        <v>0</v>
      </c>
      <c r="D10" s="476" t="s">
        <v>610</v>
      </c>
      <c r="E10" s="476"/>
      <c r="F10" s="483" t="s">
        <v>616</v>
      </c>
      <c r="G10" s="476" t="s">
        <v>611</v>
      </c>
      <c r="H10" s="476" t="s">
        <v>612</v>
      </c>
      <c r="I10" s="476" t="s">
        <v>622</v>
      </c>
      <c r="J10" s="476" t="s">
        <v>618</v>
      </c>
      <c r="K10" s="476">
        <v>120</v>
      </c>
      <c r="L10" s="476"/>
      <c r="M10" s="476" t="s">
        <v>76</v>
      </c>
      <c r="N10" s="476" t="s">
        <v>596</v>
      </c>
      <c r="O10" s="481" t="e">
        <f t="shared" si="15"/>
        <v>#DIV/0!</v>
      </c>
      <c r="P10" s="481">
        <f t="shared" si="16"/>
        <v>0</v>
      </c>
      <c r="Q10" s="476"/>
      <c r="R10" s="476" t="s">
        <v>146</v>
      </c>
      <c r="S10" s="476"/>
      <c r="T10" s="476" t="s">
        <v>147</v>
      </c>
      <c r="U10" s="476"/>
      <c r="V10" s="476" t="s">
        <v>597</v>
      </c>
      <c r="W10" s="476"/>
      <c r="X10" s="476" t="s">
        <v>148</v>
      </c>
      <c r="Y10" s="476"/>
      <c r="Z10" s="476" t="s">
        <v>150</v>
      </c>
      <c r="AA10" s="476"/>
      <c r="AB10" s="476" t="s">
        <v>570</v>
      </c>
      <c r="AC10" s="476"/>
      <c r="AD10" s="476" t="s">
        <v>122</v>
      </c>
      <c r="AE10" s="476"/>
      <c r="AF10" s="476" t="s">
        <v>123</v>
      </c>
      <c r="AG10" s="476"/>
      <c r="AH10" s="476"/>
      <c r="AI10" s="476" t="s">
        <v>614</v>
      </c>
      <c r="AJ10" s="476">
        <v>1</v>
      </c>
      <c r="AK10" s="476" t="s">
        <v>605</v>
      </c>
      <c r="AL10" s="476"/>
      <c r="AM10" s="476"/>
      <c r="AN10" s="476">
        <v>0.02</v>
      </c>
      <c r="AO10" s="476">
        <v>0.03</v>
      </c>
      <c r="AP10" s="476">
        <v>0.2</v>
      </c>
      <c r="AQ10" s="476">
        <v>0.3</v>
      </c>
      <c r="AR10" s="476">
        <v>0.1</v>
      </c>
      <c r="AS10" s="476">
        <v>0.1</v>
      </c>
      <c r="AT10" s="476">
        <v>0.15</v>
      </c>
      <c r="AU10" s="476">
        <v>0.1</v>
      </c>
      <c r="AV10" s="476">
        <v>401</v>
      </c>
      <c r="AW10" s="476" t="s">
        <v>599</v>
      </c>
      <c r="AX10" s="476" t="s">
        <v>599</v>
      </c>
      <c r="AY10" s="476" t="s">
        <v>599</v>
      </c>
      <c r="AZ10" s="476"/>
      <c r="BA10" s="476"/>
      <c r="BB10" s="476"/>
      <c r="BC10" s="476"/>
      <c r="BD10" s="474" t="e">
        <f>#REF!*#REF!+#REF!*#REF!+#REF!*#REF!+#REF!*#REF!+#REF!*#REF!</f>
        <v>#REF!</v>
      </c>
      <c r="BE10" s="474" t="e">
        <f>#REF!*#REF!*#REF!+#REF!*#REF!*#REF!+#REF!*#REF!*#REF!+#REF!*#REF!*#REF!+#REF!*#REF!*#REF!</f>
        <v>#REF!</v>
      </c>
      <c r="BF10" s="474" t="e">
        <f t="shared" si="17"/>
        <v>#REF!</v>
      </c>
      <c r="BG10" s="474" t="e">
        <f>#REF!*#REF!*#REF!</f>
        <v>#REF!</v>
      </c>
      <c r="BH10" s="474" t="e">
        <f>#REF!*#REF!*#REF!</f>
        <v>#REF!</v>
      </c>
      <c r="BI10" s="474" t="e">
        <f>#REF!*#REF!*#REF!</f>
        <v>#REF!</v>
      </c>
      <c r="BJ10" s="474" t="e">
        <f t="shared" si="18"/>
        <v>#REF!</v>
      </c>
      <c r="BK10" s="474" t="e">
        <f t="shared" si="19"/>
        <v>#REF!</v>
      </c>
      <c r="BL10" s="474" t="e">
        <f>#REF!*#REF!</f>
        <v>#REF!</v>
      </c>
      <c r="BM10" s="474" t="e">
        <f t="shared" si="20"/>
        <v>#REF!</v>
      </c>
      <c r="BN10" s="474" t="e">
        <f>#REF!*#REF!+#REF!*#REF!+#REF!*#REF!+#REF!*#REF!+#REF!*#REF!</f>
        <v>#REF!</v>
      </c>
      <c r="BO10" s="474" t="e">
        <f>#REF!*#REF!*#REF!+#REF!*#REF!*#REF!+#REF!*#REF!*#REF!+#REF!*#REF!*#REF!+#REF!*#REF!*#REF!</f>
        <v>#REF!</v>
      </c>
      <c r="BP10" s="475" t="e">
        <f t="shared" si="21"/>
        <v>#REF!</v>
      </c>
    </row>
    <row r="11" spans="1:68" s="471" customFormat="1" ht="21" customHeight="1" x14ac:dyDescent="0.35">
      <c r="A11" s="476">
        <v>9</v>
      </c>
      <c r="B11" s="476" t="s">
        <v>623</v>
      </c>
      <c r="C11" s="484">
        <v>0</v>
      </c>
      <c r="D11" s="476" t="s">
        <v>610</v>
      </c>
      <c r="E11" s="476"/>
      <c r="F11" s="483" t="s">
        <v>591</v>
      </c>
      <c r="G11" s="476" t="s">
        <v>611</v>
      </c>
      <c r="H11" s="476" t="s">
        <v>612</v>
      </c>
      <c r="I11" s="476" t="s">
        <v>624</v>
      </c>
      <c r="J11" s="476" t="s">
        <v>595</v>
      </c>
      <c r="K11" s="476">
        <v>9</v>
      </c>
      <c r="L11" s="476"/>
      <c r="M11" s="476" t="s">
        <v>76</v>
      </c>
      <c r="N11" s="476" t="s">
        <v>596</v>
      </c>
      <c r="O11" s="481" t="e">
        <f t="shared" si="15"/>
        <v>#DIV/0!</v>
      </c>
      <c r="P11" s="481">
        <f t="shared" si="16"/>
        <v>0</v>
      </c>
      <c r="Q11" s="476"/>
      <c r="R11" s="476" t="s">
        <v>146</v>
      </c>
      <c r="S11" s="476"/>
      <c r="T11" s="476" t="s">
        <v>147</v>
      </c>
      <c r="U11" s="476"/>
      <c r="V11" s="476" t="s">
        <v>597</v>
      </c>
      <c r="W11" s="476"/>
      <c r="X11" s="476" t="s">
        <v>148</v>
      </c>
      <c r="Y11" s="476"/>
      <c r="Z11" s="476" t="s">
        <v>150</v>
      </c>
      <c r="AA11" s="476"/>
      <c r="AB11" s="476" t="s">
        <v>570</v>
      </c>
      <c r="AC11" s="476"/>
      <c r="AD11" s="476" t="s">
        <v>122</v>
      </c>
      <c r="AE11" s="476"/>
      <c r="AF11" s="476" t="s">
        <v>123</v>
      </c>
      <c r="AG11" s="476"/>
      <c r="AH11" s="476"/>
      <c r="AI11" s="476"/>
      <c r="AJ11" s="476">
        <v>1</v>
      </c>
      <c r="AK11" s="476" t="s">
        <v>608</v>
      </c>
      <c r="AL11" s="476"/>
      <c r="AM11" s="476"/>
      <c r="AN11" s="476">
        <v>0.02</v>
      </c>
      <c r="AO11" s="476">
        <v>0.03</v>
      </c>
      <c r="AP11" s="476">
        <v>0.2</v>
      </c>
      <c r="AQ11" s="476">
        <v>0.3</v>
      </c>
      <c r="AR11" s="476">
        <v>0.1</v>
      </c>
      <c r="AS11" s="476">
        <v>0.1</v>
      </c>
      <c r="AT11" s="476">
        <v>0.15</v>
      </c>
      <c r="AU11" s="476">
        <v>0.1</v>
      </c>
      <c r="AV11" s="476">
        <v>120</v>
      </c>
      <c r="AW11" s="476" t="s">
        <v>599</v>
      </c>
      <c r="AX11" s="476" t="s">
        <v>599</v>
      </c>
      <c r="AY11" s="476" t="s">
        <v>599</v>
      </c>
      <c r="AZ11" s="476"/>
      <c r="BA11" s="476"/>
      <c r="BB11" s="476"/>
      <c r="BC11" s="476"/>
      <c r="BD11" s="474" t="e">
        <f>#REF!*#REF!+#REF!*#REF!+#REF!*#REF!+#REF!*#REF!+#REF!*#REF!</f>
        <v>#REF!</v>
      </c>
      <c r="BE11" s="474" t="e">
        <f>#REF!*#REF!*#REF!+#REF!*#REF!*#REF!+#REF!*#REF!*#REF!+#REF!*#REF!*#REF!+#REF!*#REF!*#REF!</f>
        <v>#REF!</v>
      </c>
      <c r="BF11" s="474" t="e">
        <f t="shared" si="17"/>
        <v>#REF!</v>
      </c>
      <c r="BG11" s="474" t="e">
        <f>#REF!*#REF!*#REF!</f>
        <v>#REF!</v>
      </c>
      <c r="BH11" s="474" t="e">
        <f>#REF!*#REF!*#REF!</f>
        <v>#REF!</v>
      </c>
      <c r="BI11" s="474" t="e">
        <f>#REF!*#REF!*#REF!</f>
        <v>#REF!</v>
      </c>
      <c r="BJ11" s="474" t="e">
        <f t="shared" si="18"/>
        <v>#REF!</v>
      </c>
      <c r="BK11" s="474" t="e">
        <f t="shared" si="19"/>
        <v>#REF!</v>
      </c>
      <c r="BL11" s="474" t="e">
        <f>#REF!*#REF!</f>
        <v>#REF!</v>
      </c>
      <c r="BM11" s="474" t="e">
        <f t="shared" si="20"/>
        <v>#REF!</v>
      </c>
      <c r="BN11" s="474" t="e">
        <f>#REF!*#REF!+#REF!*#REF!+#REF!*#REF!+#REF!*#REF!+#REF!*#REF!</f>
        <v>#REF!</v>
      </c>
      <c r="BO11" s="474" t="e">
        <f>#REF!*#REF!*#REF!+#REF!*#REF!*#REF!+#REF!*#REF!*#REF!+#REF!*#REF!*#REF!+#REF!*#REF!*#REF!</f>
        <v>#REF!</v>
      </c>
      <c r="BP11" s="475" t="e">
        <f t="shared" si="21"/>
        <v>#REF!</v>
      </c>
    </row>
    <row r="12" spans="1:68" s="471" customFormat="1" ht="21" customHeight="1" x14ac:dyDescent="0.35">
      <c r="A12" s="476">
        <v>10</v>
      </c>
      <c r="B12" s="476" t="s">
        <v>623</v>
      </c>
      <c r="C12" s="484">
        <v>0</v>
      </c>
      <c r="D12" s="476" t="s">
        <v>610</v>
      </c>
      <c r="E12" s="476"/>
      <c r="F12" s="483" t="s">
        <v>616</v>
      </c>
      <c r="G12" s="476" t="s">
        <v>611</v>
      </c>
      <c r="H12" s="476" t="s">
        <v>612</v>
      </c>
      <c r="I12" s="476" t="s">
        <v>625</v>
      </c>
      <c r="J12" s="476" t="s">
        <v>618</v>
      </c>
      <c r="K12" s="476">
        <v>24</v>
      </c>
      <c r="L12" s="476"/>
      <c r="M12" s="476" t="s">
        <v>76</v>
      </c>
      <c r="N12" s="476" t="s">
        <v>596</v>
      </c>
      <c r="O12" s="481" t="e">
        <f t="shared" si="15"/>
        <v>#DIV/0!</v>
      </c>
      <c r="P12" s="481">
        <f t="shared" si="16"/>
        <v>0</v>
      </c>
      <c r="Q12" s="476"/>
      <c r="R12" s="476" t="s">
        <v>146</v>
      </c>
      <c r="S12" s="476"/>
      <c r="T12" s="476" t="s">
        <v>147</v>
      </c>
      <c r="U12" s="476"/>
      <c r="V12" s="476" t="s">
        <v>597</v>
      </c>
      <c r="W12" s="476"/>
      <c r="X12" s="476" t="s">
        <v>148</v>
      </c>
      <c r="Y12" s="476"/>
      <c r="Z12" s="476" t="s">
        <v>150</v>
      </c>
      <c r="AA12" s="476"/>
      <c r="AB12" s="476" t="s">
        <v>570</v>
      </c>
      <c r="AC12" s="476"/>
      <c r="AD12" s="476" t="s">
        <v>122</v>
      </c>
      <c r="AE12" s="476"/>
      <c r="AF12" s="476" t="s">
        <v>123</v>
      </c>
      <c r="AG12" s="476"/>
      <c r="AH12" s="476"/>
      <c r="AI12" s="476"/>
      <c r="AJ12" s="476">
        <v>1</v>
      </c>
      <c r="AK12" s="476" t="s">
        <v>615</v>
      </c>
      <c r="AL12" s="476"/>
      <c r="AM12" s="476"/>
      <c r="AN12" s="476">
        <v>0.02</v>
      </c>
      <c r="AO12" s="476">
        <v>0.03</v>
      </c>
      <c r="AP12" s="476">
        <v>0.2</v>
      </c>
      <c r="AQ12" s="476">
        <v>0.3</v>
      </c>
      <c r="AR12" s="476">
        <v>0.1</v>
      </c>
      <c r="AS12" s="476">
        <v>0.1</v>
      </c>
      <c r="AT12" s="476">
        <v>0.15</v>
      </c>
      <c r="AU12" s="476">
        <v>0.1</v>
      </c>
      <c r="AV12" s="476">
        <v>120</v>
      </c>
      <c r="AW12" s="476" t="s">
        <v>599</v>
      </c>
      <c r="AX12" s="476" t="s">
        <v>599</v>
      </c>
      <c r="AY12" s="476" t="s">
        <v>599</v>
      </c>
      <c r="AZ12" s="476"/>
      <c r="BA12" s="476"/>
      <c r="BB12" s="476"/>
      <c r="BC12" s="476"/>
      <c r="BD12" s="474" t="e">
        <f>#REF!*#REF!+#REF!*#REF!+#REF!*#REF!+#REF!*#REF!+#REF!*#REF!</f>
        <v>#REF!</v>
      </c>
      <c r="BE12" s="474" t="e">
        <f>#REF!*#REF!*#REF!+#REF!*#REF!*#REF!+#REF!*#REF!*#REF!+#REF!*#REF!*#REF!+#REF!*#REF!*#REF!</f>
        <v>#REF!</v>
      </c>
      <c r="BF12" s="474" t="e">
        <f t="shared" si="17"/>
        <v>#REF!</v>
      </c>
      <c r="BG12" s="474" t="e">
        <f>#REF!*#REF!*#REF!</f>
        <v>#REF!</v>
      </c>
      <c r="BH12" s="474" t="e">
        <f>#REF!*#REF!*#REF!</f>
        <v>#REF!</v>
      </c>
      <c r="BI12" s="474" t="e">
        <f>#REF!*#REF!*#REF!</f>
        <v>#REF!</v>
      </c>
      <c r="BJ12" s="474" t="e">
        <f t="shared" si="18"/>
        <v>#REF!</v>
      </c>
      <c r="BK12" s="474" t="e">
        <f t="shared" si="19"/>
        <v>#REF!</v>
      </c>
      <c r="BL12" s="474" t="e">
        <f>#REF!*#REF!</f>
        <v>#REF!</v>
      </c>
      <c r="BM12" s="474" t="e">
        <f t="shared" si="20"/>
        <v>#REF!</v>
      </c>
      <c r="BN12" s="474" t="e">
        <f>#REF!*#REF!+#REF!*#REF!+#REF!*#REF!+#REF!*#REF!+#REF!*#REF!</f>
        <v>#REF!</v>
      </c>
      <c r="BO12" s="474" t="e">
        <f>#REF!*#REF!*#REF!+#REF!*#REF!*#REF!+#REF!*#REF!*#REF!+#REF!*#REF!*#REF!+#REF!*#REF!*#REF!</f>
        <v>#REF!</v>
      </c>
      <c r="BP12" s="475" t="e">
        <f t="shared" si="21"/>
        <v>#REF!</v>
      </c>
    </row>
    <row r="13" spans="1:68" s="471" customFormat="1" ht="21" customHeight="1" x14ac:dyDescent="0.35">
      <c r="A13" s="476">
        <v>11</v>
      </c>
      <c r="B13" s="476" t="s">
        <v>626</v>
      </c>
      <c r="C13" s="484">
        <v>0</v>
      </c>
      <c r="D13" s="476" t="s">
        <v>610</v>
      </c>
      <c r="E13" s="476"/>
      <c r="F13" s="483" t="s">
        <v>616</v>
      </c>
      <c r="G13" s="476" t="s">
        <v>611</v>
      </c>
      <c r="H13" s="476" t="s">
        <v>612</v>
      </c>
      <c r="I13" s="476" t="s">
        <v>627</v>
      </c>
      <c r="J13" s="476" t="s">
        <v>618</v>
      </c>
      <c r="K13" s="476">
        <v>47</v>
      </c>
      <c r="L13" s="476"/>
      <c r="M13" s="476" t="s">
        <v>76</v>
      </c>
      <c r="N13" s="476" t="s">
        <v>596</v>
      </c>
      <c r="O13" s="481" t="e">
        <f t="shared" si="15"/>
        <v>#DIV/0!</v>
      </c>
      <c r="P13" s="481">
        <f t="shared" si="16"/>
        <v>0</v>
      </c>
      <c r="Q13" s="476"/>
      <c r="R13" s="476" t="s">
        <v>146</v>
      </c>
      <c r="S13" s="476"/>
      <c r="T13" s="476" t="s">
        <v>147</v>
      </c>
      <c r="U13" s="476"/>
      <c r="V13" s="476" t="s">
        <v>597</v>
      </c>
      <c r="W13" s="476"/>
      <c r="X13" s="476" t="s">
        <v>148</v>
      </c>
      <c r="Y13" s="476"/>
      <c r="Z13" s="476" t="s">
        <v>150</v>
      </c>
      <c r="AA13" s="476"/>
      <c r="AB13" s="476" t="s">
        <v>570</v>
      </c>
      <c r="AC13" s="476"/>
      <c r="AD13" s="476" t="s">
        <v>122</v>
      </c>
      <c r="AE13" s="476"/>
      <c r="AF13" s="476" t="s">
        <v>123</v>
      </c>
      <c r="AG13" s="476"/>
      <c r="AH13" s="476"/>
      <c r="AI13" s="476"/>
      <c r="AJ13" s="476">
        <v>1</v>
      </c>
      <c r="AK13" s="476" t="s">
        <v>598</v>
      </c>
      <c r="AL13" s="476"/>
      <c r="AM13" s="476"/>
      <c r="AN13" s="476">
        <v>0.02</v>
      </c>
      <c r="AO13" s="476">
        <v>0.03</v>
      </c>
      <c r="AP13" s="476">
        <v>0.2</v>
      </c>
      <c r="AQ13" s="476">
        <v>0.3</v>
      </c>
      <c r="AR13" s="476">
        <v>0.1</v>
      </c>
      <c r="AS13" s="476">
        <v>0.1</v>
      </c>
      <c r="AT13" s="476">
        <v>0.15</v>
      </c>
      <c r="AU13" s="476">
        <v>0.1</v>
      </c>
      <c r="AV13" s="476">
        <v>120</v>
      </c>
      <c r="AW13" s="476" t="s">
        <v>599</v>
      </c>
      <c r="AX13" s="476" t="s">
        <v>599</v>
      </c>
      <c r="AY13" s="476" t="s">
        <v>599</v>
      </c>
      <c r="AZ13" s="476"/>
      <c r="BA13" s="476"/>
      <c r="BB13" s="476"/>
      <c r="BC13" s="476"/>
      <c r="BD13" s="474" t="e">
        <f>#REF!*#REF!+#REF!*#REF!+#REF!*#REF!+#REF!*#REF!+#REF!*#REF!</f>
        <v>#REF!</v>
      </c>
      <c r="BE13" s="474" t="e">
        <f>#REF!*#REF!*#REF!+#REF!*#REF!*#REF!+#REF!*#REF!*#REF!+#REF!*#REF!*#REF!+#REF!*#REF!*#REF!</f>
        <v>#REF!</v>
      </c>
      <c r="BF13" s="474" t="e">
        <f t="shared" si="17"/>
        <v>#REF!</v>
      </c>
      <c r="BG13" s="474" t="e">
        <f>#REF!*#REF!*#REF!</f>
        <v>#REF!</v>
      </c>
      <c r="BH13" s="474" t="e">
        <f>#REF!*#REF!*#REF!</f>
        <v>#REF!</v>
      </c>
      <c r="BI13" s="474" t="e">
        <f>#REF!*#REF!*#REF!</f>
        <v>#REF!</v>
      </c>
      <c r="BJ13" s="474" t="e">
        <f t="shared" si="18"/>
        <v>#REF!</v>
      </c>
      <c r="BK13" s="474" t="e">
        <f t="shared" si="19"/>
        <v>#REF!</v>
      </c>
      <c r="BL13" s="474" t="e">
        <f>#REF!*#REF!</f>
        <v>#REF!</v>
      </c>
      <c r="BM13" s="474" t="e">
        <f t="shared" si="20"/>
        <v>#REF!</v>
      </c>
      <c r="BN13" s="474" t="e">
        <f>#REF!*#REF!+#REF!*#REF!+#REF!*#REF!+#REF!*#REF!+#REF!*#REF!</f>
        <v>#REF!</v>
      </c>
      <c r="BO13" s="474" t="e">
        <f>#REF!*#REF!*#REF!+#REF!*#REF!*#REF!+#REF!*#REF!*#REF!+#REF!*#REF!*#REF!+#REF!*#REF!*#REF!</f>
        <v>#REF!</v>
      </c>
      <c r="BP13" s="475" t="e">
        <f t="shared" si="21"/>
        <v>#REF!</v>
      </c>
    </row>
    <row r="14" spans="1:68" s="471" customFormat="1" ht="21" customHeight="1" x14ac:dyDescent="0.35">
      <c r="A14" s="476">
        <v>12</v>
      </c>
      <c r="B14" s="476" t="s">
        <v>628</v>
      </c>
      <c r="C14" s="484">
        <v>0</v>
      </c>
      <c r="D14" s="476" t="s">
        <v>610</v>
      </c>
      <c r="E14" s="476"/>
      <c r="F14" s="483" t="s">
        <v>616</v>
      </c>
      <c r="G14" s="476" t="s">
        <v>611</v>
      </c>
      <c r="H14" s="476" t="s">
        <v>612</v>
      </c>
      <c r="I14" s="476" t="s">
        <v>629</v>
      </c>
      <c r="J14" s="476" t="s">
        <v>618</v>
      </c>
      <c r="K14" s="476">
        <v>105</v>
      </c>
      <c r="L14" s="476"/>
      <c r="M14" s="476" t="s">
        <v>76</v>
      </c>
      <c r="N14" s="476" t="s">
        <v>596</v>
      </c>
      <c r="O14" s="481" t="e">
        <f t="shared" si="15"/>
        <v>#DIV/0!</v>
      </c>
      <c r="P14" s="481">
        <f t="shared" si="16"/>
        <v>0</v>
      </c>
      <c r="Q14" s="476"/>
      <c r="R14" s="476" t="s">
        <v>146</v>
      </c>
      <c r="S14" s="476"/>
      <c r="T14" s="476" t="s">
        <v>147</v>
      </c>
      <c r="U14" s="476"/>
      <c r="V14" s="476" t="s">
        <v>597</v>
      </c>
      <c r="W14" s="476"/>
      <c r="X14" s="476" t="s">
        <v>148</v>
      </c>
      <c r="Y14" s="476"/>
      <c r="Z14" s="476" t="s">
        <v>150</v>
      </c>
      <c r="AA14" s="476"/>
      <c r="AB14" s="476" t="s">
        <v>570</v>
      </c>
      <c r="AC14" s="476"/>
      <c r="AD14" s="476" t="s">
        <v>122</v>
      </c>
      <c r="AE14" s="476"/>
      <c r="AF14" s="476" t="s">
        <v>123</v>
      </c>
      <c r="AG14" s="476"/>
      <c r="AH14" s="476"/>
      <c r="AI14" s="476"/>
      <c r="AJ14" s="476">
        <v>1</v>
      </c>
      <c r="AK14" s="476" t="s">
        <v>602</v>
      </c>
      <c r="AL14" s="476"/>
      <c r="AM14" s="476"/>
      <c r="AN14" s="476">
        <v>0.02</v>
      </c>
      <c r="AO14" s="476">
        <v>0.03</v>
      </c>
      <c r="AP14" s="476">
        <v>0.2</v>
      </c>
      <c r="AQ14" s="476">
        <v>0.3</v>
      </c>
      <c r="AR14" s="476">
        <v>0.1</v>
      </c>
      <c r="AS14" s="476">
        <v>0.1</v>
      </c>
      <c r="AT14" s="476">
        <v>0.15</v>
      </c>
      <c r="AU14" s="476">
        <v>0.1</v>
      </c>
      <c r="AV14" s="476">
        <v>120</v>
      </c>
      <c r="AW14" s="476" t="s">
        <v>599</v>
      </c>
      <c r="AX14" s="476" t="s">
        <v>599</v>
      </c>
      <c r="AY14" s="476" t="s">
        <v>599</v>
      </c>
      <c r="AZ14" s="476"/>
      <c r="BA14" s="476"/>
      <c r="BB14" s="476"/>
      <c r="BC14" s="476"/>
      <c r="BD14" s="474" t="e">
        <f>#REF!*#REF!+#REF!*#REF!+#REF!*#REF!+#REF!*#REF!+#REF!*#REF!</f>
        <v>#REF!</v>
      </c>
      <c r="BE14" s="474" t="e">
        <f>#REF!*#REF!*#REF!+#REF!*#REF!*#REF!+#REF!*#REF!*#REF!+#REF!*#REF!*#REF!+#REF!*#REF!*#REF!</f>
        <v>#REF!</v>
      </c>
      <c r="BF14" s="474" t="e">
        <f t="shared" si="17"/>
        <v>#REF!</v>
      </c>
      <c r="BG14" s="474" t="e">
        <f>#REF!*#REF!*#REF!</f>
        <v>#REF!</v>
      </c>
      <c r="BH14" s="474" t="e">
        <f>#REF!*#REF!*#REF!</f>
        <v>#REF!</v>
      </c>
      <c r="BI14" s="474" t="e">
        <f>#REF!*#REF!*#REF!</f>
        <v>#REF!</v>
      </c>
      <c r="BJ14" s="474" t="e">
        <f t="shared" si="18"/>
        <v>#REF!</v>
      </c>
      <c r="BK14" s="474" t="e">
        <f t="shared" si="19"/>
        <v>#REF!</v>
      </c>
      <c r="BL14" s="474" t="e">
        <f>#REF!*#REF!</f>
        <v>#REF!</v>
      </c>
      <c r="BM14" s="474" t="e">
        <f t="shared" si="20"/>
        <v>#REF!</v>
      </c>
      <c r="BN14" s="474" t="e">
        <f>#REF!*#REF!+#REF!*#REF!+#REF!*#REF!+#REF!*#REF!+#REF!*#REF!</f>
        <v>#REF!</v>
      </c>
      <c r="BO14" s="474" t="e">
        <f>#REF!*#REF!*#REF!+#REF!*#REF!*#REF!+#REF!*#REF!*#REF!+#REF!*#REF!*#REF!+#REF!*#REF!*#REF!</f>
        <v>#REF!</v>
      </c>
      <c r="BP14" s="475" t="e">
        <f t="shared" si="21"/>
        <v>#REF!</v>
      </c>
    </row>
    <row r="15" spans="1:68" s="471" customFormat="1" ht="21" customHeight="1" x14ac:dyDescent="0.35">
      <c r="A15" s="476">
        <v>13</v>
      </c>
      <c r="B15" s="476" t="s">
        <v>630</v>
      </c>
      <c r="C15" s="484">
        <v>0</v>
      </c>
      <c r="D15" s="476" t="s">
        <v>610</v>
      </c>
      <c r="E15" s="476"/>
      <c r="F15" s="483" t="s">
        <v>591</v>
      </c>
      <c r="G15" s="476" t="s">
        <v>611</v>
      </c>
      <c r="H15" s="476" t="s">
        <v>612</v>
      </c>
      <c r="I15" s="476" t="s">
        <v>631</v>
      </c>
      <c r="J15" s="476" t="s">
        <v>595</v>
      </c>
      <c r="K15" s="476">
        <v>8</v>
      </c>
      <c r="L15" s="476"/>
      <c r="M15" s="476" t="s">
        <v>76</v>
      </c>
      <c r="N15" s="476" t="s">
        <v>596</v>
      </c>
      <c r="O15" s="481" t="e">
        <f t="shared" si="15"/>
        <v>#DIV/0!</v>
      </c>
      <c r="P15" s="481">
        <f t="shared" si="16"/>
        <v>0</v>
      </c>
      <c r="Q15" s="476"/>
      <c r="R15" s="476" t="s">
        <v>146</v>
      </c>
      <c r="S15" s="476"/>
      <c r="T15" s="476" t="s">
        <v>147</v>
      </c>
      <c r="U15" s="476"/>
      <c r="V15" s="476" t="s">
        <v>597</v>
      </c>
      <c r="W15" s="476"/>
      <c r="X15" s="476" t="s">
        <v>148</v>
      </c>
      <c r="Y15" s="476"/>
      <c r="Z15" s="476" t="s">
        <v>150</v>
      </c>
      <c r="AA15" s="476"/>
      <c r="AB15" s="476" t="s">
        <v>570</v>
      </c>
      <c r="AC15" s="476"/>
      <c r="AD15" s="476" t="s">
        <v>122</v>
      </c>
      <c r="AE15" s="476"/>
      <c r="AF15" s="476" t="s">
        <v>123</v>
      </c>
      <c r="AG15" s="476"/>
      <c r="AH15" s="476"/>
      <c r="AI15" s="476"/>
      <c r="AJ15" s="476">
        <v>1</v>
      </c>
      <c r="AK15" s="476" t="s">
        <v>605</v>
      </c>
      <c r="AL15" s="476"/>
      <c r="AM15" s="476"/>
      <c r="AN15" s="476">
        <v>0.02</v>
      </c>
      <c r="AO15" s="476">
        <v>0.03</v>
      </c>
      <c r="AP15" s="476">
        <v>0.2</v>
      </c>
      <c r="AQ15" s="476">
        <v>0.3</v>
      </c>
      <c r="AR15" s="476">
        <v>0.1</v>
      </c>
      <c r="AS15" s="476">
        <v>0.1</v>
      </c>
      <c r="AT15" s="476">
        <v>0.15</v>
      </c>
      <c r="AU15" s="476">
        <v>0.1</v>
      </c>
      <c r="AV15" s="476">
        <v>120</v>
      </c>
      <c r="AW15" s="476" t="s">
        <v>599</v>
      </c>
      <c r="AX15" s="476" t="s">
        <v>599</v>
      </c>
      <c r="AY15" s="476" t="s">
        <v>599</v>
      </c>
      <c r="AZ15" s="476"/>
      <c r="BA15" s="476"/>
      <c r="BB15" s="476"/>
      <c r="BC15" s="476"/>
      <c r="BD15" s="474" t="e">
        <f>#REF!*#REF!+#REF!*#REF!+#REF!*#REF!+#REF!*#REF!+#REF!*#REF!</f>
        <v>#REF!</v>
      </c>
      <c r="BE15" s="474" t="e">
        <f>#REF!*#REF!*#REF!+#REF!*#REF!*#REF!+#REF!*#REF!*#REF!+#REF!*#REF!*#REF!+#REF!*#REF!*#REF!</f>
        <v>#REF!</v>
      </c>
      <c r="BF15" s="474" t="e">
        <f t="shared" si="17"/>
        <v>#REF!</v>
      </c>
      <c r="BG15" s="474" t="e">
        <f>#REF!*#REF!*#REF!</f>
        <v>#REF!</v>
      </c>
      <c r="BH15" s="474" t="e">
        <f>#REF!*#REF!*#REF!</f>
        <v>#REF!</v>
      </c>
      <c r="BI15" s="474" t="e">
        <f>#REF!*#REF!*#REF!</f>
        <v>#REF!</v>
      </c>
      <c r="BJ15" s="474" t="e">
        <f t="shared" si="18"/>
        <v>#REF!</v>
      </c>
      <c r="BK15" s="474" t="e">
        <f t="shared" si="19"/>
        <v>#REF!</v>
      </c>
      <c r="BL15" s="474" t="e">
        <f>#REF!*#REF!</f>
        <v>#REF!</v>
      </c>
      <c r="BM15" s="474" t="e">
        <f t="shared" si="20"/>
        <v>#REF!</v>
      </c>
      <c r="BN15" s="474" t="e">
        <f>#REF!*#REF!+#REF!*#REF!+#REF!*#REF!+#REF!*#REF!+#REF!*#REF!</f>
        <v>#REF!</v>
      </c>
      <c r="BO15" s="474" t="e">
        <f>#REF!*#REF!*#REF!+#REF!*#REF!*#REF!+#REF!*#REF!*#REF!+#REF!*#REF!*#REF!+#REF!*#REF!*#REF!</f>
        <v>#REF!</v>
      </c>
      <c r="BP15" s="475" t="e">
        <f t="shared" si="21"/>
        <v>#REF!</v>
      </c>
    </row>
    <row r="16" spans="1:68" s="471" customFormat="1" ht="21" customHeight="1" x14ac:dyDescent="0.35">
      <c r="A16" s="476">
        <v>14</v>
      </c>
      <c r="B16" s="476" t="s">
        <v>630</v>
      </c>
      <c r="C16" s="484">
        <v>0</v>
      </c>
      <c r="D16" s="476" t="s">
        <v>610</v>
      </c>
      <c r="E16" s="476"/>
      <c r="F16" s="483" t="s">
        <v>616</v>
      </c>
      <c r="G16" s="476" t="s">
        <v>611</v>
      </c>
      <c r="H16" s="476" t="s">
        <v>612</v>
      </c>
      <c r="I16" s="476" t="s">
        <v>632</v>
      </c>
      <c r="J16" s="476" t="s">
        <v>618</v>
      </c>
      <c r="K16" s="476">
        <v>44</v>
      </c>
      <c r="L16" s="476"/>
      <c r="M16" s="476" t="s">
        <v>76</v>
      </c>
      <c r="N16" s="476" t="s">
        <v>596</v>
      </c>
      <c r="O16" s="481" t="e">
        <f t="shared" si="15"/>
        <v>#DIV/0!</v>
      </c>
      <c r="P16" s="481">
        <f t="shared" si="16"/>
        <v>0</v>
      </c>
      <c r="Q16" s="476"/>
      <c r="R16" s="476" t="s">
        <v>146</v>
      </c>
      <c r="S16" s="476"/>
      <c r="T16" s="476" t="s">
        <v>147</v>
      </c>
      <c r="U16" s="476"/>
      <c r="V16" s="476" t="s">
        <v>597</v>
      </c>
      <c r="W16" s="476"/>
      <c r="X16" s="476" t="s">
        <v>148</v>
      </c>
      <c r="Y16" s="476"/>
      <c r="Z16" s="476" t="s">
        <v>150</v>
      </c>
      <c r="AA16" s="476"/>
      <c r="AB16" s="476" t="s">
        <v>570</v>
      </c>
      <c r="AC16" s="476"/>
      <c r="AD16" s="476" t="s">
        <v>122</v>
      </c>
      <c r="AE16" s="476"/>
      <c r="AF16" s="476" t="s">
        <v>123</v>
      </c>
      <c r="AG16" s="476"/>
      <c r="AH16" s="476"/>
      <c r="AI16" s="476"/>
      <c r="AJ16" s="476">
        <v>1</v>
      </c>
      <c r="AK16" s="476" t="s">
        <v>608</v>
      </c>
      <c r="AL16" s="476"/>
      <c r="AM16" s="476"/>
      <c r="AN16" s="476">
        <v>0.02</v>
      </c>
      <c r="AO16" s="476">
        <v>0.03</v>
      </c>
      <c r="AP16" s="476">
        <v>0.2</v>
      </c>
      <c r="AQ16" s="476">
        <v>0.3</v>
      </c>
      <c r="AR16" s="476">
        <v>0.1</v>
      </c>
      <c r="AS16" s="476">
        <v>0.1</v>
      </c>
      <c r="AT16" s="476">
        <v>0.15</v>
      </c>
      <c r="AU16" s="476">
        <v>0.1</v>
      </c>
      <c r="AV16" s="476">
        <v>120</v>
      </c>
      <c r="AW16" s="476" t="s">
        <v>599</v>
      </c>
      <c r="AX16" s="476" t="s">
        <v>599</v>
      </c>
      <c r="AY16" s="476" t="s">
        <v>599</v>
      </c>
      <c r="AZ16" s="476"/>
      <c r="BA16" s="476"/>
      <c r="BB16" s="476"/>
      <c r="BC16" s="476"/>
      <c r="BD16" s="474" t="e">
        <f>#REF!*#REF!+#REF!*#REF!+#REF!*#REF!+#REF!*#REF!+#REF!*#REF!</f>
        <v>#REF!</v>
      </c>
      <c r="BE16" s="474" t="e">
        <f>#REF!*#REF!*#REF!+#REF!*#REF!*#REF!+#REF!*#REF!*#REF!+#REF!*#REF!*#REF!+#REF!*#REF!*#REF!</f>
        <v>#REF!</v>
      </c>
      <c r="BF16" s="474" t="e">
        <f t="shared" si="17"/>
        <v>#REF!</v>
      </c>
      <c r="BG16" s="474" t="e">
        <f>#REF!*#REF!*#REF!</f>
        <v>#REF!</v>
      </c>
      <c r="BH16" s="474" t="e">
        <f>#REF!*#REF!*#REF!</f>
        <v>#REF!</v>
      </c>
      <c r="BI16" s="474" t="e">
        <f>#REF!*#REF!*#REF!</f>
        <v>#REF!</v>
      </c>
      <c r="BJ16" s="474" t="e">
        <f t="shared" si="18"/>
        <v>#REF!</v>
      </c>
      <c r="BK16" s="474" t="e">
        <f t="shared" si="19"/>
        <v>#REF!</v>
      </c>
      <c r="BL16" s="474" t="e">
        <f>#REF!*#REF!</f>
        <v>#REF!</v>
      </c>
      <c r="BM16" s="474" t="e">
        <f t="shared" si="20"/>
        <v>#REF!</v>
      </c>
      <c r="BN16" s="474" t="e">
        <f>#REF!*#REF!+#REF!*#REF!+#REF!*#REF!+#REF!*#REF!+#REF!*#REF!</f>
        <v>#REF!</v>
      </c>
      <c r="BO16" s="474" t="e">
        <f>#REF!*#REF!*#REF!+#REF!*#REF!*#REF!+#REF!*#REF!*#REF!+#REF!*#REF!*#REF!+#REF!*#REF!*#REF!</f>
        <v>#REF!</v>
      </c>
      <c r="BP16" s="475" t="e">
        <f t="shared" si="21"/>
        <v>#REF!</v>
      </c>
    </row>
    <row r="17" spans="1:68" s="471" customFormat="1" ht="21" customHeight="1" x14ac:dyDescent="0.35">
      <c r="A17" s="476">
        <v>15</v>
      </c>
      <c r="B17" s="476" t="s">
        <v>633</v>
      </c>
      <c r="C17" s="484">
        <v>0</v>
      </c>
      <c r="D17" s="476" t="s">
        <v>610</v>
      </c>
      <c r="E17" s="476"/>
      <c r="F17" s="483" t="s">
        <v>616</v>
      </c>
      <c r="G17" s="476" t="s">
        <v>611</v>
      </c>
      <c r="H17" s="476" t="s">
        <v>612</v>
      </c>
      <c r="I17" s="476" t="s">
        <v>634</v>
      </c>
      <c r="J17" s="476" t="s">
        <v>618</v>
      </c>
      <c r="K17" s="476">
        <v>29</v>
      </c>
      <c r="L17" s="476"/>
      <c r="M17" s="476" t="s">
        <v>76</v>
      </c>
      <c r="N17" s="476" t="s">
        <v>596</v>
      </c>
      <c r="O17" s="481" t="e">
        <f t="shared" si="15"/>
        <v>#DIV/0!</v>
      </c>
      <c r="P17" s="481">
        <f t="shared" si="16"/>
        <v>0</v>
      </c>
      <c r="Q17" s="476"/>
      <c r="R17" s="476" t="s">
        <v>146</v>
      </c>
      <c r="S17" s="476"/>
      <c r="T17" s="476" t="s">
        <v>147</v>
      </c>
      <c r="U17" s="476"/>
      <c r="V17" s="476" t="s">
        <v>597</v>
      </c>
      <c r="W17" s="476"/>
      <c r="X17" s="476" t="s">
        <v>148</v>
      </c>
      <c r="Y17" s="476"/>
      <c r="Z17" s="476" t="s">
        <v>150</v>
      </c>
      <c r="AA17" s="476"/>
      <c r="AB17" s="476" t="s">
        <v>570</v>
      </c>
      <c r="AC17" s="476"/>
      <c r="AD17" s="476" t="s">
        <v>122</v>
      </c>
      <c r="AE17" s="476"/>
      <c r="AF17" s="476" t="s">
        <v>123</v>
      </c>
      <c r="AG17" s="476"/>
      <c r="AH17" s="476"/>
      <c r="AI17" s="476"/>
      <c r="AJ17" s="476">
        <v>1</v>
      </c>
      <c r="AK17" s="476" t="s">
        <v>615</v>
      </c>
      <c r="AL17" s="476"/>
      <c r="AM17" s="476"/>
      <c r="AN17" s="476">
        <v>0.02</v>
      </c>
      <c r="AO17" s="476">
        <v>0.03</v>
      </c>
      <c r="AP17" s="476">
        <v>0.2</v>
      </c>
      <c r="AQ17" s="476">
        <v>0.3</v>
      </c>
      <c r="AR17" s="476">
        <v>0.1</v>
      </c>
      <c r="AS17" s="476">
        <v>0.1</v>
      </c>
      <c r="AT17" s="476">
        <v>0.15</v>
      </c>
      <c r="AU17" s="476">
        <v>0.1</v>
      </c>
      <c r="AV17" s="476">
        <v>120</v>
      </c>
      <c r="AW17" s="476" t="s">
        <v>599</v>
      </c>
      <c r="AX17" s="476" t="s">
        <v>599</v>
      </c>
      <c r="AY17" s="476" t="s">
        <v>599</v>
      </c>
      <c r="AZ17" s="476"/>
      <c r="BA17" s="476"/>
      <c r="BB17" s="476"/>
      <c r="BC17" s="476"/>
      <c r="BD17" s="474" t="e">
        <f>#REF!*#REF!+#REF!*#REF!+#REF!*#REF!+#REF!*#REF!+#REF!*#REF!</f>
        <v>#REF!</v>
      </c>
      <c r="BE17" s="474" t="e">
        <f>#REF!*#REF!*#REF!+#REF!*#REF!*#REF!+#REF!*#REF!*#REF!+#REF!*#REF!*#REF!+#REF!*#REF!*#REF!</f>
        <v>#REF!</v>
      </c>
      <c r="BF17" s="474" t="e">
        <f t="shared" si="17"/>
        <v>#REF!</v>
      </c>
      <c r="BG17" s="474" t="e">
        <f>#REF!*#REF!*#REF!</f>
        <v>#REF!</v>
      </c>
      <c r="BH17" s="474" t="e">
        <f>#REF!*#REF!*#REF!</f>
        <v>#REF!</v>
      </c>
      <c r="BI17" s="474" t="e">
        <f>#REF!*#REF!*#REF!</f>
        <v>#REF!</v>
      </c>
      <c r="BJ17" s="474" t="e">
        <f t="shared" si="18"/>
        <v>#REF!</v>
      </c>
      <c r="BK17" s="474" t="e">
        <f t="shared" si="19"/>
        <v>#REF!</v>
      </c>
      <c r="BL17" s="474" t="e">
        <f>#REF!*#REF!</f>
        <v>#REF!</v>
      </c>
      <c r="BM17" s="474" t="e">
        <f t="shared" si="20"/>
        <v>#REF!</v>
      </c>
      <c r="BN17" s="474" t="e">
        <f>#REF!*#REF!+#REF!*#REF!+#REF!*#REF!+#REF!*#REF!+#REF!*#REF!</f>
        <v>#REF!</v>
      </c>
      <c r="BO17" s="474" t="e">
        <f>#REF!*#REF!*#REF!+#REF!*#REF!*#REF!+#REF!*#REF!*#REF!+#REF!*#REF!*#REF!+#REF!*#REF!*#REF!</f>
        <v>#REF!</v>
      </c>
      <c r="BP17" s="475" t="e">
        <f t="shared" si="21"/>
        <v>#REF!</v>
      </c>
    </row>
    <row r="18" spans="1:68" s="471" customFormat="1" ht="21" customHeight="1" x14ac:dyDescent="0.35">
      <c r="A18" s="476">
        <v>16</v>
      </c>
      <c r="B18" s="476" t="s">
        <v>635</v>
      </c>
      <c r="C18" s="484">
        <v>0</v>
      </c>
      <c r="D18" s="476" t="s">
        <v>610</v>
      </c>
      <c r="E18" s="476"/>
      <c r="F18" s="483" t="s">
        <v>616</v>
      </c>
      <c r="G18" s="476" t="s">
        <v>611</v>
      </c>
      <c r="H18" s="476" t="s">
        <v>612</v>
      </c>
      <c r="I18" s="476" t="s">
        <v>636</v>
      </c>
      <c r="J18" s="476" t="s">
        <v>618</v>
      </c>
      <c r="K18" s="476">
        <v>97</v>
      </c>
      <c r="L18" s="476"/>
      <c r="M18" s="476" t="s">
        <v>76</v>
      </c>
      <c r="N18" s="476" t="s">
        <v>596</v>
      </c>
      <c r="O18" s="481" t="e">
        <f t="shared" si="15"/>
        <v>#DIV/0!</v>
      </c>
      <c r="P18" s="481">
        <f t="shared" si="16"/>
        <v>0</v>
      </c>
      <c r="Q18" s="476"/>
      <c r="R18" s="476" t="s">
        <v>146</v>
      </c>
      <c r="S18" s="476"/>
      <c r="T18" s="476" t="s">
        <v>147</v>
      </c>
      <c r="U18" s="476"/>
      <c r="V18" s="476" t="s">
        <v>597</v>
      </c>
      <c r="W18" s="476"/>
      <c r="X18" s="476" t="s">
        <v>148</v>
      </c>
      <c r="Y18" s="476"/>
      <c r="Z18" s="476" t="s">
        <v>150</v>
      </c>
      <c r="AA18" s="476"/>
      <c r="AB18" s="476" t="s">
        <v>570</v>
      </c>
      <c r="AC18" s="476"/>
      <c r="AD18" s="476" t="s">
        <v>122</v>
      </c>
      <c r="AE18" s="476"/>
      <c r="AF18" s="476" t="s">
        <v>123</v>
      </c>
      <c r="AG18" s="476"/>
      <c r="AH18" s="476"/>
      <c r="AI18" s="476"/>
      <c r="AJ18" s="476">
        <v>1</v>
      </c>
      <c r="AK18" s="476" t="s">
        <v>598</v>
      </c>
      <c r="AL18" s="476"/>
      <c r="AM18" s="476"/>
      <c r="AN18" s="476">
        <v>0.02</v>
      </c>
      <c r="AO18" s="476">
        <v>0.03</v>
      </c>
      <c r="AP18" s="476">
        <v>0.2</v>
      </c>
      <c r="AQ18" s="476">
        <v>0.3</v>
      </c>
      <c r="AR18" s="476">
        <v>0.1</v>
      </c>
      <c r="AS18" s="476">
        <v>0.1</v>
      </c>
      <c r="AT18" s="476">
        <v>0.15</v>
      </c>
      <c r="AU18" s="476">
        <v>0.1</v>
      </c>
      <c r="AV18" s="476">
        <v>120</v>
      </c>
      <c r="AW18" s="476" t="s">
        <v>599</v>
      </c>
      <c r="AX18" s="476" t="s">
        <v>599</v>
      </c>
      <c r="AY18" s="476" t="s">
        <v>599</v>
      </c>
      <c r="AZ18" s="476"/>
      <c r="BA18" s="476"/>
      <c r="BB18" s="476"/>
      <c r="BC18" s="476"/>
      <c r="BD18" s="474" t="e">
        <f>#REF!*#REF!+#REF!*#REF!+#REF!*#REF!+#REF!*#REF!+#REF!*#REF!</f>
        <v>#REF!</v>
      </c>
      <c r="BE18" s="474" t="e">
        <f>#REF!*#REF!*#REF!+#REF!*#REF!*#REF!+#REF!*#REF!*#REF!+#REF!*#REF!*#REF!+#REF!*#REF!*#REF!</f>
        <v>#REF!</v>
      </c>
      <c r="BF18" s="474" t="e">
        <f t="shared" si="17"/>
        <v>#REF!</v>
      </c>
      <c r="BG18" s="474" t="e">
        <f>#REF!*#REF!*#REF!</f>
        <v>#REF!</v>
      </c>
      <c r="BH18" s="474" t="e">
        <f>#REF!*#REF!*#REF!</f>
        <v>#REF!</v>
      </c>
      <c r="BI18" s="474" t="e">
        <f>#REF!*#REF!*#REF!</f>
        <v>#REF!</v>
      </c>
      <c r="BJ18" s="474" t="e">
        <f t="shared" si="18"/>
        <v>#REF!</v>
      </c>
      <c r="BK18" s="474" t="e">
        <f t="shared" si="19"/>
        <v>#REF!</v>
      </c>
      <c r="BL18" s="474" t="e">
        <f>#REF!*#REF!</f>
        <v>#REF!</v>
      </c>
      <c r="BM18" s="474" t="e">
        <f t="shared" si="20"/>
        <v>#REF!</v>
      </c>
      <c r="BN18" s="474" t="e">
        <f>#REF!*#REF!+#REF!*#REF!+#REF!*#REF!+#REF!*#REF!+#REF!*#REF!</f>
        <v>#REF!</v>
      </c>
      <c r="BO18" s="474" t="e">
        <f>#REF!*#REF!*#REF!+#REF!*#REF!*#REF!+#REF!*#REF!*#REF!+#REF!*#REF!*#REF!+#REF!*#REF!*#REF!</f>
        <v>#REF!</v>
      </c>
      <c r="BP18" s="475" t="e">
        <f t="shared" si="21"/>
        <v>#REF!</v>
      </c>
    </row>
    <row r="19" spans="1:68" s="471" customFormat="1" ht="21" customHeight="1" x14ac:dyDescent="0.35">
      <c r="A19" s="476">
        <v>17</v>
      </c>
      <c r="B19" s="476" t="s">
        <v>637</v>
      </c>
      <c r="C19" s="484">
        <v>0</v>
      </c>
      <c r="D19" s="476" t="s">
        <v>610</v>
      </c>
      <c r="E19" s="476"/>
      <c r="F19" s="483" t="s">
        <v>616</v>
      </c>
      <c r="G19" s="476" t="s">
        <v>611</v>
      </c>
      <c r="H19" s="476" t="s">
        <v>612</v>
      </c>
      <c r="I19" s="476" t="s">
        <v>638</v>
      </c>
      <c r="J19" s="476" t="s">
        <v>618</v>
      </c>
      <c r="K19" s="476">
        <v>32</v>
      </c>
      <c r="L19" s="476"/>
      <c r="M19" s="476" t="s">
        <v>76</v>
      </c>
      <c r="N19" s="476" t="s">
        <v>596</v>
      </c>
      <c r="O19" s="481" t="e">
        <f t="shared" si="15"/>
        <v>#DIV/0!</v>
      </c>
      <c r="P19" s="481">
        <f t="shared" si="16"/>
        <v>0</v>
      </c>
      <c r="Q19" s="476"/>
      <c r="R19" s="476" t="s">
        <v>146</v>
      </c>
      <c r="S19" s="476"/>
      <c r="T19" s="476" t="s">
        <v>147</v>
      </c>
      <c r="U19" s="476"/>
      <c r="V19" s="476" t="s">
        <v>597</v>
      </c>
      <c r="W19" s="476"/>
      <c r="X19" s="476" t="s">
        <v>148</v>
      </c>
      <c r="Y19" s="476"/>
      <c r="Z19" s="476" t="s">
        <v>150</v>
      </c>
      <c r="AA19" s="476"/>
      <c r="AB19" s="476" t="s">
        <v>570</v>
      </c>
      <c r="AC19" s="476"/>
      <c r="AD19" s="476" t="s">
        <v>122</v>
      </c>
      <c r="AE19" s="476"/>
      <c r="AF19" s="476" t="s">
        <v>123</v>
      </c>
      <c r="AG19" s="476"/>
      <c r="AH19" s="476"/>
      <c r="AI19" s="476"/>
      <c r="AJ19" s="476">
        <v>1</v>
      </c>
      <c r="AK19" s="476" t="s">
        <v>602</v>
      </c>
      <c r="AL19" s="476"/>
      <c r="AM19" s="476"/>
      <c r="AN19" s="476">
        <v>0.02</v>
      </c>
      <c r="AO19" s="476">
        <v>0.03</v>
      </c>
      <c r="AP19" s="476">
        <v>0.2</v>
      </c>
      <c r="AQ19" s="476">
        <v>0.3</v>
      </c>
      <c r="AR19" s="476">
        <v>0.1</v>
      </c>
      <c r="AS19" s="476">
        <v>0.1</v>
      </c>
      <c r="AT19" s="476">
        <v>0.15</v>
      </c>
      <c r="AU19" s="476">
        <v>0.1</v>
      </c>
      <c r="AV19" s="476">
        <v>120</v>
      </c>
      <c r="AW19" s="476" t="s">
        <v>599</v>
      </c>
      <c r="AX19" s="476" t="s">
        <v>599</v>
      </c>
      <c r="AY19" s="476" t="s">
        <v>599</v>
      </c>
      <c r="AZ19" s="476"/>
      <c r="BA19" s="476"/>
      <c r="BB19" s="476"/>
      <c r="BC19" s="476"/>
      <c r="BD19" s="474" t="e">
        <f>#REF!*#REF!+#REF!*#REF!+#REF!*#REF!+#REF!*#REF!+#REF!*#REF!</f>
        <v>#REF!</v>
      </c>
      <c r="BE19" s="474" t="e">
        <f>#REF!*#REF!*#REF!+#REF!*#REF!*#REF!+#REF!*#REF!*#REF!+#REF!*#REF!*#REF!+#REF!*#REF!*#REF!</f>
        <v>#REF!</v>
      </c>
      <c r="BF19" s="474" t="e">
        <f t="shared" si="17"/>
        <v>#REF!</v>
      </c>
      <c r="BG19" s="474" t="e">
        <f>#REF!*#REF!*#REF!</f>
        <v>#REF!</v>
      </c>
      <c r="BH19" s="474" t="e">
        <f>#REF!*#REF!*#REF!</f>
        <v>#REF!</v>
      </c>
      <c r="BI19" s="474" t="e">
        <f>#REF!*#REF!*#REF!</f>
        <v>#REF!</v>
      </c>
      <c r="BJ19" s="474" t="e">
        <f t="shared" si="18"/>
        <v>#REF!</v>
      </c>
      <c r="BK19" s="474" t="e">
        <f t="shared" si="19"/>
        <v>#REF!</v>
      </c>
      <c r="BL19" s="474" t="e">
        <f>#REF!*#REF!</f>
        <v>#REF!</v>
      </c>
      <c r="BM19" s="474" t="e">
        <f t="shared" si="20"/>
        <v>#REF!</v>
      </c>
      <c r="BN19" s="474" t="e">
        <f>#REF!*#REF!+#REF!*#REF!+#REF!*#REF!+#REF!*#REF!+#REF!*#REF!</f>
        <v>#REF!</v>
      </c>
      <c r="BO19" s="474" t="e">
        <f>#REF!*#REF!*#REF!+#REF!*#REF!*#REF!+#REF!*#REF!*#REF!+#REF!*#REF!*#REF!+#REF!*#REF!*#REF!</f>
        <v>#REF!</v>
      </c>
      <c r="BP19" s="475" t="e">
        <f t="shared" si="21"/>
        <v>#REF!</v>
      </c>
    </row>
    <row r="20" spans="1:68" s="471" customFormat="1" ht="21" customHeight="1" x14ac:dyDescent="0.35">
      <c r="A20" s="476">
        <v>18</v>
      </c>
      <c r="B20" s="476" t="s">
        <v>639</v>
      </c>
      <c r="C20" s="484">
        <v>0</v>
      </c>
      <c r="D20" s="476" t="s">
        <v>640</v>
      </c>
      <c r="E20" s="476"/>
      <c r="F20" s="483" t="s">
        <v>641</v>
      </c>
      <c r="G20" s="476" t="s">
        <v>642</v>
      </c>
      <c r="H20" s="476" t="s">
        <v>643</v>
      </c>
      <c r="I20" s="476" t="s">
        <v>644</v>
      </c>
      <c r="J20" s="476" t="s">
        <v>595</v>
      </c>
      <c r="K20" s="476">
        <v>32</v>
      </c>
      <c r="L20" s="476"/>
      <c r="M20" s="476" t="s">
        <v>76</v>
      </c>
      <c r="N20" s="476" t="s">
        <v>645</v>
      </c>
      <c r="O20" s="481" t="e">
        <f t="shared" si="15"/>
        <v>#DIV/0!</v>
      </c>
      <c r="P20" s="481">
        <f t="shared" si="16"/>
        <v>0</v>
      </c>
      <c r="Q20" s="476"/>
      <c r="R20" s="476" t="s">
        <v>146</v>
      </c>
      <c r="S20" s="476"/>
      <c r="T20" s="476" t="s">
        <v>147</v>
      </c>
      <c r="U20" s="476"/>
      <c r="V20" s="476" t="s">
        <v>597</v>
      </c>
      <c r="W20" s="476"/>
      <c r="X20" s="476" t="s">
        <v>148</v>
      </c>
      <c r="Y20" s="476"/>
      <c r="Z20" s="476" t="s">
        <v>646</v>
      </c>
      <c r="AA20" s="476"/>
      <c r="AB20" s="476" t="s">
        <v>647</v>
      </c>
      <c r="AC20" s="476"/>
      <c r="AD20" s="476" t="s">
        <v>122</v>
      </c>
      <c r="AE20" s="476"/>
      <c r="AF20" s="476" t="s">
        <v>123</v>
      </c>
      <c r="AG20" s="476"/>
      <c r="AH20" s="476"/>
      <c r="AI20" s="476" t="s">
        <v>648</v>
      </c>
      <c r="AJ20" s="476">
        <v>1</v>
      </c>
      <c r="AK20" s="476" t="s">
        <v>605</v>
      </c>
      <c r="AL20" s="476"/>
      <c r="AM20" s="476"/>
      <c r="AN20" s="476">
        <v>0.02</v>
      </c>
      <c r="AO20" s="476">
        <v>0.03</v>
      </c>
      <c r="AP20" s="476">
        <v>0.2</v>
      </c>
      <c r="AQ20" s="476">
        <v>0.3</v>
      </c>
      <c r="AR20" s="476">
        <v>0.1</v>
      </c>
      <c r="AS20" s="476">
        <v>0.1</v>
      </c>
      <c r="AT20" s="476">
        <v>0.15</v>
      </c>
      <c r="AU20" s="476">
        <v>0.1</v>
      </c>
      <c r="AV20" s="476">
        <v>401</v>
      </c>
      <c r="AW20" s="476" t="s">
        <v>649</v>
      </c>
      <c r="AX20" s="476" t="s">
        <v>599</v>
      </c>
      <c r="AY20" s="476" t="s">
        <v>599</v>
      </c>
      <c r="AZ20" s="476"/>
      <c r="BA20" s="476"/>
      <c r="BB20" s="476"/>
      <c r="BC20" s="476"/>
      <c r="BD20" s="474" t="e">
        <f>#REF!*#REF!+#REF!*#REF!+#REF!*#REF!+#REF!*#REF!+#REF!*#REF!</f>
        <v>#REF!</v>
      </c>
      <c r="BE20" s="474" t="e">
        <f>#REF!*#REF!*#REF!+#REF!*#REF!*#REF!+#REF!*#REF!*#REF!+#REF!*#REF!*#REF!+#REF!*#REF!*#REF!</f>
        <v>#REF!</v>
      </c>
      <c r="BF20" s="474" t="e">
        <f t="shared" si="17"/>
        <v>#REF!</v>
      </c>
      <c r="BG20" s="474" t="e">
        <f>#REF!*#REF!*#REF!</f>
        <v>#REF!</v>
      </c>
      <c r="BH20" s="474" t="e">
        <f>#REF!*#REF!*#REF!</f>
        <v>#REF!</v>
      </c>
      <c r="BI20" s="474" t="e">
        <f>#REF!*#REF!*#REF!</f>
        <v>#REF!</v>
      </c>
      <c r="BJ20" s="474" t="e">
        <f t="shared" si="18"/>
        <v>#REF!</v>
      </c>
      <c r="BK20" s="474" t="e">
        <f t="shared" si="19"/>
        <v>#REF!</v>
      </c>
      <c r="BL20" s="474" t="e">
        <f>#REF!*#REF!</f>
        <v>#REF!</v>
      </c>
      <c r="BM20" s="474" t="e">
        <f t="shared" si="20"/>
        <v>#REF!</v>
      </c>
      <c r="BN20" s="474" t="e">
        <f>#REF!*#REF!+#REF!*#REF!+#REF!*#REF!+#REF!*#REF!+#REF!*#REF!</f>
        <v>#REF!</v>
      </c>
      <c r="BO20" s="474" t="e">
        <f>#REF!*#REF!*#REF!+#REF!*#REF!*#REF!+#REF!*#REF!*#REF!+#REF!*#REF!*#REF!+#REF!*#REF!*#REF!</f>
        <v>#REF!</v>
      </c>
      <c r="BP20" s="475" t="e">
        <f t="shared" si="21"/>
        <v>#REF!</v>
      </c>
    </row>
    <row r="21" spans="1:68" s="471" customFormat="1" ht="21" customHeight="1" x14ac:dyDescent="0.35">
      <c r="A21" s="476">
        <v>19</v>
      </c>
      <c r="B21" s="476" t="s">
        <v>650</v>
      </c>
      <c r="C21" s="484">
        <v>0</v>
      </c>
      <c r="D21" s="476" t="s">
        <v>640</v>
      </c>
      <c r="E21" s="476"/>
      <c r="F21" s="483" t="s">
        <v>641</v>
      </c>
      <c r="G21" s="476" t="s">
        <v>642</v>
      </c>
      <c r="H21" s="476" t="s">
        <v>643</v>
      </c>
      <c r="I21" s="476" t="s">
        <v>651</v>
      </c>
      <c r="J21" s="476" t="s">
        <v>595</v>
      </c>
      <c r="K21" s="476">
        <v>63</v>
      </c>
      <c r="L21" s="476"/>
      <c r="M21" s="476" t="s">
        <v>76</v>
      </c>
      <c r="N21" s="476" t="s">
        <v>645</v>
      </c>
      <c r="O21" s="481" t="e">
        <f t="shared" si="15"/>
        <v>#DIV/0!</v>
      </c>
      <c r="P21" s="481">
        <f t="shared" si="16"/>
        <v>0</v>
      </c>
      <c r="Q21" s="476"/>
      <c r="R21" s="476" t="s">
        <v>146</v>
      </c>
      <c r="S21" s="476"/>
      <c r="T21" s="476" t="s">
        <v>147</v>
      </c>
      <c r="U21" s="476"/>
      <c r="V21" s="476" t="s">
        <v>597</v>
      </c>
      <c r="W21" s="476"/>
      <c r="X21" s="476" t="s">
        <v>148</v>
      </c>
      <c r="Y21" s="476"/>
      <c r="Z21" s="476" t="s">
        <v>646</v>
      </c>
      <c r="AA21" s="476"/>
      <c r="AB21" s="476" t="s">
        <v>647</v>
      </c>
      <c r="AC21" s="476"/>
      <c r="AD21" s="476" t="s">
        <v>122</v>
      </c>
      <c r="AE21" s="476"/>
      <c r="AF21" s="476" t="s">
        <v>123</v>
      </c>
      <c r="AG21" s="476"/>
      <c r="AH21" s="476"/>
      <c r="AI21" s="476" t="s">
        <v>648</v>
      </c>
      <c r="AJ21" s="476">
        <v>1</v>
      </c>
      <c r="AK21" s="476" t="s">
        <v>608</v>
      </c>
      <c r="AL21" s="476"/>
      <c r="AM21" s="476"/>
      <c r="AN21" s="476">
        <v>0.02</v>
      </c>
      <c r="AO21" s="476">
        <v>0.03</v>
      </c>
      <c r="AP21" s="476">
        <v>0.2</v>
      </c>
      <c r="AQ21" s="476">
        <v>0.3</v>
      </c>
      <c r="AR21" s="476">
        <v>0.1</v>
      </c>
      <c r="AS21" s="476">
        <v>0.1</v>
      </c>
      <c r="AT21" s="476">
        <v>0.15</v>
      </c>
      <c r="AU21" s="476">
        <v>0.1</v>
      </c>
      <c r="AV21" s="476">
        <v>401</v>
      </c>
      <c r="AW21" s="476" t="s">
        <v>649</v>
      </c>
      <c r="AX21" s="476" t="s">
        <v>599</v>
      </c>
      <c r="AY21" s="476" t="s">
        <v>599</v>
      </c>
      <c r="AZ21" s="476"/>
      <c r="BA21" s="476"/>
      <c r="BB21" s="476"/>
      <c r="BC21" s="476"/>
      <c r="BD21" s="474" t="e">
        <f>#REF!*#REF!+#REF!*#REF!+#REF!*#REF!+#REF!*#REF!+#REF!*#REF!</f>
        <v>#REF!</v>
      </c>
      <c r="BE21" s="474" t="e">
        <f>#REF!*#REF!*#REF!+#REF!*#REF!*#REF!+#REF!*#REF!*#REF!+#REF!*#REF!*#REF!+#REF!*#REF!*#REF!</f>
        <v>#REF!</v>
      </c>
      <c r="BF21" s="474" t="e">
        <f t="shared" si="17"/>
        <v>#REF!</v>
      </c>
      <c r="BG21" s="474" t="e">
        <f>#REF!*#REF!*#REF!</f>
        <v>#REF!</v>
      </c>
      <c r="BH21" s="474" t="e">
        <f>#REF!*#REF!*#REF!</f>
        <v>#REF!</v>
      </c>
      <c r="BI21" s="474" t="e">
        <f>#REF!*#REF!*#REF!</f>
        <v>#REF!</v>
      </c>
      <c r="BJ21" s="474" t="e">
        <f t="shared" si="18"/>
        <v>#REF!</v>
      </c>
      <c r="BK21" s="474" t="e">
        <f t="shared" si="19"/>
        <v>#REF!</v>
      </c>
      <c r="BL21" s="474" t="e">
        <f>#REF!*#REF!</f>
        <v>#REF!</v>
      </c>
      <c r="BM21" s="474" t="e">
        <f t="shared" si="20"/>
        <v>#REF!</v>
      </c>
      <c r="BN21" s="474" t="e">
        <f>#REF!*#REF!+#REF!*#REF!+#REF!*#REF!+#REF!*#REF!+#REF!*#REF!</f>
        <v>#REF!</v>
      </c>
      <c r="BO21" s="474" t="e">
        <f>#REF!*#REF!*#REF!+#REF!*#REF!*#REF!+#REF!*#REF!*#REF!+#REF!*#REF!*#REF!+#REF!*#REF!*#REF!</f>
        <v>#REF!</v>
      </c>
      <c r="BP21" s="475" t="e">
        <f t="shared" si="21"/>
        <v>#REF!</v>
      </c>
    </row>
    <row r="22" spans="1:68" s="471" customFormat="1" ht="21" customHeight="1" x14ac:dyDescent="0.35">
      <c r="A22" s="476">
        <v>20</v>
      </c>
      <c r="B22" s="476" t="s">
        <v>652</v>
      </c>
      <c r="C22" s="484">
        <v>0</v>
      </c>
      <c r="D22" s="476" t="s">
        <v>640</v>
      </c>
      <c r="E22" s="476"/>
      <c r="F22" s="483" t="s">
        <v>641</v>
      </c>
      <c r="G22" s="476" t="s">
        <v>642</v>
      </c>
      <c r="H22" s="476" t="s">
        <v>643</v>
      </c>
      <c r="I22" s="476" t="s">
        <v>653</v>
      </c>
      <c r="J22" s="476" t="s">
        <v>595</v>
      </c>
      <c r="K22" s="476">
        <v>53</v>
      </c>
      <c r="L22" s="476"/>
      <c r="M22" s="476" t="s">
        <v>76</v>
      </c>
      <c r="N22" s="476" t="s">
        <v>645</v>
      </c>
      <c r="O22" s="481" t="e">
        <f t="shared" si="15"/>
        <v>#DIV/0!</v>
      </c>
      <c r="P22" s="481">
        <f t="shared" si="16"/>
        <v>0</v>
      </c>
      <c r="Q22" s="476"/>
      <c r="R22" s="476" t="s">
        <v>146</v>
      </c>
      <c r="S22" s="476"/>
      <c r="T22" s="476" t="s">
        <v>147</v>
      </c>
      <c r="U22" s="476"/>
      <c r="V22" s="476" t="s">
        <v>597</v>
      </c>
      <c r="W22" s="476"/>
      <c r="X22" s="476" t="s">
        <v>148</v>
      </c>
      <c r="Y22" s="476"/>
      <c r="Z22" s="476" t="s">
        <v>646</v>
      </c>
      <c r="AA22" s="476"/>
      <c r="AB22" s="476" t="s">
        <v>647</v>
      </c>
      <c r="AC22" s="476"/>
      <c r="AD22" s="476" t="s">
        <v>122</v>
      </c>
      <c r="AE22" s="476"/>
      <c r="AF22" s="476" t="s">
        <v>123</v>
      </c>
      <c r="AG22" s="476"/>
      <c r="AH22" s="476"/>
      <c r="AI22" s="476" t="s">
        <v>648</v>
      </c>
      <c r="AJ22" s="476">
        <v>1</v>
      </c>
      <c r="AK22" s="476" t="s">
        <v>615</v>
      </c>
      <c r="AL22" s="476"/>
      <c r="AM22" s="476"/>
      <c r="AN22" s="476">
        <v>0.02</v>
      </c>
      <c r="AO22" s="476">
        <v>0.03</v>
      </c>
      <c r="AP22" s="476">
        <v>0.2</v>
      </c>
      <c r="AQ22" s="476">
        <v>0.3</v>
      </c>
      <c r="AR22" s="476">
        <v>0.1</v>
      </c>
      <c r="AS22" s="476">
        <v>0.1</v>
      </c>
      <c r="AT22" s="476">
        <v>0.15</v>
      </c>
      <c r="AU22" s="476">
        <v>0.1</v>
      </c>
      <c r="AV22" s="476">
        <v>401</v>
      </c>
      <c r="AW22" s="476" t="s">
        <v>649</v>
      </c>
      <c r="AX22" s="476" t="s">
        <v>599</v>
      </c>
      <c r="AY22" s="476" t="s">
        <v>599</v>
      </c>
      <c r="AZ22" s="476"/>
      <c r="BA22" s="476"/>
      <c r="BB22" s="476"/>
      <c r="BC22" s="476"/>
      <c r="BD22" s="474" t="e">
        <f>#REF!*#REF!+#REF!*#REF!+#REF!*#REF!+#REF!*#REF!+#REF!*#REF!</f>
        <v>#REF!</v>
      </c>
      <c r="BE22" s="474" t="e">
        <f>#REF!*#REF!*#REF!+#REF!*#REF!*#REF!+#REF!*#REF!*#REF!+#REF!*#REF!*#REF!+#REF!*#REF!*#REF!</f>
        <v>#REF!</v>
      </c>
      <c r="BF22" s="474" t="e">
        <f t="shared" si="17"/>
        <v>#REF!</v>
      </c>
      <c r="BG22" s="474" t="e">
        <f>#REF!*#REF!*#REF!</f>
        <v>#REF!</v>
      </c>
      <c r="BH22" s="474" t="e">
        <f>#REF!*#REF!*#REF!</f>
        <v>#REF!</v>
      </c>
      <c r="BI22" s="474" t="e">
        <f>#REF!*#REF!*#REF!</f>
        <v>#REF!</v>
      </c>
      <c r="BJ22" s="474" t="e">
        <f t="shared" si="18"/>
        <v>#REF!</v>
      </c>
      <c r="BK22" s="474" t="e">
        <f t="shared" si="19"/>
        <v>#REF!</v>
      </c>
      <c r="BL22" s="474" t="e">
        <f>#REF!*#REF!</f>
        <v>#REF!</v>
      </c>
      <c r="BM22" s="474" t="e">
        <f t="shared" si="20"/>
        <v>#REF!</v>
      </c>
      <c r="BN22" s="474" t="e">
        <f>#REF!*#REF!+#REF!*#REF!+#REF!*#REF!+#REF!*#REF!+#REF!*#REF!</f>
        <v>#REF!</v>
      </c>
      <c r="BO22" s="474" t="e">
        <f>#REF!*#REF!*#REF!+#REF!*#REF!*#REF!+#REF!*#REF!*#REF!+#REF!*#REF!*#REF!+#REF!*#REF!*#REF!</f>
        <v>#REF!</v>
      </c>
      <c r="BP22" s="475" t="e">
        <f t="shared" si="21"/>
        <v>#REF!</v>
      </c>
    </row>
    <row r="23" spans="1:68" s="471" customFormat="1" ht="21" customHeight="1" x14ac:dyDescent="0.35">
      <c r="A23" s="476">
        <v>21</v>
      </c>
      <c r="B23" s="476" t="s">
        <v>654</v>
      </c>
      <c r="C23" s="484">
        <v>0</v>
      </c>
      <c r="D23" s="476" t="s">
        <v>640</v>
      </c>
      <c r="E23" s="476"/>
      <c r="F23" s="483" t="s">
        <v>641</v>
      </c>
      <c r="G23" s="476" t="s">
        <v>642</v>
      </c>
      <c r="H23" s="476" t="s">
        <v>643</v>
      </c>
      <c r="I23" s="476" t="s">
        <v>655</v>
      </c>
      <c r="J23" s="476" t="s">
        <v>595</v>
      </c>
      <c r="K23" s="476">
        <v>80</v>
      </c>
      <c r="L23" s="476"/>
      <c r="M23" s="476" t="s">
        <v>76</v>
      </c>
      <c r="N23" s="476" t="s">
        <v>645</v>
      </c>
      <c r="O23" s="481" t="e">
        <f t="shared" si="15"/>
        <v>#DIV/0!</v>
      </c>
      <c r="P23" s="481">
        <f t="shared" si="16"/>
        <v>0</v>
      </c>
      <c r="Q23" s="476"/>
      <c r="R23" s="476" t="s">
        <v>146</v>
      </c>
      <c r="S23" s="476"/>
      <c r="T23" s="476" t="s">
        <v>147</v>
      </c>
      <c r="U23" s="476"/>
      <c r="V23" s="476" t="s">
        <v>597</v>
      </c>
      <c r="W23" s="476"/>
      <c r="X23" s="476" t="s">
        <v>148</v>
      </c>
      <c r="Y23" s="476"/>
      <c r="Z23" s="476" t="s">
        <v>646</v>
      </c>
      <c r="AA23" s="476"/>
      <c r="AB23" s="476" t="s">
        <v>647</v>
      </c>
      <c r="AC23" s="476"/>
      <c r="AD23" s="476" t="s">
        <v>122</v>
      </c>
      <c r="AE23" s="476"/>
      <c r="AF23" s="476" t="s">
        <v>123</v>
      </c>
      <c r="AG23" s="476"/>
      <c r="AH23" s="476"/>
      <c r="AI23" s="476" t="s">
        <v>648</v>
      </c>
      <c r="AJ23" s="476">
        <v>1</v>
      </c>
      <c r="AK23" s="476" t="s">
        <v>598</v>
      </c>
      <c r="AL23" s="476"/>
      <c r="AM23" s="476"/>
      <c r="AN23" s="476">
        <v>0.02</v>
      </c>
      <c r="AO23" s="476">
        <v>0.03</v>
      </c>
      <c r="AP23" s="476">
        <v>0.2</v>
      </c>
      <c r="AQ23" s="476">
        <v>0.3</v>
      </c>
      <c r="AR23" s="476">
        <v>0.1</v>
      </c>
      <c r="AS23" s="476">
        <v>0.1</v>
      </c>
      <c r="AT23" s="476">
        <v>0.15</v>
      </c>
      <c r="AU23" s="476">
        <v>0.1</v>
      </c>
      <c r="AV23" s="476">
        <v>401</v>
      </c>
      <c r="AW23" s="476" t="s">
        <v>649</v>
      </c>
      <c r="AX23" s="476" t="s">
        <v>599</v>
      </c>
      <c r="AY23" s="476" t="s">
        <v>599</v>
      </c>
      <c r="AZ23" s="476"/>
      <c r="BA23" s="476"/>
      <c r="BB23" s="476"/>
      <c r="BC23" s="476"/>
      <c r="BD23" s="474" t="e">
        <f>#REF!*#REF!+#REF!*#REF!+#REF!*#REF!+#REF!*#REF!+#REF!*#REF!</f>
        <v>#REF!</v>
      </c>
      <c r="BE23" s="474" t="e">
        <f>#REF!*#REF!*#REF!+#REF!*#REF!*#REF!+#REF!*#REF!*#REF!+#REF!*#REF!*#REF!+#REF!*#REF!*#REF!</f>
        <v>#REF!</v>
      </c>
      <c r="BF23" s="474" t="e">
        <f t="shared" si="17"/>
        <v>#REF!</v>
      </c>
      <c r="BG23" s="474" t="e">
        <f>#REF!*#REF!*#REF!</f>
        <v>#REF!</v>
      </c>
      <c r="BH23" s="474" t="e">
        <f>#REF!*#REF!*#REF!</f>
        <v>#REF!</v>
      </c>
      <c r="BI23" s="474" t="e">
        <f>#REF!*#REF!*#REF!</f>
        <v>#REF!</v>
      </c>
      <c r="BJ23" s="474" t="e">
        <f t="shared" si="18"/>
        <v>#REF!</v>
      </c>
      <c r="BK23" s="474" t="e">
        <f t="shared" si="19"/>
        <v>#REF!</v>
      </c>
      <c r="BL23" s="474" t="e">
        <f>#REF!*#REF!</f>
        <v>#REF!</v>
      </c>
      <c r="BM23" s="474" t="e">
        <f t="shared" si="20"/>
        <v>#REF!</v>
      </c>
      <c r="BN23" s="474" t="e">
        <f>#REF!*#REF!+#REF!*#REF!+#REF!*#REF!+#REF!*#REF!+#REF!*#REF!</f>
        <v>#REF!</v>
      </c>
      <c r="BO23" s="474" t="e">
        <f>#REF!*#REF!*#REF!+#REF!*#REF!*#REF!+#REF!*#REF!*#REF!+#REF!*#REF!*#REF!+#REF!*#REF!*#REF!</f>
        <v>#REF!</v>
      </c>
      <c r="BP23" s="475" t="e">
        <f t="shared" si="21"/>
        <v>#REF!</v>
      </c>
    </row>
    <row r="24" spans="1:68" s="471" customFormat="1" ht="21" customHeight="1" x14ac:dyDescent="0.35">
      <c r="A24" s="476">
        <v>22</v>
      </c>
      <c r="B24" s="476" t="s">
        <v>656</v>
      </c>
      <c r="C24" s="484">
        <v>0</v>
      </c>
      <c r="D24" s="476" t="s">
        <v>640</v>
      </c>
      <c r="E24" s="476"/>
      <c r="F24" s="483" t="s">
        <v>641</v>
      </c>
      <c r="G24" s="476" t="s">
        <v>642</v>
      </c>
      <c r="H24" s="476" t="s">
        <v>643</v>
      </c>
      <c r="I24" s="476" t="s">
        <v>657</v>
      </c>
      <c r="J24" s="476" t="s">
        <v>595</v>
      </c>
      <c r="K24" s="476">
        <v>54</v>
      </c>
      <c r="L24" s="476"/>
      <c r="M24" s="476" t="s">
        <v>76</v>
      </c>
      <c r="N24" s="476" t="s">
        <v>645</v>
      </c>
      <c r="O24" s="481" t="e">
        <f t="shared" si="15"/>
        <v>#DIV/0!</v>
      </c>
      <c r="P24" s="481">
        <f t="shared" si="16"/>
        <v>0</v>
      </c>
      <c r="Q24" s="476"/>
      <c r="R24" s="476" t="s">
        <v>146</v>
      </c>
      <c r="S24" s="476"/>
      <c r="T24" s="476" t="s">
        <v>147</v>
      </c>
      <c r="U24" s="476"/>
      <c r="V24" s="476" t="s">
        <v>597</v>
      </c>
      <c r="W24" s="476"/>
      <c r="X24" s="476" t="s">
        <v>148</v>
      </c>
      <c r="Y24" s="476"/>
      <c r="Z24" s="476" t="s">
        <v>646</v>
      </c>
      <c r="AA24" s="476"/>
      <c r="AB24" s="476" t="s">
        <v>647</v>
      </c>
      <c r="AC24" s="476"/>
      <c r="AD24" s="476" t="s">
        <v>122</v>
      </c>
      <c r="AE24" s="476"/>
      <c r="AF24" s="476" t="s">
        <v>123</v>
      </c>
      <c r="AG24" s="476"/>
      <c r="AH24" s="476"/>
      <c r="AI24" s="476" t="s">
        <v>648</v>
      </c>
      <c r="AJ24" s="476">
        <v>1</v>
      </c>
      <c r="AK24" s="476" t="s">
        <v>602</v>
      </c>
      <c r="AL24" s="476"/>
      <c r="AM24" s="476"/>
      <c r="AN24" s="476">
        <v>0.02</v>
      </c>
      <c r="AO24" s="476">
        <v>0.03</v>
      </c>
      <c r="AP24" s="476">
        <v>0.2</v>
      </c>
      <c r="AQ24" s="476">
        <v>0.3</v>
      </c>
      <c r="AR24" s="476">
        <v>0.1</v>
      </c>
      <c r="AS24" s="476">
        <v>0.1</v>
      </c>
      <c r="AT24" s="476">
        <v>0.15</v>
      </c>
      <c r="AU24" s="476">
        <v>0.1</v>
      </c>
      <c r="AV24" s="476">
        <v>401</v>
      </c>
      <c r="AW24" s="476" t="s">
        <v>649</v>
      </c>
      <c r="AX24" s="476" t="s">
        <v>599</v>
      </c>
      <c r="AY24" s="476" t="s">
        <v>599</v>
      </c>
      <c r="AZ24" s="476"/>
      <c r="BA24" s="476"/>
      <c r="BB24" s="476"/>
      <c r="BC24" s="476"/>
      <c r="BD24" s="474" t="e">
        <f>#REF!*#REF!+#REF!*#REF!+#REF!*#REF!+#REF!*#REF!+#REF!*#REF!</f>
        <v>#REF!</v>
      </c>
      <c r="BE24" s="474" t="e">
        <f>#REF!*#REF!*#REF!+#REF!*#REF!*#REF!+#REF!*#REF!*#REF!+#REF!*#REF!*#REF!+#REF!*#REF!*#REF!</f>
        <v>#REF!</v>
      </c>
      <c r="BF24" s="474" t="e">
        <f t="shared" si="17"/>
        <v>#REF!</v>
      </c>
      <c r="BG24" s="474" t="e">
        <f>#REF!*#REF!*#REF!</f>
        <v>#REF!</v>
      </c>
      <c r="BH24" s="474" t="e">
        <f>#REF!*#REF!*#REF!</f>
        <v>#REF!</v>
      </c>
      <c r="BI24" s="474" t="e">
        <f>#REF!*#REF!*#REF!</f>
        <v>#REF!</v>
      </c>
      <c r="BJ24" s="474" t="e">
        <f t="shared" si="18"/>
        <v>#REF!</v>
      </c>
      <c r="BK24" s="474" t="e">
        <f t="shared" si="19"/>
        <v>#REF!</v>
      </c>
      <c r="BL24" s="474" t="e">
        <f>#REF!*#REF!</f>
        <v>#REF!</v>
      </c>
      <c r="BM24" s="474" t="e">
        <f t="shared" si="20"/>
        <v>#REF!</v>
      </c>
      <c r="BN24" s="474" t="e">
        <f>#REF!*#REF!+#REF!*#REF!+#REF!*#REF!+#REF!*#REF!+#REF!*#REF!</f>
        <v>#REF!</v>
      </c>
      <c r="BO24" s="474" t="e">
        <f>#REF!*#REF!*#REF!+#REF!*#REF!*#REF!+#REF!*#REF!*#REF!+#REF!*#REF!*#REF!+#REF!*#REF!*#REF!</f>
        <v>#REF!</v>
      </c>
      <c r="BP24" s="475" t="e">
        <f t="shared" si="21"/>
        <v>#REF!</v>
      </c>
    </row>
    <row r="25" spans="1:68" s="471" customFormat="1" ht="21" customHeight="1" x14ac:dyDescent="0.35">
      <c r="A25" s="476">
        <v>23</v>
      </c>
      <c r="B25" s="476" t="s">
        <v>658</v>
      </c>
      <c r="C25" s="484">
        <v>0</v>
      </c>
      <c r="D25" s="476" t="s">
        <v>640</v>
      </c>
      <c r="E25" s="476"/>
      <c r="F25" s="483" t="s">
        <v>641</v>
      </c>
      <c r="G25" s="476" t="s">
        <v>642</v>
      </c>
      <c r="H25" s="476" t="s">
        <v>643</v>
      </c>
      <c r="I25" s="476" t="s">
        <v>659</v>
      </c>
      <c r="J25" s="476" t="s">
        <v>595</v>
      </c>
      <c r="K25" s="476">
        <v>43</v>
      </c>
      <c r="L25" s="476"/>
      <c r="M25" s="476" t="s">
        <v>76</v>
      </c>
      <c r="N25" s="476" t="s">
        <v>645</v>
      </c>
      <c r="O25" s="481" t="e">
        <f t="shared" si="15"/>
        <v>#DIV/0!</v>
      </c>
      <c r="P25" s="481">
        <f t="shared" si="16"/>
        <v>0</v>
      </c>
      <c r="Q25" s="476"/>
      <c r="R25" s="476" t="s">
        <v>146</v>
      </c>
      <c r="S25" s="476"/>
      <c r="T25" s="476" t="s">
        <v>147</v>
      </c>
      <c r="U25" s="476"/>
      <c r="V25" s="476" t="s">
        <v>597</v>
      </c>
      <c r="W25" s="476"/>
      <c r="X25" s="476" t="s">
        <v>148</v>
      </c>
      <c r="Y25" s="476"/>
      <c r="Z25" s="476" t="s">
        <v>646</v>
      </c>
      <c r="AA25" s="476"/>
      <c r="AB25" s="476" t="s">
        <v>647</v>
      </c>
      <c r="AC25" s="476"/>
      <c r="AD25" s="476" t="s">
        <v>122</v>
      </c>
      <c r="AE25" s="476"/>
      <c r="AF25" s="476" t="s">
        <v>123</v>
      </c>
      <c r="AG25" s="476"/>
      <c r="AH25" s="476"/>
      <c r="AI25" s="476"/>
      <c r="AJ25" s="476">
        <v>1</v>
      </c>
      <c r="AK25" s="476" t="s">
        <v>605</v>
      </c>
      <c r="AL25" s="476"/>
      <c r="AM25" s="476"/>
      <c r="AN25" s="476">
        <v>0.02</v>
      </c>
      <c r="AO25" s="476">
        <v>0.03</v>
      </c>
      <c r="AP25" s="476">
        <v>0.2</v>
      </c>
      <c r="AQ25" s="476">
        <v>0.3</v>
      </c>
      <c r="AR25" s="476">
        <v>0.1</v>
      </c>
      <c r="AS25" s="476">
        <v>0.1</v>
      </c>
      <c r="AT25" s="476">
        <v>0.15</v>
      </c>
      <c r="AU25" s="476">
        <v>0.1</v>
      </c>
      <c r="AV25" s="476">
        <v>120</v>
      </c>
      <c r="AW25" s="476" t="s">
        <v>649</v>
      </c>
      <c r="AX25" s="476" t="s">
        <v>599</v>
      </c>
      <c r="AY25" s="476" t="s">
        <v>599</v>
      </c>
      <c r="AZ25" s="476"/>
      <c r="BA25" s="476"/>
      <c r="BB25" s="476"/>
      <c r="BC25" s="476"/>
      <c r="BD25" s="474" t="e">
        <f>#REF!*#REF!+#REF!*#REF!+#REF!*#REF!+#REF!*#REF!+#REF!*#REF!</f>
        <v>#REF!</v>
      </c>
      <c r="BE25" s="474" t="e">
        <f>#REF!*#REF!*#REF!+#REF!*#REF!*#REF!+#REF!*#REF!*#REF!+#REF!*#REF!*#REF!+#REF!*#REF!*#REF!</f>
        <v>#REF!</v>
      </c>
      <c r="BF25" s="474" t="e">
        <f t="shared" si="17"/>
        <v>#REF!</v>
      </c>
      <c r="BG25" s="474" t="e">
        <f>#REF!*#REF!*#REF!</f>
        <v>#REF!</v>
      </c>
      <c r="BH25" s="474" t="e">
        <f>#REF!*#REF!*#REF!</f>
        <v>#REF!</v>
      </c>
      <c r="BI25" s="474" t="e">
        <f>#REF!*#REF!*#REF!</f>
        <v>#REF!</v>
      </c>
      <c r="BJ25" s="474" t="e">
        <f t="shared" si="18"/>
        <v>#REF!</v>
      </c>
      <c r="BK25" s="474" t="e">
        <f t="shared" si="19"/>
        <v>#REF!</v>
      </c>
      <c r="BL25" s="474" t="e">
        <f>#REF!*#REF!</f>
        <v>#REF!</v>
      </c>
      <c r="BM25" s="474" t="e">
        <f t="shared" si="20"/>
        <v>#REF!</v>
      </c>
      <c r="BN25" s="474" t="e">
        <f>#REF!*#REF!+#REF!*#REF!+#REF!*#REF!+#REF!*#REF!+#REF!*#REF!</f>
        <v>#REF!</v>
      </c>
      <c r="BO25" s="474" t="e">
        <f>#REF!*#REF!*#REF!+#REF!*#REF!*#REF!+#REF!*#REF!*#REF!+#REF!*#REF!*#REF!+#REF!*#REF!*#REF!</f>
        <v>#REF!</v>
      </c>
      <c r="BP25" s="475" t="e">
        <f t="shared" si="21"/>
        <v>#REF!</v>
      </c>
    </row>
    <row r="26" spans="1:68" s="471" customFormat="1" ht="21" customHeight="1" x14ac:dyDescent="0.35">
      <c r="A26" s="476">
        <v>24</v>
      </c>
      <c r="B26" s="476" t="s">
        <v>660</v>
      </c>
      <c r="C26" s="484">
        <v>0</v>
      </c>
      <c r="D26" s="476" t="s">
        <v>640</v>
      </c>
      <c r="E26" s="476"/>
      <c r="F26" s="483" t="s">
        <v>641</v>
      </c>
      <c r="G26" s="476" t="s">
        <v>642</v>
      </c>
      <c r="H26" s="476" t="s">
        <v>643</v>
      </c>
      <c r="I26" s="476" t="s">
        <v>661</v>
      </c>
      <c r="J26" s="476" t="s">
        <v>595</v>
      </c>
      <c r="K26" s="476">
        <v>53</v>
      </c>
      <c r="L26" s="476"/>
      <c r="M26" s="476" t="s">
        <v>76</v>
      </c>
      <c r="N26" s="476" t="s">
        <v>645</v>
      </c>
      <c r="O26" s="481" t="e">
        <f t="shared" si="15"/>
        <v>#DIV/0!</v>
      </c>
      <c r="P26" s="481">
        <f t="shared" si="16"/>
        <v>0</v>
      </c>
      <c r="Q26" s="476"/>
      <c r="R26" s="476" t="s">
        <v>146</v>
      </c>
      <c r="S26" s="476"/>
      <c r="T26" s="476" t="s">
        <v>147</v>
      </c>
      <c r="U26" s="476"/>
      <c r="V26" s="476" t="s">
        <v>597</v>
      </c>
      <c r="W26" s="476"/>
      <c r="X26" s="476" t="s">
        <v>148</v>
      </c>
      <c r="Y26" s="476"/>
      <c r="Z26" s="476" t="s">
        <v>646</v>
      </c>
      <c r="AA26" s="476"/>
      <c r="AB26" s="476" t="s">
        <v>647</v>
      </c>
      <c r="AC26" s="476"/>
      <c r="AD26" s="476" t="s">
        <v>122</v>
      </c>
      <c r="AE26" s="476"/>
      <c r="AF26" s="476" t="s">
        <v>123</v>
      </c>
      <c r="AG26" s="476"/>
      <c r="AH26" s="476"/>
      <c r="AI26" s="476"/>
      <c r="AJ26" s="476">
        <v>1</v>
      </c>
      <c r="AK26" s="476" t="s">
        <v>608</v>
      </c>
      <c r="AL26" s="476"/>
      <c r="AM26" s="476"/>
      <c r="AN26" s="476">
        <v>0.02</v>
      </c>
      <c r="AO26" s="476">
        <v>0.03</v>
      </c>
      <c r="AP26" s="476">
        <v>0.2</v>
      </c>
      <c r="AQ26" s="476">
        <v>0.3</v>
      </c>
      <c r="AR26" s="476">
        <v>0.1</v>
      </c>
      <c r="AS26" s="476">
        <v>0.1</v>
      </c>
      <c r="AT26" s="476">
        <v>0.15</v>
      </c>
      <c r="AU26" s="476">
        <v>0.1</v>
      </c>
      <c r="AV26" s="476">
        <v>120</v>
      </c>
      <c r="AW26" s="476" t="s">
        <v>649</v>
      </c>
      <c r="AX26" s="476" t="s">
        <v>599</v>
      </c>
      <c r="AY26" s="476" t="s">
        <v>599</v>
      </c>
      <c r="AZ26" s="476"/>
      <c r="BA26" s="476"/>
      <c r="BB26" s="476"/>
      <c r="BC26" s="476"/>
      <c r="BD26" s="474" t="e">
        <f>#REF!*#REF!+#REF!*#REF!+#REF!*#REF!+#REF!*#REF!+#REF!*#REF!</f>
        <v>#REF!</v>
      </c>
      <c r="BE26" s="474" t="e">
        <f>#REF!*#REF!*#REF!+#REF!*#REF!*#REF!+#REF!*#REF!*#REF!+#REF!*#REF!*#REF!+#REF!*#REF!*#REF!</f>
        <v>#REF!</v>
      </c>
      <c r="BF26" s="474" t="e">
        <f t="shared" si="17"/>
        <v>#REF!</v>
      </c>
      <c r="BG26" s="474" t="e">
        <f>#REF!*#REF!*#REF!</f>
        <v>#REF!</v>
      </c>
      <c r="BH26" s="474" t="e">
        <f>#REF!*#REF!*#REF!</f>
        <v>#REF!</v>
      </c>
      <c r="BI26" s="474" t="e">
        <f>#REF!*#REF!*#REF!</f>
        <v>#REF!</v>
      </c>
      <c r="BJ26" s="474" t="e">
        <f t="shared" si="18"/>
        <v>#REF!</v>
      </c>
      <c r="BK26" s="474" t="e">
        <f t="shared" si="19"/>
        <v>#REF!</v>
      </c>
      <c r="BL26" s="474" t="e">
        <f>#REF!*#REF!</f>
        <v>#REF!</v>
      </c>
      <c r="BM26" s="474" t="e">
        <f t="shared" si="20"/>
        <v>#REF!</v>
      </c>
      <c r="BN26" s="474" t="e">
        <f>#REF!*#REF!+#REF!*#REF!+#REF!*#REF!+#REF!*#REF!+#REF!*#REF!</f>
        <v>#REF!</v>
      </c>
      <c r="BO26" s="474" t="e">
        <f>#REF!*#REF!*#REF!+#REF!*#REF!*#REF!+#REF!*#REF!*#REF!+#REF!*#REF!*#REF!+#REF!*#REF!*#REF!</f>
        <v>#REF!</v>
      </c>
      <c r="BP26" s="475" t="e">
        <f t="shared" si="21"/>
        <v>#REF!</v>
      </c>
    </row>
    <row r="27" spans="1:68" s="471" customFormat="1" ht="21" customHeight="1" x14ac:dyDescent="0.35">
      <c r="A27" s="476">
        <v>25</v>
      </c>
      <c r="B27" s="476" t="s">
        <v>662</v>
      </c>
      <c r="C27" s="484">
        <v>0</v>
      </c>
      <c r="D27" s="476" t="s">
        <v>640</v>
      </c>
      <c r="E27" s="476"/>
      <c r="F27" s="483" t="s">
        <v>641</v>
      </c>
      <c r="G27" s="476" t="s">
        <v>642</v>
      </c>
      <c r="H27" s="476" t="s">
        <v>643</v>
      </c>
      <c r="I27" s="476" t="s">
        <v>663</v>
      </c>
      <c r="J27" s="476" t="s">
        <v>595</v>
      </c>
      <c r="K27" s="476">
        <v>82</v>
      </c>
      <c r="L27" s="476"/>
      <c r="M27" s="476" t="s">
        <v>76</v>
      </c>
      <c r="N27" s="476" t="s">
        <v>645</v>
      </c>
      <c r="O27" s="481" t="e">
        <f t="shared" si="15"/>
        <v>#DIV/0!</v>
      </c>
      <c r="P27" s="481">
        <f t="shared" si="16"/>
        <v>0</v>
      </c>
      <c r="Q27" s="476"/>
      <c r="R27" s="476" t="s">
        <v>146</v>
      </c>
      <c r="S27" s="476"/>
      <c r="T27" s="476" t="s">
        <v>147</v>
      </c>
      <c r="U27" s="476"/>
      <c r="V27" s="476" t="s">
        <v>597</v>
      </c>
      <c r="W27" s="476"/>
      <c r="X27" s="476" t="s">
        <v>148</v>
      </c>
      <c r="Y27" s="476"/>
      <c r="Z27" s="476" t="s">
        <v>646</v>
      </c>
      <c r="AA27" s="476"/>
      <c r="AB27" s="476" t="s">
        <v>647</v>
      </c>
      <c r="AC27" s="476"/>
      <c r="AD27" s="476" t="s">
        <v>122</v>
      </c>
      <c r="AE27" s="476"/>
      <c r="AF27" s="476" t="s">
        <v>123</v>
      </c>
      <c r="AG27" s="476"/>
      <c r="AH27" s="476"/>
      <c r="AI27" s="476"/>
      <c r="AJ27" s="476">
        <v>1</v>
      </c>
      <c r="AK27" s="476" t="s">
        <v>615</v>
      </c>
      <c r="AL27" s="476"/>
      <c r="AM27" s="476"/>
      <c r="AN27" s="476">
        <v>0.02</v>
      </c>
      <c r="AO27" s="476">
        <v>0.03</v>
      </c>
      <c r="AP27" s="476">
        <v>0.2</v>
      </c>
      <c r="AQ27" s="476">
        <v>0.3</v>
      </c>
      <c r="AR27" s="476">
        <v>0.1</v>
      </c>
      <c r="AS27" s="476">
        <v>0.1</v>
      </c>
      <c r="AT27" s="476">
        <v>0.15</v>
      </c>
      <c r="AU27" s="476">
        <v>0.1</v>
      </c>
      <c r="AV27" s="476">
        <v>120</v>
      </c>
      <c r="AW27" s="476" t="s">
        <v>649</v>
      </c>
      <c r="AX27" s="476" t="s">
        <v>599</v>
      </c>
      <c r="AY27" s="476" t="s">
        <v>599</v>
      </c>
      <c r="AZ27" s="476"/>
      <c r="BA27" s="476"/>
      <c r="BB27" s="476"/>
      <c r="BC27" s="476"/>
      <c r="BD27" s="474" t="e">
        <f>#REF!*#REF!+#REF!*#REF!+#REF!*#REF!+#REF!*#REF!+#REF!*#REF!</f>
        <v>#REF!</v>
      </c>
      <c r="BE27" s="474" t="e">
        <f>#REF!*#REF!*#REF!+#REF!*#REF!*#REF!+#REF!*#REF!*#REF!+#REF!*#REF!*#REF!+#REF!*#REF!*#REF!</f>
        <v>#REF!</v>
      </c>
      <c r="BF27" s="474" t="e">
        <f t="shared" si="17"/>
        <v>#REF!</v>
      </c>
      <c r="BG27" s="474" t="e">
        <f>#REF!*#REF!*#REF!</f>
        <v>#REF!</v>
      </c>
      <c r="BH27" s="474" t="e">
        <f>#REF!*#REF!*#REF!</f>
        <v>#REF!</v>
      </c>
      <c r="BI27" s="474" t="e">
        <f>#REF!*#REF!*#REF!</f>
        <v>#REF!</v>
      </c>
      <c r="BJ27" s="474" t="e">
        <f t="shared" si="18"/>
        <v>#REF!</v>
      </c>
      <c r="BK27" s="474" t="e">
        <f t="shared" si="19"/>
        <v>#REF!</v>
      </c>
      <c r="BL27" s="474" t="e">
        <f>#REF!*#REF!</f>
        <v>#REF!</v>
      </c>
      <c r="BM27" s="474" t="e">
        <f t="shared" si="20"/>
        <v>#REF!</v>
      </c>
      <c r="BN27" s="474" t="e">
        <f>#REF!*#REF!+#REF!*#REF!+#REF!*#REF!+#REF!*#REF!+#REF!*#REF!</f>
        <v>#REF!</v>
      </c>
      <c r="BO27" s="474" t="e">
        <f>#REF!*#REF!*#REF!+#REF!*#REF!*#REF!+#REF!*#REF!*#REF!+#REF!*#REF!*#REF!+#REF!*#REF!*#REF!</f>
        <v>#REF!</v>
      </c>
      <c r="BP27" s="475" t="e">
        <f t="shared" si="21"/>
        <v>#REF!</v>
      </c>
    </row>
    <row r="28" spans="1:68" s="471" customFormat="1" ht="21" customHeight="1" x14ac:dyDescent="0.35">
      <c r="A28" s="476">
        <v>26</v>
      </c>
      <c r="B28" s="476" t="s">
        <v>664</v>
      </c>
      <c r="C28" s="484">
        <v>0</v>
      </c>
      <c r="D28" s="476" t="s">
        <v>640</v>
      </c>
      <c r="E28" s="476"/>
      <c r="F28" s="483" t="s">
        <v>641</v>
      </c>
      <c r="G28" s="476" t="s">
        <v>642</v>
      </c>
      <c r="H28" s="476" t="s">
        <v>643</v>
      </c>
      <c r="I28" s="476" t="s">
        <v>665</v>
      </c>
      <c r="J28" s="476" t="s">
        <v>595</v>
      </c>
      <c r="K28" s="476">
        <v>50</v>
      </c>
      <c r="L28" s="476"/>
      <c r="M28" s="476" t="s">
        <v>76</v>
      </c>
      <c r="N28" s="476" t="s">
        <v>645</v>
      </c>
      <c r="O28" s="481" t="e">
        <f t="shared" si="15"/>
        <v>#DIV/0!</v>
      </c>
      <c r="P28" s="481">
        <f t="shared" si="16"/>
        <v>0</v>
      </c>
      <c r="Q28" s="476"/>
      <c r="R28" s="476" t="s">
        <v>146</v>
      </c>
      <c r="S28" s="476"/>
      <c r="T28" s="476" t="s">
        <v>147</v>
      </c>
      <c r="U28" s="476"/>
      <c r="V28" s="476" t="s">
        <v>597</v>
      </c>
      <c r="W28" s="476"/>
      <c r="X28" s="476" t="s">
        <v>148</v>
      </c>
      <c r="Y28" s="476"/>
      <c r="Z28" s="476" t="s">
        <v>646</v>
      </c>
      <c r="AA28" s="476"/>
      <c r="AB28" s="476" t="s">
        <v>647</v>
      </c>
      <c r="AC28" s="476"/>
      <c r="AD28" s="476" t="s">
        <v>122</v>
      </c>
      <c r="AE28" s="476"/>
      <c r="AF28" s="476" t="s">
        <v>123</v>
      </c>
      <c r="AG28" s="476"/>
      <c r="AH28" s="476"/>
      <c r="AI28" s="476"/>
      <c r="AJ28" s="476">
        <v>1</v>
      </c>
      <c r="AK28" s="476" t="s">
        <v>598</v>
      </c>
      <c r="AL28" s="476"/>
      <c r="AM28" s="476"/>
      <c r="AN28" s="476">
        <v>0.02</v>
      </c>
      <c r="AO28" s="476">
        <v>0.03</v>
      </c>
      <c r="AP28" s="476">
        <v>0.2</v>
      </c>
      <c r="AQ28" s="476">
        <v>0.3</v>
      </c>
      <c r="AR28" s="476">
        <v>0.1</v>
      </c>
      <c r="AS28" s="476">
        <v>0.1</v>
      </c>
      <c r="AT28" s="476">
        <v>0.15</v>
      </c>
      <c r="AU28" s="476">
        <v>0.1</v>
      </c>
      <c r="AV28" s="476">
        <v>120</v>
      </c>
      <c r="AW28" s="476" t="s">
        <v>649</v>
      </c>
      <c r="AX28" s="476" t="s">
        <v>599</v>
      </c>
      <c r="AY28" s="476" t="s">
        <v>599</v>
      </c>
      <c r="AZ28" s="476"/>
      <c r="BA28" s="476"/>
      <c r="BB28" s="476"/>
      <c r="BC28" s="476"/>
      <c r="BD28" s="474" t="e">
        <f>#REF!*#REF!+#REF!*#REF!+#REF!*#REF!+#REF!*#REF!+#REF!*#REF!</f>
        <v>#REF!</v>
      </c>
      <c r="BE28" s="474" t="e">
        <f>#REF!*#REF!*#REF!+#REF!*#REF!*#REF!+#REF!*#REF!*#REF!+#REF!*#REF!*#REF!+#REF!*#REF!*#REF!</f>
        <v>#REF!</v>
      </c>
      <c r="BF28" s="474" t="e">
        <f t="shared" si="17"/>
        <v>#REF!</v>
      </c>
      <c r="BG28" s="474" t="e">
        <f>#REF!*#REF!*#REF!</f>
        <v>#REF!</v>
      </c>
      <c r="BH28" s="474" t="e">
        <f>#REF!*#REF!*#REF!</f>
        <v>#REF!</v>
      </c>
      <c r="BI28" s="474" t="e">
        <f>#REF!*#REF!*#REF!</f>
        <v>#REF!</v>
      </c>
      <c r="BJ28" s="474" t="e">
        <f t="shared" si="18"/>
        <v>#REF!</v>
      </c>
      <c r="BK28" s="474" t="e">
        <f t="shared" si="19"/>
        <v>#REF!</v>
      </c>
      <c r="BL28" s="474" t="e">
        <f>#REF!*#REF!</f>
        <v>#REF!</v>
      </c>
      <c r="BM28" s="474" t="e">
        <f t="shared" si="20"/>
        <v>#REF!</v>
      </c>
      <c r="BN28" s="474" t="e">
        <f>#REF!*#REF!+#REF!*#REF!+#REF!*#REF!+#REF!*#REF!+#REF!*#REF!</f>
        <v>#REF!</v>
      </c>
      <c r="BO28" s="474" t="e">
        <f>#REF!*#REF!*#REF!+#REF!*#REF!*#REF!+#REF!*#REF!*#REF!+#REF!*#REF!*#REF!+#REF!*#REF!*#REF!</f>
        <v>#REF!</v>
      </c>
      <c r="BP28" s="475" t="e">
        <f t="shared" si="21"/>
        <v>#REF!</v>
      </c>
    </row>
    <row r="29" spans="1:68" s="471" customFormat="1" ht="21" customHeight="1" x14ac:dyDescent="0.35">
      <c r="A29" s="476">
        <v>27</v>
      </c>
      <c r="B29" s="476" t="s">
        <v>666</v>
      </c>
      <c r="C29" s="484">
        <v>0</v>
      </c>
      <c r="D29" s="476" t="s">
        <v>640</v>
      </c>
      <c r="E29" s="476"/>
      <c r="F29" s="483" t="s">
        <v>641</v>
      </c>
      <c r="G29" s="476" t="s">
        <v>642</v>
      </c>
      <c r="H29" s="476" t="s">
        <v>643</v>
      </c>
      <c r="I29" s="476" t="s">
        <v>667</v>
      </c>
      <c r="J29" s="476" t="s">
        <v>595</v>
      </c>
      <c r="K29" s="476">
        <v>31</v>
      </c>
      <c r="L29" s="476"/>
      <c r="M29" s="476" t="s">
        <v>76</v>
      </c>
      <c r="N29" s="476" t="s">
        <v>645</v>
      </c>
      <c r="O29" s="481" t="e">
        <f t="shared" si="15"/>
        <v>#DIV/0!</v>
      </c>
      <c r="P29" s="481">
        <f t="shared" si="16"/>
        <v>0</v>
      </c>
      <c r="Q29" s="476"/>
      <c r="R29" s="476" t="s">
        <v>146</v>
      </c>
      <c r="S29" s="476"/>
      <c r="T29" s="476" t="s">
        <v>147</v>
      </c>
      <c r="U29" s="476"/>
      <c r="V29" s="476" t="s">
        <v>597</v>
      </c>
      <c r="W29" s="476"/>
      <c r="X29" s="476" t="s">
        <v>148</v>
      </c>
      <c r="Y29" s="476"/>
      <c r="Z29" s="476" t="s">
        <v>646</v>
      </c>
      <c r="AA29" s="476"/>
      <c r="AB29" s="476" t="s">
        <v>647</v>
      </c>
      <c r="AC29" s="476"/>
      <c r="AD29" s="476" t="s">
        <v>122</v>
      </c>
      <c r="AE29" s="476"/>
      <c r="AF29" s="476" t="s">
        <v>123</v>
      </c>
      <c r="AG29" s="476"/>
      <c r="AH29" s="476"/>
      <c r="AI29" s="476"/>
      <c r="AJ29" s="476">
        <v>1</v>
      </c>
      <c r="AK29" s="476" t="s">
        <v>602</v>
      </c>
      <c r="AL29" s="476"/>
      <c r="AM29" s="476"/>
      <c r="AN29" s="476">
        <v>0.02</v>
      </c>
      <c r="AO29" s="476">
        <v>0.03</v>
      </c>
      <c r="AP29" s="476">
        <v>0.2</v>
      </c>
      <c r="AQ29" s="476">
        <v>0.3</v>
      </c>
      <c r="AR29" s="476">
        <v>0.1</v>
      </c>
      <c r="AS29" s="476">
        <v>0.1</v>
      </c>
      <c r="AT29" s="476">
        <v>0.15</v>
      </c>
      <c r="AU29" s="476">
        <v>0.1</v>
      </c>
      <c r="AV29" s="476">
        <v>120</v>
      </c>
      <c r="AW29" s="476" t="s">
        <v>649</v>
      </c>
      <c r="AX29" s="476" t="s">
        <v>599</v>
      </c>
      <c r="AY29" s="476" t="s">
        <v>599</v>
      </c>
      <c r="AZ29" s="476"/>
      <c r="BA29" s="476"/>
      <c r="BB29" s="476"/>
      <c r="BC29" s="476"/>
      <c r="BD29" s="474" t="e">
        <f>#REF!*#REF!+#REF!*#REF!+#REF!*#REF!+#REF!*#REF!+#REF!*#REF!</f>
        <v>#REF!</v>
      </c>
      <c r="BE29" s="474" t="e">
        <f>#REF!*#REF!*#REF!+#REF!*#REF!*#REF!+#REF!*#REF!*#REF!+#REF!*#REF!*#REF!+#REF!*#REF!*#REF!</f>
        <v>#REF!</v>
      </c>
      <c r="BF29" s="474" t="e">
        <f t="shared" si="17"/>
        <v>#REF!</v>
      </c>
      <c r="BG29" s="474" t="e">
        <f>#REF!*#REF!*#REF!</f>
        <v>#REF!</v>
      </c>
      <c r="BH29" s="474" t="e">
        <f>#REF!*#REF!*#REF!</f>
        <v>#REF!</v>
      </c>
      <c r="BI29" s="474" t="e">
        <f>#REF!*#REF!*#REF!</f>
        <v>#REF!</v>
      </c>
      <c r="BJ29" s="474" t="e">
        <f t="shared" si="18"/>
        <v>#REF!</v>
      </c>
      <c r="BK29" s="474" t="e">
        <f t="shared" si="19"/>
        <v>#REF!</v>
      </c>
      <c r="BL29" s="474" t="e">
        <f>#REF!*#REF!</f>
        <v>#REF!</v>
      </c>
      <c r="BM29" s="474" t="e">
        <f t="shared" si="20"/>
        <v>#REF!</v>
      </c>
      <c r="BN29" s="474" t="e">
        <f>#REF!*#REF!+#REF!*#REF!+#REF!*#REF!+#REF!*#REF!+#REF!*#REF!</f>
        <v>#REF!</v>
      </c>
      <c r="BO29" s="474" t="e">
        <f>#REF!*#REF!*#REF!+#REF!*#REF!*#REF!+#REF!*#REF!*#REF!+#REF!*#REF!*#REF!+#REF!*#REF!*#REF!</f>
        <v>#REF!</v>
      </c>
      <c r="BP29" s="475" t="e">
        <f t="shared" si="21"/>
        <v>#REF!</v>
      </c>
    </row>
    <row r="30" spans="1:68" s="471" customFormat="1" ht="21" customHeight="1" x14ac:dyDescent="0.35">
      <c r="A30" s="476">
        <v>28</v>
      </c>
      <c r="B30" s="476" t="s">
        <v>668</v>
      </c>
      <c r="C30" s="484">
        <v>0</v>
      </c>
      <c r="D30" s="476" t="s">
        <v>669</v>
      </c>
      <c r="E30" s="476"/>
      <c r="F30" s="483" t="s">
        <v>591</v>
      </c>
      <c r="G30" s="476" t="s">
        <v>670</v>
      </c>
      <c r="H30" s="476" t="s">
        <v>671</v>
      </c>
      <c r="I30" s="476" t="s">
        <v>672</v>
      </c>
      <c r="J30" s="476" t="s">
        <v>595</v>
      </c>
      <c r="K30" s="476">
        <v>146</v>
      </c>
      <c r="L30" s="476"/>
      <c r="M30" s="476" t="s">
        <v>76</v>
      </c>
      <c r="N30" s="476" t="s">
        <v>596</v>
      </c>
      <c r="O30" s="481" t="e">
        <f t="shared" si="15"/>
        <v>#DIV/0!</v>
      </c>
      <c r="P30" s="481">
        <f t="shared" si="16"/>
        <v>0</v>
      </c>
      <c r="Q30" s="476"/>
      <c r="R30" s="476" t="s">
        <v>146</v>
      </c>
      <c r="S30" s="476"/>
      <c r="T30" s="476" t="s">
        <v>147</v>
      </c>
      <c r="U30" s="476"/>
      <c r="V30" s="476" t="s">
        <v>597</v>
      </c>
      <c r="W30" s="476"/>
      <c r="X30" s="476" t="s">
        <v>148</v>
      </c>
      <c r="Y30" s="476"/>
      <c r="Z30" s="476" t="s">
        <v>150</v>
      </c>
      <c r="AA30" s="476"/>
      <c r="AB30" s="476" t="s">
        <v>570</v>
      </c>
      <c r="AC30" s="476"/>
      <c r="AD30" s="476" t="s">
        <v>122</v>
      </c>
      <c r="AE30" s="476"/>
      <c r="AF30" s="476" t="s">
        <v>123</v>
      </c>
      <c r="AG30" s="476"/>
      <c r="AH30" s="476"/>
      <c r="AI30" s="476" t="s">
        <v>614</v>
      </c>
      <c r="AJ30" s="476">
        <v>1</v>
      </c>
      <c r="AK30" s="476" t="s">
        <v>605</v>
      </c>
      <c r="AL30" s="476"/>
      <c r="AM30" s="476"/>
      <c r="AN30" s="476">
        <v>0.02</v>
      </c>
      <c r="AO30" s="476">
        <v>0.03</v>
      </c>
      <c r="AP30" s="476">
        <v>0.2</v>
      </c>
      <c r="AQ30" s="476">
        <v>0.3</v>
      </c>
      <c r="AR30" s="476">
        <v>0.1</v>
      </c>
      <c r="AS30" s="476">
        <v>0.1</v>
      </c>
      <c r="AT30" s="476">
        <v>0.15</v>
      </c>
      <c r="AU30" s="476">
        <v>0.1</v>
      </c>
      <c r="AV30" s="476">
        <v>401</v>
      </c>
      <c r="AW30" s="476" t="s">
        <v>599</v>
      </c>
      <c r="AX30" s="476" t="s">
        <v>599</v>
      </c>
      <c r="AY30" s="476" t="s">
        <v>599</v>
      </c>
      <c r="AZ30" s="476"/>
      <c r="BA30" s="476"/>
      <c r="BB30" s="476"/>
      <c r="BC30" s="476"/>
      <c r="BD30" s="474" t="e">
        <f>#REF!*#REF!+#REF!*#REF!+#REF!*#REF!+#REF!*#REF!+#REF!*#REF!</f>
        <v>#REF!</v>
      </c>
      <c r="BE30" s="474" t="e">
        <f>#REF!*#REF!*#REF!+#REF!*#REF!*#REF!+#REF!*#REF!*#REF!+#REF!*#REF!*#REF!+#REF!*#REF!*#REF!</f>
        <v>#REF!</v>
      </c>
      <c r="BF30" s="474" t="e">
        <f t="shared" si="17"/>
        <v>#REF!</v>
      </c>
      <c r="BG30" s="474" t="e">
        <f>#REF!*#REF!*#REF!</f>
        <v>#REF!</v>
      </c>
      <c r="BH30" s="474" t="e">
        <f>#REF!*#REF!*#REF!</f>
        <v>#REF!</v>
      </c>
      <c r="BI30" s="474" t="e">
        <f>#REF!*#REF!*#REF!</f>
        <v>#REF!</v>
      </c>
      <c r="BJ30" s="474" t="e">
        <f t="shared" si="18"/>
        <v>#REF!</v>
      </c>
      <c r="BK30" s="474" t="e">
        <f t="shared" si="19"/>
        <v>#REF!</v>
      </c>
      <c r="BL30" s="474" t="e">
        <f>#REF!*#REF!</f>
        <v>#REF!</v>
      </c>
      <c r="BM30" s="474" t="e">
        <f t="shared" si="20"/>
        <v>#REF!</v>
      </c>
      <c r="BN30" s="474" t="e">
        <f>#REF!*#REF!+#REF!*#REF!+#REF!*#REF!+#REF!*#REF!+#REF!*#REF!</f>
        <v>#REF!</v>
      </c>
      <c r="BO30" s="474" t="e">
        <f>#REF!*#REF!*#REF!+#REF!*#REF!*#REF!+#REF!*#REF!*#REF!+#REF!*#REF!*#REF!+#REF!*#REF!*#REF!</f>
        <v>#REF!</v>
      </c>
      <c r="BP30" s="475" t="e">
        <f t="shared" si="21"/>
        <v>#REF!</v>
      </c>
    </row>
    <row r="31" spans="1:68" s="471" customFormat="1" ht="21" customHeight="1" x14ac:dyDescent="0.35">
      <c r="A31" s="476">
        <v>29</v>
      </c>
      <c r="B31" s="476" t="s">
        <v>673</v>
      </c>
      <c r="C31" s="484">
        <v>0</v>
      </c>
      <c r="D31" s="476" t="s">
        <v>669</v>
      </c>
      <c r="E31" s="476"/>
      <c r="F31" s="483" t="s">
        <v>616</v>
      </c>
      <c r="G31" s="476" t="s">
        <v>670</v>
      </c>
      <c r="H31" s="476" t="s">
        <v>671</v>
      </c>
      <c r="I31" s="476" t="s">
        <v>674</v>
      </c>
      <c r="J31" s="476" t="s">
        <v>675</v>
      </c>
      <c r="K31" s="476">
        <v>21</v>
      </c>
      <c r="L31" s="476"/>
      <c r="M31" s="476" t="s">
        <v>76</v>
      </c>
      <c r="N31" s="476" t="s">
        <v>596</v>
      </c>
      <c r="O31" s="481" t="e">
        <f t="shared" si="15"/>
        <v>#DIV/0!</v>
      </c>
      <c r="P31" s="481">
        <f t="shared" si="16"/>
        <v>0</v>
      </c>
      <c r="Q31" s="476"/>
      <c r="R31" s="476" t="s">
        <v>146</v>
      </c>
      <c r="S31" s="476"/>
      <c r="T31" s="476" t="s">
        <v>147</v>
      </c>
      <c r="U31" s="476"/>
      <c r="V31" s="476" t="s">
        <v>597</v>
      </c>
      <c r="W31" s="476"/>
      <c r="X31" s="476" t="s">
        <v>148</v>
      </c>
      <c r="Y31" s="476"/>
      <c r="Z31" s="476" t="s">
        <v>150</v>
      </c>
      <c r="AA31" s="476"/>
      <c r="AB31" s="476" t="s">
        <v>570</v>
      </c>
      <c r="AC31" s="476"/>
      <c r="AD31" s="476" t="s">
        <v>122</v>
      </c>
      <c r="AE31" s="476"/>
      <c r="AF31" s="476" t="s">
        <v>123</v>
      </c>
      <c r="AG31" s="476"/>
      <c r="AH31" s="476"/>
      <c r="AI31" s="476" t="s">
        <v>614</v>
      </c>
      <c r="AJ31" s="476">
        <v>1</v>
      </c>
      <c r="AK31" s="476" t="s">
        <v>608</v>
      </c>
      <c r="AL31" s="476"/>
      <c r="AM31" s="476"/>
      <c r="AN31" s="476">
        <v>0.02</v>
      </c>
      <c r="AO31" s="476">
        <v>0.03</v>
      </c>
      <c r="AP31" s="476">
        <v>0.2</v>
      </c>
      <c r="AQ31" s="476">
        <v>0.3</v>
      </c>
      <c r="AR31" s="476">
        <v>0.1</v>
      </c>
      <c r="AS31" s="476">
        <v>0.1</v>
      </c>
      <c r="AT31" s="476">
        <v>0.15</v>
      </c>
      <c r="AU31" s="476">
        <v>0.1</v>
      </c>
      <c r="AV31" s="476">
        <v>401</v>
      </c>
      <c r="AW31" s="476" t="s">
        <v>599</v>
      </c>
      <c r="AX31" s="476" t="s">
        <v>599</v>
      </c>
      <c r="AY31" s="476" t="s">
        <v>599</v>
      </c>
      <c r="AZ31" s="476"/>
      <c r="BA31" s="476"/>
      <c r="BB31" s="476"/>
      <c r="BC31" s="476"/>
      <c r="BD31" s="474" t="e">
        <f>#REF!*#REF!+#REF!*#REF!+#REF!*#REF!+#REF!*#REF!+#REF!*#REF!</f>
        <v>#REF!</v>
      </c>
      <c r="BE31" s="474" t="e">
        <f>#REF!*#REF!*#REF!+#REF!*#REF!*#REF!+#REF!*#REF!*#REF!+#REF!*#REF!*#REF!+#REF!*#REF!*#REF!</f>
        <v>#REF!</v>
      </c>
      <c r="BF31" s="474" t="e">
        <f t="shared" si="17"/>
        <v>#REF!</v>
      </c>
      <c r="BG31" s="474" t="e">
        <f>#REF!*#REF!*#REF!</f>
        <v>#REF!</v>
      </c>
      <c r="BH31" s="474" t="e">
        <f>#REF!*#REF!*#REF!</f>
        <v>#REF!</v>
      </c>
      <c r="BI31" s="474" t="e">
        <f>#REF!*#REF!*#REF!</f>
        <v>#REF!</v>
      </c>
      <c r="BJ31" s="474" t="e">
        <f t="shared" si="18"/>
        <v>#REF!</v>
      </c>
      <c r="BK31" s="474" t="e">
        <f t="shared" si="19"/>
        <v>#REF!</v>
      </c>
      <c r="BL31" s="474" t="e">
        <f>#REF!*#REF!</f>
        <v>#REF!</v>
      </c>
      <c r="BM31" s="474" t="e">
        <f t="shared" si="20"/>
        <v>#REF!</v>
      </c>
      <c r="BN31" s="474" t="e">
        <f>#REF!*#REF!+#REF!*#REF!+#REF!*#REF!+#REF!*#REF!+#REF!*#REF!</f>
        <v>#REF!</v>
      </c>
      <c r="BO31" s="474" t="e">
        <f>#REF!*#REF!*#REF!+#REF!*#REF!*#REF!+#REF!*#REF!*#REF!+#REF!*#REF!*#REF!+#REF!*#REF!*#REF!</f>
        <v>#REF!</v>
      </c>
      <c r="BP31" s="475" t="e">
        <f t="shared" si="21"/>
        <v>#REF!</v>
      </c>
    </row>
    <row r="32" spans="1:68" s="471" customFormat="1" ht="21" customHeight="1" x14ac:dyDescent="0.35">
      <c r="A32" s="476">
        <v>30</v>
      </c>
      <c r="B32" s="476" t="s">
        <v>676</v>
      </c>
      <c r="C32" s="484">
        <v>0</v>
      </c>
      <c r="D32" s="476" t="s">
        <v>640</v>
      </c>
      <c r="E32" s="476"/>
      <c r="F32" s="483" t="s">
        <v>641</v>
      </c>
      <c r="G32" s="476" t="s">
        <v>642</v>
      </c>
      <c r="H32" s="476" t="s">
        <v>643</v>
      </c>
      <c r="I32" s="476" t="s">
        <v>677</v>
      </c>
      <c r="J32" s="476" t="s">
        <v>595</v>
      </c>
      <c r="K32" s="476">
        <v>63</v>
      </c>
      <c r="L32" s="476"/>
      <c r="M32" s="476" t="s">
        <v>76</v>
      </c>
      <c r="N32" s="476" t="s">
        <v>645</v>
      </c>
      <c r="O32" s="481" t="e">
        <f t="shared" si="15"/>
        <v>#DIV/0!</v>
      </c>
      <c r="P32" s="481">
        <f t="shared" si="16"/>
        <v>0</v>
      </c>
      <c r="Q32" s="476"/>
      <c r="R32" s="476" t="s">
        <v>146</v>
      </c>
      <c r="S32" s="476"/>
      <c r="T32" s="476" t="s">
        <v>147</v>
      </c>
      <c r="U32" s="476"/>
      <c r="V32" s="476" t="s">
        <v>597</v>
      </c>
      <c r="W32" s="476"/>
      <c r="X32" s="476" t="s">
        <v>148</v>
      </c>
      <c r="Y32" s="476"/>
      <c r="Z32" s="476" t="s">
        <v>646</v>
      </c>
      <c r="AA32" s="476"/>
      <c r="AB32" s="476" t="s">
        <v>647</v>
      </c>
      <c r="AC32" s="476"/>
      <c r="AD32" s="476" t="s">
        <v>122</v>
      </c>
      <c r="AE32" s="476"/>
      <c r="AF32" s="476" t="s">
        <v>123</v>
      </c>
      <c r="AG32" s="476"/>
      <c r="AH32" s="476"/>
      <c r="AI32" s="476" t="s">
        <v>678</v>
      </c>
      <c r="AJ32" s="476">
        <v>1</v>
      </c>
      <c r="AK32" s="476" t="s">
        <v>615</v>
      </c>
      <c r="AL32" s="476"/>
      <c r="AM32" s="476"/>
      <c r="AN32" s="476">
        <v>0.02</v>
      </c>
      <c r="AO32" s="476">
        <v>0.03</v>
      </c>
      <c r="AP32" s="476">
        <v>0.2</v>
      </c>
      <c r="AQ32" s="476">
        <v>0.3</v>
      </c>
      <c r="AR32" s="476">
        <v>0.1</v>
      </c>
      <c r="AS32" s="476">
        <v>0.1</v>
      </c>
      <c r="AT32" s="476">
        <v>0.15</v>
      </c>
      <c r="AU32" s="476">
        <v>0.1</v>
      </c>
      <c r="AV32" s="476">
        <v>401</v>
      </c>
      <c r="AW32" s="476" t="s">
        <v>649</v>
      </c>
      <c r="AX32" s="476" t="s">
        <v>599</v>
      </c>
      <c r="AY32" s="476" t="s">
        <v>599</v>
      </c>
      <c r="AZ32" s="476"/>
      <c r="BA32" s="476"/>
      <c r="BB32" s="476"/>
      <c r="BC32" s="476"/>
      <c r="BD32" s="474" t="e">
        <f>#REF!*#REF!+#REF!*#REF!+#REF!*#REF!+#REF!*#REF!+#REF!*#REF!</f>
        <v>#REF!</v>
      </c>
      <c r="BE32" s="474" t="e">
        <f>#REF!*#REF!*#REF!+#REF!*#REF!*#REF!+#REF!*#REF!*#REF!+#REF!*#REF!*#REF!+#REF!*#REF!*#REF!</f>
        <v>#REF!</v>
      </c>
      <c r="BF32" s="474" t="e">
        <f t="shared" si="17"/>
        <v>#REF!</v>
      </c>
      <c r="BG32" s="474" t="e">
        <f>#REF!*#REF!*#REF!</f>
        <v>#REF!</v>
      </c>
      <c r="BH32" s="474" t="e">
        <f>#REF!*#REF!*#REF!</f>
        <v>#REF!</v>
      </c>
      <c r="BI32" s="474" t="e">
        <f>#REF!*#REF!*#REF!</f>
        <v>#REF!</v>
      </c>
      <c r="BJ32" s="474" t="e">
        <f t="shared" si="18"/>
        <v>#REF!</v>
      </c>
      <c r="BK32" s="474" t="e">
        <f t="shared" si="19"/>
        <v>#REF!</v>
      </c>
      <c r="BL32" s="474" t="e">
        <f>#REF!*#REF!</f>
        <v>#REF!</v>
      </c>
      <c r="BM32" s="474" t="e">
        <f t="shared" si="20"/>
        <v>#REF!</v>
      </c>
      <c r="BN32" s="474" t="e">
        <f>#REF!*#REF!+#REF!*#REF!+#REF!*#REF!+#REF!*#REF!+#REF!*#REF!</f>
        <v>#REF!</v>
      </c>
      <c r="BO32" s="474" t="e">
        <f>#REF!*#REF!*#REF!+#REF!*#REF!*#REF!+#REF!*#REF!*#REF!+#REF!*#REF!*#REF!+#REF!*#REF!*#REF!</f>
        <v>#REF!</v>
      </c>
      <c r="BP32" s="475" t="e">
        <f t="shared" si="21"/>
        <v>#REF!</v>
      </c>
    </row>
    <row r="33" spans="1:68" s="471" customFormat="1" ht="21" customHeight="1" x14ac:dyDescent="0.35">
      <c r="A33" s="476">
        <v>31</v>
      </c>
      <c r="B33" s="476" t="s">
        <v>679</v>
      </c>
      <c r="C33" s="484">
        <v>0</v>
      </c>
      <c r="D33" s="476" t="s">
        <v>640</v>
      </c>
      <c r="E33" s="476"/>
      <c r="F33" s="483" t="s">
        <v>641</v>
      </c>
      <c r="G33" s="476" t="s">
        <v>642</v>
      </c>
      <c r="H33" s="476" t="s">
        <v>643</v>
      </c>
      <c r="I33" s="476" t="s">
        <v>680</v>
      </c>
      <c r="J33" s="476" t="s">
        <v>595</v>
      </c>
      <c r="K33" s="476">
        <v>38</v>
      </c>
      <c r="L33" s="476"/>
      <c r="M33" s="476" t="s">
        <v>76</v>
      </c>
      <c r="N33" s="476" t="s">
        <v>645</v>
      </c>
      <c r="O33" s="481" t="e">
        <f t="shared" si="15"/>
        <v>#DIV/0!</v>
      </c>
      <c r="P33" s="481">
        <f t="shared" si="16"/>
        <v>0</v>
      </c>
      <c r="Q33" s="476"/>
      <c r="R33" s="476" t="s">
        <v>146</v>
      </c>
      <c r="S33" s="476"/>
      <c r="T33" s="476" t="s">
        <v>147</v>
      </c>
      <c r="U33" s="476"/>
      <c r="V33" s="476" t="s">
        <v>597</v>
      </c>
      <c r="W33" s="476"/>
      <c r="X33" s="476" t="s">
        <v>148</v>
      </c>
      <c r="Y33" s="476"/>
      <c r="Z33" s="476" t="s">
        <v>646</v>
      </c>
      <c r="AA33" s="476"/>
      <c r="AB33" s="476" t="s">
        <v>647</v>
      </c>
      <c r="AC33" s="476"/>
      <c r="AD33" s="476" t="s">
        <v>122</v>
      </c>
      <c r="AE33" s="476"/>
      <c r="AF33" s="476" t="s">
        <v>123</v>
      </c>
      <c r="AG33" s="476"/>
      <c r="AH33" s="476"/>
      <c r="AI33" s="476"/>
      <c r="AJ33" s="476">
        <v>1</v>
      </c>
      <c r="AK33" s="476" t="s">
        <v>598</v>
      </c>
      <c r="AL33" s="476"/>
      <c r="AM33" s="476"/>
      <c r="AN33" s="476">
        <v>0.02</v>
      </c>
      <c r="AO33" s="476">
        <v>0.03</v>
      </c>
      <c r="AP33" s="476">
        <v>0.2</v>
      </c>
      <c r="AQ33" s="476">
        <v>0.3</v>
      </c>
      <c r="AR33" s="476">
        <v>0.1</v>
      </c>
      <c r="AS33" s="476">
        <v>0.1</v>
      </c>
      <c r="AT33" s="476">
        <v>0.15</v>
      </c>
      <c r="AU33" s="476">
        <v>0.1</v>
      </c>
      <c r="AV33" s="476">
        <v>120</v>
      </c>
      <c r="AW33" s="476" t="s">
        <v>649</v>
      </c>
      <c r="AX33" s="476" t="s">
        <v>599</v>
      </c>
      <c r="AY33" s="476" t="s">
        <v>599</v>
      </c>
      <c r="AZ33" s="476"/>
      <c r="BA33" s="476"/>
      <c r="BB33" s="476"/>
      <c r="BC33" s="476"/>
      <c r="BD33" s="474" t="e">
        <f>#REF!*#REF!+#REF!*#REF!+#REF!*#REF!+#REF!*#REF!+#REF!*#REF!</f>
        <v>#REF!</v>
      </c>
      <c r="BE33" s="474" t="e">
        <f>#REF!*#REF!*#REF!+#REF!*#REF!*#REF!+#REF!*#REF!*#REF!+#REF!*#REF!*#REF!+#REF!*#REF!*#REF!</f>
        <v>#REF!</v>
      </c>
      <c r="BF33" s="474" t="e">
        <f t="shared" si="17"/>
        <v>#REF!</v>
      </c>
      <c r="BG33" s="474" t="e">
        <f>#REF!*#REF!*#REF!</f>
        <v>#REF!</v>
      </c>
      <c r="BH33" s="474" t="e">
        <f>#REF!*#REF!*#REF!</f>
        <v>#REF!</v>
      </c>
      <c r="BI33" s="474" t="e">
        <f>#REF!*#REF!*#REF!</f>
        <v>#REF!</v>
      </c>
      <c r="BJ33" s="474" t="e">
        <f t="shared" si="18"/>
        <v>#REF!</v>
      </c>
      <c r="BK33" s="474" t="e">
        <f t="shared" si="19"/>
        <v>#REF!</v>
      </c>
      <c r="BL33" s="474" t="e">
        <f>#REF!*#REF!</f>
        <v>#REF!</v>
      </c>
      <c r="BM33" s="474" t="e">
        <f t="shared" si="20"/>
        <v>#REF!</v>
      </c>
      <c r="BN33" s="474" t="e">
        <f>#REF!*#REF!+#REF!*#REF!+#REF!*#REF!+#REF!*#REF!+#REF!*#REF!</f>
        <v>#REF!</v>
      </c>
      <c r="BO33" s="474" t="e">
        <f>#REF!*#REF!*#REF!+#REF!*#REF!*#REF!+#REF!*#REF!*#REF!+#REF!*#REF!*#REF!+#REF!*#REF!*#REF!</f>
        <v>#REF!</v>
      </c>
      <c r="BP33" s="475" t="e">
        <f t="shared" si="21"/>
        <v>#REF!</v>
      </c>
    </row>
    <row r="34" spans="1:68" s="471" customFormat="1" ht="21" customHeight="1" x14ac:dyDescent="0.35">
      <c r="A34" s="476">
        <v>32</v>
      </c>
      <c r="B34" s="476" t="s">
        <v>681</v>
      </c>
      <c r="C34" s="484">
        <v>0</v>
      </c>
      <c r="D34" s="476" t="s">
        <v>640</v>
      </c>
      <c r="E34" s="476"/>
      <c r="F34" s="483" t="s">
        <v>641</v>
      </c>
      <c r="G34" s="476" t="s">
        <v>642</v>
      </c>
      <c r="H34" s="476" t="s">
        <v>643</v>
      </c>
      <c r="I34" s="476" t="s">
        <v>682</v>
      </c>
      <c r="J34" s="476" t="s">
        <v>595</v>
      </c>
      <c r="K34" s="476">
        <v>81</v>
      </c>
      <c r="L34" s="476"/>
      <c r="M34" s="476" t="s">
        <v>76</v>
      </c>
      <c r="N34" s="476" t="s">
        <v>645</v>
      </c>
      <c r="O34" s="481" t="e">
        <f t="shared" si="15"/>
        <v>#DIV/0!</v>
      </c>
      <c r="P34" s="481">
        <f t="shared" si="16"/>
        <v>0</v>
      </c>
      <c r="Q34" s="476"/>
      <c r="R34" s="476" t="s">
        <v>146</v>
      </c>
      <c r="S34" s="476"/>
      <c r="T34" s="476" t="s">
        <v>147</v>
      </c>
      <c r="U34" s="476"/>
      <c r="V34" s="476" t="s">
        <v>597</v>
      </c>
      <c r="W34" s="476"/>
      <c r="X34" s="476" t="s">
        <v>148</v>
      </c>
      <c r="Y34" s="476"/>
      <c r="Z34" s="476" t="s">
        <v>646</v>
      </c>
      <c r="AA34" s="476"/>
      <c r="AB34" s="476" t="s">
        <v>647</v>
      </c>
      <c r="AC34" s="476"/>
      <c r="AD34" s="476" t="s">
        <v>122</v>
      </c>
      <c r="AE34" s="476"/>
      <c r="AF34" s="476" t="s">
        <v>123</v>
      </c>
      <c r="AG34" s="476"/>
      <c r="AH34" s="476"/>
      <c r="AI34" s="476"/>
      <c r="AJ34" s="476">
        <v>1</v>
      </c>
      <c r="AK34" s="476" t="s">
        <v>602</v>
      </c>
      <c r="AL34" s="476"/>
      <c r="AM34" s="476"/>
      <c r="AN34" s="476">
        <v>0.02</v>
      </c>
      <c r="AO34" s="476">
        <v>0.03</v>
      </c>
      <c r="AP34" s="476">
        <v>0.2</v>
      </c>
      <c r="AQ34" s="476">
        <v>0.3</v>
      </c>
      <c r="AR34" s="476">
        <v>0.1</v>
      </c>
      <c r="AS34" s="476">
        <v>0.1</v>
      </c>
      <c r="AT34" s="476">
        <v>0.15</v>
      </c>
      <c r="AU34" s="476">
        <v>0.1</v>
      </c>
      <c r="AV34" s="476">
        <v>120</v>
      </c>
      <c r="AW34" s="476" t="s">
        <v>649</v>
      </c>
      <c r="AX34" s="476" t="s">
        <v>599</v>
      </c>
      <c r="AY34" s="476" t="s">
        <v>599</v>
      </c>
      <c r="AZ34" s="476"/>
      <c r="BA34" s="476"/>
      <c r="BB34" s="476"/>
      <c r="BC34" s="476"/>
      <c r="BD34" s="474" t="e">
        <f>#REF!*#REF!+#REF!*#REF!+#REF!*#REF!+#REF!*#REF!+#REF!*#REF!</f>
        <v>#REF!</v>
      </c>
      <c r="BE34" s="474" t="e">
        <f>#REF!*#REF!*#REF!+#REF!*#REF!*#REF!+#REF!*#REF!*#REF!+#REF!*#REF!*#REF!+#REF!*#REF!*#REF!</f>
        <v>#REF!</v>
      </c>
      <c r="BF34" s="474" t="e">
        <f t="shared" si="17"/>
        <v>#REF!</v>
      </c>
      <c r="BG34" s="474" t="e">
        <f>#REF!*#REF!*#REF!</f>
        <v>#REF!</v>
      </c>
      <c r="BH34" s="474" t="e">
        <f>#REF!*#REF!*#REF!</f>
        <v>#REF!</v>
      </c>
      <c r="BI34" s="474" t="e">
        <f>#REF!*#REF!*#REF!</f>
        <v>#REF!</v>
      </c>
      <c r="BJ34" s="474" t="e">
        <f t="shared" si="18"/>
        <v>#REF!</v>
      </c>
      <c r="BK34" s="474" t="e">
        <f t="shared" si="19"/>
        <v>#REF!</v>
      </c>
      <c r="BL34" s="474" t="e">
        <f>#REF!*#REF!</f>
        <v>#REF!</v>
      </c>
      <c r="BM34" s="474" t="e">
        <f t="shared" si="20"/>
        <v>#REF!</v>
      </c>
      <c r="BN34" s="474" t="e">
        <f>#REF!*#REF!+#REF!*#REF!+#REF!*#REF!+#REF!*#REF!+#REF!*#REF!</f>
        <v>#REF!</v>
      </c>
      <c r="BO34" s="474" t="e">
        <f>#REF!*#REF!*#REF!+#REF!*#REF!*#REF!+#REF!*#REF!*#REF!+#REF!*#REF!*#REF!+#REF!*#REF!*#REF!</f>
        <v>#REF!</v>
      </c>
      <c r="BP34" s="475" t="e">
        <f t="shared" si="21"/>
        <v>#REF!</v>
      </c>
    </row>
    <row r="35" spans="1:68" s="471" customFormat="1" ht="21" customHeight="1" x14ac:dyDescent="0.35">
      <c r="A35" s="476">
        <v>33</v>
      </c>
      <c r="B35" s="476" t="s">
        <v>683</v>
      </c>
      <c r="C35" s="484">
        <v>0</v>
      </c>
      <c r="D35" s="476" t="s">
        <v>640</v>
      </c>
      <c r="E35" s="476"/>
      <c r="F35" s="483" t="s">
        <v>641</v>
      </c>
      <c r="G35" s="476" t="s">
        <v>642</v>
      </c>
      <c r="H35" s="476" t="s">
        <v>643</v>
      </c>
      <c r="I35" s="476" t="s">
        <v>684</v>
      </c>
      <c r="J35" s="476" t="s">
        <v>595</v>
      </c>
      <c r="K35" s="476">
        <v>38</v>
      </c>
      <c r="L35" s="476"/>
      <c r="M35" s="476" t="s">
        <v>76</v>
      </c>
      <c r="N35" s="476" t="s">
        <v>645</v>
      </c>
      <c r="O35" s="481" t="e">
        <f t="shared" si="15"/>
        <v>#DIV/0!</v>
      </c>
      <c r="P35" s="481">
        <f t="shared" si="16"/>
        <v>0</v>
      </c>
      <c r="Q35" s="476"/>
      <c r="R35" s="476" t="s">
        <v>146</v>
      </c>
      <c r="S35" s="476"/>
      <c r="T35" s="476" t="s">
        <v>147</v>
      </c>
      <c r="U35" s="476"/>
      <c r="V35" s="476" t="s">
        <v>597</v>
      </c>
      <c r="W35" s="476"/>
      <c r="X35" s="476" t="s">
        <v>148</v>
      </c>
      <c r="Y35" s="476"/>
      <c r="Z35" s="476" t="s">
        <v>646</v>
      </c>
      <c r="AA35" s="476"/>
      <c r="AB35" s="476" t="s">
        <v>647</v>
      </c>
      <c r="AC35" s="476"/>
      <c r="AD35" s="476" t="s">
        <v>122</v>
      </c>
      <c r="AE35" s="476"/>
      <c r="AF35" s="476" t="s">
        <v>123</v>
      </c>
      <c r="AG35" s="476"/>
      <c r="AH35" s="476"/>
      <c r="AI35" s="476"/>
      <c r="AJ35" s="476">
        <v>1</v>
      </c>
      <c r="AK35" s="476" t="s">
        <v>605</v>
      </c>
      <c r="AL35" s="476"/>
      <c r="AM35" s="476"/>
      <c r="AN35" s="476">
        <v>0.02</v>
      </c>
      <c r="AO35" s="476">
        <v>0.03</v>
      </c>
      <c r="AP35" s="476">
        <v>0.2</v>
      </c>
      <c r="AQ35" s="476">
        <v>0.3</v>
      </c>
      <c r="AR35" s="476">
        <v>0.1</v>
      </c>
      <c r="AS35" s="476">
        <v>0.1</v>
      </c>
      <c r="AT35" s="476">
        <v>0.15</v>
      </c>
      <c r="AU35" s="476">
        <v>0.1</v>
      </c>
      <c r="AV35" s="476">
        <v>120</v>
      </c>
      <c r="AW35" s="476" t="s">
        <v>649</v>
      </c>
      <c r="AX35" s="476" t="s">
        <v>599</v>
      </c>
      <c r="AY35" s="476" t="s">
        <v>599</v>
      </c>
      <c r="AZ35" s="476"/>
      <c r="BA35" s="476"/>
      <c r="BB35" s="476"/>
      <c r="BC35" s="476"/>
      <c r="BD35" s="474" t="e">
        <f>#REF!*#REF!+#REF!*#REF!+#REF!*#REF!+#REF!*#REF!+#REF!*#REF!</f>
        <v>#REF!</v>
      </c>
      <c r="BE35" s="474" t="e">
        <f>#REF!*#REF!*#REF!+#REF!*#REF!*#REF!+#REF!*#REF!*#REF!+#REF!*#REF!*#REF!+#REF!*#REF!*#REF!</f>
        <v>#REF!</v>
      </c>
      <c r="BF35" s="474" t="e">
        <f t="shared" si="17"/>
        <v>#REF!</v>
      </c>
      <c r="BG35" s="474" t="e">
        <f>#REF!*#REF!*#REF!</f>
        <v>#REF!</v>
      </c>
      <c r="BH35" s="474" t="e">
        <f>#REF!*#REF!*#REF!</f>
        <v>#REF!</v>
      </c>
      <c r="BI35" s="474" t="e">
        <f>#REF!*#REF!*#REF!</f>
        <v>#REF!</v>
      </c>
      <c r="BJ35" s="474" t="e">
        <f t="shared" si="18"/>
        <v>#REF!</v>
      </c>
      <c r="BK35" s="474" t="e">
        <f t="shared" si="19"/>
        <v>#REF!</v>
      </c>
      <c r="BL35" s="474" t="e">
        <f>#REF!*#REF!</f>
        <v>#REF!</v>
      </c>
      <c r="BM35" s="474" t="e">
        <f t="shared" si="20"/>
        <v>#REF!</v>
      </c>
      <c r="BN35" s="474" t="e">
        <f>#REF!*#REF!+#REF!*#REF!+#REF!*#REF!+#REF!*#REF!+#REF!*#REF!</f>
        <v>#REF!</v>
      </c>
      <c r="BO35" s="474" t="e">
        <f>#REF!*#REF!*#REF!+#REF!*#REF!*#REF!+#REF!*#REF!*#REF!+#REF!*#REF!*#REF!+#REF!*#REF!*#REF!</f>
        <v>#REF!</v>
      </c>
      <c r="BP35" s="475" t="e">
        <f t="shared" si="21"/>
        <v>#REF!</v>
      </c>
    </row>
    <row r="36" spans="1:68" s="471" customFormat="1" ht="21" customHeight="1" x14ac:dyDescent="0.35">
      <c r="A36" s="476">
        <v>34</v>
      </c>
      <c r="B36" s="476" t="s">
        <v>685</v>
      </c>
      <c r="C36" s="484">
        <v>0</v>
      </c>
      <c r="D36" s="476" t="s">
        <v>590</v>
      </c>
      <c r="E36" s="476"/>
      <c r="F36" s="483" t="s">
        <v>591</v>
      </c>
      <c r="G36" s="476" t="s">
        <v>592</v>
      </c>
      <c r="H36" s="476" t="s">
        <v>593</v>
      </c>
      <c r="I36" s="476" t="s">
        <v>686</v>
      </c>
      <c r="J36" s="476" t="s">
        <v>595</v>
      </c>
      <c r="K36" s="476">
        <v>139</v>
      </c>
      <c r="L36" s="476"/>
      <c r="M36" s="476" t="s">
        <v>76</v>
      </c>
      <c r="N36" s="476" t="s">
        <v>596</v>
      </c>
      <c r="O36" s="481" t="e">
        <f t="shared" si="15"/>
        <v>#DIV/0!</v>
      </c>
      <c r="P36" s="481">
        <f t="shared" si="16"/>
        <v>0</v>
      </c>
      <c r="Q36" s="476"/>
      <c r="R36" s="476" t="s">
        <v>146</v>
      </c>
      <c r="S36" s="476"/>
      <c r="T36" s="476" t="s">
        <v>147</v>
      </c>
      <c r="U36" s="476"/>
      <c r="V36" s="476" t="s">
        <v>597</v>
      </c>
      <c r="W36" s="476"/>
      <c r="X36" s="476" t="s">
        <v>148</v>
      </c>
      <c r="Y36" s="476"/>
      <c r="Z36" s="476" t="s">
        <v>150</v>
      </c>
      <c r="AA36" s="476"/>
      <c r="AB36" s="476" t="s">
        <v>570</v>
      </c>
      <c r="AC36" s="476"/>
      <c r="AD36" s="476" t="s">
        <v>122</v>
      </c>
      <c r="AE36" s="476"/>
      <c r="AF36" s="476" t="s">
        <v>123</v>
      </c>
      <c r="AG36" s="476"/>
      <c r="AH36" s="476"/>
      <c r="AI36" s="476" t="s">
        <v>614</v>
      </c>
      <c r="AJ36" s="476">
        <v>1</v>
      </c>
      <c r="AK36" s="476" t="s">
        <v>608</v>
      </c>
      <c r="AL36" s="476"/>
      <c r="AM36" s="476"/>
      <c r="AN36" s="476">
        <v>0.02</v>
      </c>
      <c r="AO36" s="476">
        <v>0.03</v>
      </c>
      <c r="AP36" s="476">
        <v>0.2</v>
      </c>
      <c r="AQ36" s="476">
        <v>0.3</v>
      </c>
      <c r="AR36" s="476">
        <v>0.1</v>
      </c>
      <c r="AS36" s="476">
        <v>0.1</v>
      </c>
      <c r="AT36" s="476">
        <v>0.15</v>
      </c>
      <c r="AU36" s="476">
        <v>0.1</v>
      </c>
      <c r="AV36" s="476">
        <v>401</v>
      </c>
      <c r="AW36" s="476" t="s">
        <v>599</v>
      </c>
      <c r="AX36" s="476" t="s">
        <v>599</v>
      </c>
      <c r="AY36" s="476" t="s">
        <v>599</v>
      </c>
      <c r="AZ36" s="476"/>
      <c r="BA36" s="476"/>
      <c r="BB36" s="476"/>
      <c r="BC36" s="476"/>
      <c r="BD36" s="474" t="e">
        <f>#REF!*#REF!+#REF!*#REF!+#REF!*#REF!+#REF!*#REF!+#REF!*#REF!</f>
        <v>#REF!</v>
      </c>
      <c r="BE36" s="474" t="e">
        <f>#REF!*#REF!*#REF!+#REF!*#REF!*#REF!+#REF!*#REF!*#REF!+#REF!*#REF!*#REF!+#REF!*#REF!*#REF!</f>
        <v>#REF!</v>
      </c>
      <c r="BF36" s="474" t="e">
        <f t="shared" si="17"/>
        <v>#REF!</v>
      </c>
      <c r="BG36" s="474" t="e">
        <f>#REF!*#REF!*#REF!</f>
        <v>#REF!</v>
      </c>
      <c r="BH36" s="474" t="e">
        <f>#REF!*#REF!*#REF!</f>
        <v>#REF!</v>
      </c>
      <c r="BI36" s="474" t="e">
        <f>#REF!*#REF!*#REF!</f>
        <v>#REF!</v>
      </c>
      <c r="BJ36" s="474" t="e">
        <f t="shared" si="18"/>
        <v>#REF!</v>
      </c>
      <c r="BK36" s="474" t="e">
        <f t="shared" si="19"/>
        <v>#REF!</v>
      </c>
      <c r="BL36" s="474" t="e">
        <f>#REF!*#REF!</f>
        <v>#REF!</v>
      </c>
      <c r="BM36" s="474" t="e">
        <f t="shared" si="20"/>
        <v>#REF!</v>
      </c>
      <c r="BN36" s="474" t="e">
        <f>#REF!*#REF!+#REF!*#REF!+#REF!*#REF!+#REF!*#REF!+#REF!*#REF!</f>
        <v>#REF!</v>
      </c>
      <c r="BO36" s="474" t="e">
        <f>#REF!*#REF!*#REF!+#REF!*#REF!*#REF!+#REF!*#REF!*#REF!+#REF!*#REF!*#REF!+#REF!*#REF!*#REF!</f>
        <v>#REF!</v>
      </c>
      <c r="BP36" s="475" t="e">
        <f t="shared" si="21"/>
        <v>#REF!</v>
      </c>
    </row>
    <row r="37" spans="1:68" s="471" customFormat="1" ht="21" customHeight="1" x14ac:dyDescent="0.35">
      <c r="A37" s="476">
        <v>35</v>
      </c>
      <c r="B37" s="476" t="s">
        <v>687</v>
      </c>
      <c r="C37" s="484">
        <v>0</v>
      </c>
      <c r="D37" s="476" t="s">
        <v>590</v>
      </c>
      <c r="E37" s="476"/>
      <c r="F37" s="483" t="s">
        <v>591</v>
      </c>
      <c r="G37" s="476" t="s">
        <v>592</v>
      </c>
      <c r="H37" s="476" t="s">
        <v>593</v>
      </c>
      <c r="I37" s="476" t="s">
        <v>688</v>
      </c>
      <c r="J37" s="476" t="s">
        <v>595</v>
      </c>
      <c r="K37" s="476">
        <v>210</v>
      </c>
      <c r="L37" s="476"/>
      <c r="M37" s="476" t="s">
        <v>76</v>
      </c>
      <c r="N37" s="476" t="s">
        <v>596</v>
      </c>
      <c r="O37" s="481" t="e">
        <f t="shared" si="15"/>
        <v>#DIV/0!</v>
      </c>
      <c r="P37" s="481">
        <f t="shared" si="16"/>
        <v>0</v>
      </c>
      <c r="Q37" s="476"/>
      <c r="R37" s="476" t="s">
        <v>146</v>
      </c>
      <c r="S37" s="476"/>
      <c r="T37" s="476" t="s">
        <v>147</v>
      </c>
      <c r="U37" s="476"/>
      <c r="V37" s="476" t="s">
        <v>597</v>
      </c>
      <c r="W37" s="476"/>
      <c r="X37" s="476" t="s">
        <v>148</v>
      </c>
      <c r="Y37" s="476"/>
      <c r="Z37" s="476" t="s">
        <v>150</v>
      </c>
      <c r="AA37" s="476"/>
      <c r="AB37" s="476" t="s">
        <v>570</v>
      </c>
      <c r="AC37" s="476"/>
      <c r="AD37" s="476" t="s">
        <v>122</v>
      </c>
      <c r="AE37" s="476"/>
      <c r="AF37" s="476" t="s">
        <v>123</v>
      </c>
      <c r="AG37" s="476"/>
      <c r="AH37" s="476"/>
      <c r="AI37" s="476" t="s">
        <v>614</v>
      </c>
      <c r="AJ37" s="476">
        <v>1</v>
      </c>
      <c r="AK37" s="476" t="s">
        <v>615</v>
      </c>
      <c r="AL37" s="476"/>
      <c r="AM37" s="476"/>
      <c r="AN37" s="476">
        <v>0.02</v>
      </c>
      <c r="AO37" s="476">
        <v>0.03</v>
      </c>
      <c r="AP37" s="476">
        <v>0.2</v>
      </c>
      <c r="AQ37" s="476">
        <v>0.3</v>
      </c>
      <c r="AR37" s="476">
        <v>0.1</v>
      </c>
      <c r="AS37" s="476">
        <v>0.1</v>
      </c>
      <c r="AT37" s="476">
        <v>0.15</v>
      </c>
      <c r="AU37" s="476">
        <v>0.1</v>
      </c>
      <c r="AV37" s="476">
        <v>401</v>
      </c>
      <c r="AW37" s="476" t="s">
        <v>599</v>
      </c>
      <c r="AX37" s="476" t="s">
        <v>599</v>
      </c>
      <c r="AY37" s="476" t="s">
        <v>599</v>
      </c>
      <c r="AZ37" s="476"/>
      <c r="BA37" s="476"/>
      <c r="BB37" s="476"/>
      <c r="BC37" s="476"/>
      <c r="BD37" s="474" t="e">
        <f>#REF!*#REF!+#REF!*#REF!+#REF!*#REF!+#REF!*#REF!+#REF!*#REF!</f>
        <v>#REF!</v>
      </c>
      <c r="BE37" s="474" t="e">
        <f>#REF!*#REF!*#REF!+#REF!*#REF!*#REF!+#REF!*#REF!*#REF!+#REF!*#REF!*#REF!+#REF!*#REF!*#REF!</f>
        <v>#REF!</v>
      </c>
      <c r="BF37" s="474" t="e">
        <f t="shared" si="17"/>
        <v>#REF!</v>
      </c>
      <c r="BG37" s="474" t="e">
        <f>#REF!*#REF!*#REF!</f>
        <v>#REF!</v>
      </c>
      <c r="BH37" s="474" t="e">
        <f>#REF!*#REF!*#REF!</f>
        <v>#REF!</v>
      </c>
      <c r="BI37" s="474" t="e">
        <f>#REF!*#REF!*#REF!</f>
        <v>#REF!</v>
      </c>
      <c r="BJ37" s="474" t="e">
        <f t="shared" si="18"/>
        <v>#REF!</v>
      </c>
      <c r="BK37" s="474" t="e">
        <f t="shared" si="19"/>
        <v>#REF!</v>
      </c>
      <c r="BL37" s="474" t="e">
        <f>#REF!*#REF!</f>
        <v>#REF!</v>
      </c>
      <c r="BM37" s="474" t="e">
        <f t="shared" si="20"/>
        <v>#REF!</v>
      </c>
      <c r="BN37" s="474" t="e">
        <f>#REF!*#REF!+#REF!*#REF!+#REF!*#REF!+#REF!*#REF!+#REF!*#REF!</f>
        <v>#REF!</v>
      </c>
      <c r="BO37" s="474" t="e">
        <f>#REF!*#REF!*#REF!+#REF!*#REF!*#REF!+#REF!*#REF!*#REF!+#REF!*#REF!*#REF!+#REF!*#REF!*#REF!</f>
        <v>#REF!</v>
      </c>
      <c r="BP37" s="475" t="e">
        <f t="shared" si="21"/>
        <v>#REF!</v>
      </c>
    </row>
    <row r="38" spans="1:68" s="471" customFormat="1" ht="21" customHeight="1" x14ac:dyDescent="0.35">
      <c r="A38" s="476">
        <v>36</v>
      </c>
      <c r="B38" s="476" t="s">
        <v>689</v>
      </c>
      <c r="C38" s="484">
        <v>0</v>
      </c>
      <c r="D38" s="476" t="s">
        <v>690</v>
      </c>
      <c r="E38" s="476"/>
      <c r="F38" s="483" t="s">
        <v>616</v>
      </c>
      <c r="G38" s="476" t="s">
        <v>691</v>
      </c>
      <c r="H38" s="476" t="s">
        <v>692</v>
      </c>
      <c r="I38" s="476" t="s">
        <v>693</v>
      </c>
      <c r="J38" s="476" t="s">
        <v>694</v>
      </c>
      <c r="K38" s="476">
        <v>107</v>
      </c>
      <c r="L38" s="476"/>
      <c r="M38" s="476" t="s">
        <v>76</v>
      </c>
      <c r="N38" s="476" t="s">
        <v>596</v>
      </c>
      <c r="O38" s="481" t="e">
        <f t="shared" si="15"/>
        <v>#DIV/0!</v>
      </c>
      <c r="P38" s="481">
        <f t="shared" si="16"/>
        <v>0</v>
      </c>
      <c r="Q38" s="476"/>
      <c r="R38" s="476" t="s">
        <v>146</v>
      </c>
      <c r="S38" s="476"/>
      <c r="T38" s="476" t="s">
        <v>147</v>
      </c>
      <c r="U38" s="476"/>
      <c r="V38" s="476" t="s">
        <v>597</v>
      </c>
      <c r="W38" s="476"/>
      <c r="X38" s="476" t="s">
        <v>148</v>
      </c>
      <c r="Y38" s="476"/>
      <c r="Z38" s="476" t="s">
        <v>150</v>
      </c>
      <c r="AA38" s="476"/>
      <c r="AB38" s="476" t="s">
        <v>570</v>
      </c>
      <c r="AC38" s="476"/>
      <c r="AD38" s="476" t="s">
        <v>122</v>
      </c>
      <c r="AE38" s="476"/>
      <c r="AF38" s="476" t="s">
        <v>123</v>
      </c>
      <c r="AG38" s="476"/>
      <c r="AH38" s="476"/>
      <c r="AI38" s="476" t="s">
        <v>695</v>
      </c>
      <c r="AJ38" s="476">
        <v>1</v>
      </c>
      <c r="AK38" s="476" t="s">
        <v>598</v>
      </c>
      <c r="AL38" s="476"/>
      <c r="AM38" s="476"/>
      <c r="AN38" s="476">
        <v>0.02</v>
      </c>
      <c r="AO38" s="476">
        <v>0.03</v>
      </c>
      <c r="AP38" s="476">
        <v>0.2</v>
      </c>
      <c r="AQ38" s="476">
        <v>0.3</v>
      </c>
      <c r="AR38" s="476">
        <v>0.1</v>
      </c>
      <c r="AS38" s="476">
        <v>0.1</v>
      </c>
      <c r="AT38" s="476">
        <v>0.15</v>
      </c>
      <c r="AU38" s="476">
        <v>0.1</v>
      </c>
      <c r="AV38" s="476">
        <v>401</v>
      </c>
      <c r="AW38" s="476" t="s">
        <v>599</v>
      </c>
      <c r="AX38" s="476" t="s">
        <v>599</v>
      </c>
      <c r="AY38" s="476" t="s">
        <v>599</v>
      </c>
      <c r="AZ38" s="476"/>
      <c r="BA38" s="476"/>
      <c r="BB38" s="476"/>
      <c r="BC38" s="476"/>
      <c r="BD38" s="474" t="e">
        <f>#REF!*#REF!+#REF!*#REF!+#REF!*#REF!+#REF!*#REF!+#REF!*#REF!</f>
        <v>#REF!</v>
      </c>
      <c r="BE38" s="474" t="e">
        <f>#REF!*#REF!*#REF!+#REF!*#REF!*#REF!+#REF!*#REF!*#REF!+#REF!*#REF!*#REF!+#REF!*#REF!*#REF!</f>
        <v>#REF!</v>
      </c>
      <c r="BF38" s="474" t="e">
        <f t="shared" si="17"/>
        <v>#REF!</v>
      </c>
      <c r="BG38" s="474" t="e">
        <f>#REF!*#REF!*#REF!</f>
        <v>#REF!</v>
      </c>
      <c r="BH38" s="474" t="e">
        <f>#REF!*#REF!*#REF!</f>
        <v>#REF!</v>
      </c>
      <c r="BI38" s="474" t="e">
        <f>#REF!*#REF!*#REF!</f>
        <v>#REF!</v>
      </c>
      <c r="BJ38" s="474" t="e">
        <f t="shared" si="18"/>
        <v>#REF!</v>
      </c>
      <c r="BK38" s="474" t="e">
        <f t="shared" si="19"/>
        <v>#REF!</v>
      </c>
      <c r="BL38" s="474" t="e">
        <f>#REF!*#REF!</f>
        <v>#REF!</v>
      </c>
      <c r="BM38" s="474" t="e">
        <f t="shared" si="20"/>
        <v>#REF!</v>
      </c>
      <c r="BN38" s="474" t="e">
        <f>#REF!*#REF!+#REF!*#REF!+#REF!*#REF!+#REF!*#REF!+#REF!*#REF!</f>
        <v>#REF!</v>
      </c>
      <c r="BO38" s="474" t="e">
        <f>#REF!*#REF!*#REF!+#REF!*#REF!*#REF!+#REF!*#REF!*#REF!+#REF!*#REF!*#REF!+#REF!*#REF!*#REF!</f>
        <v>#REF!</v>
      </c>
      <c r="BP38" s="475" t="e">
        <f t="shared" si="21"/>
        <v>#REF!</v>
      </c>
    </row>
    <row r="39" spans="1:68" s="471" customFormat="1" ht="21" customHeight="1" x14ac:dyDescent="0.35">
      <c r="A39" s="476">
        <v>37</v>
      </c>
      <c r="B39" s="476" t="s">
        <v>696</v>
      </c>
      <c r="C39" s="484">
        <v>0</v>
      </c>
      <c r="D39" s="476" t="s">
        <v>690</v>
      </c>
      <c r="E39" s="476"/>
      <c r="F39" s="483" t="s">
        <v>616</v>
      </c>
      <c r="G39" s="476" t="s">
        <v>691</v>
      </c>
      <c r="H39" s="476" t="s">
        <v>692</v>
      </c>
      <c r="I39" s="476" t="s">
        <v>697</v>
      </c>
      <c r="J39" s="476" t="s">
        <v>694</v>
      </c>
      <c r="K39" s="476">
        <v>400</v>
      </c>
      <c r="L39" s="476"/>
      <c r="M39" s="476" t="s">
        <v>76</v>
      </c>
      <c r="N39" s="476" t="s">
        <v>596</v>
      </c>
      <c r="O39" s="481" t="e">
        <f t="shared" si="15"/>
        <v>#DIV/0!</v>
      </c>
      <c r="P39" s="481">
        <f t="shared" si="16"/>
        <v>0</v>
      </c>
      <c r="Q39" s="476"/>
      <c r="R39" s="476" t="s">
        <v>146</v>
      </c>
      <c r="S39" s="476"/>
      <c r="T39" s="476" t="s">
        <v>147</v>
      </c>
      <c r="U39" s="476"/>
      <c r="V39" s="476" t="s">
        <v>597</v>
      </c>
      <c r="W39" s="476"/>
      <c r="X39" s="476" t="s">
        <v>148</v>
      </c>
      <c r="Y39" s="476"/>
      <c r="Z39" s="476" t="s">
        <v>150</v>
      </c>
      <c r="AA39" s="476"/>
      <c r="AB39" s="476" t="s">
        <v>570</v>
      </c>
      <c r="AC39" s="476"/>
      <c r="AD39" s="476" t="s">
        <v>122</v>
      </c>
      <c r="AE39" s="476"/>
      <c r="AF39" s="476" t="s">
        <v>123</v>
      </c>
      <c r="AG39" s="476"/>
      <c r="AH39" s="476"/>
      <c r="AI39" s="476" t="s">
        <v>695</v>
      </c>
      <c r="AJ39" s="476">
        <v>1</v>
      </c>
      <c r="AK39" s="476" t="s">
        <v>602</v>
      </c>
      <c r="AL39" s="476"/>
      <c r="AM39" s="476"/>
      <c r="AN39" s="476">
        <v>0.02</v>
      </c>
      <c r="AO39" s="476">
        <v>0.03</v>
      </c>
      <c r="AP39" s="476">
        <v>0.2</v>
      </c>
      <c r="AQ39" s="476">
        <v>0.3</v>
      </c>
      <c r="AR39" s="476">
        <v>0.1</v>
      </c>
      <c r="AS39" s="476">
        <v>0.1</v>
      </c>
      <c r="AT39" s="476">
        <v>0.15</v>
      </c>
      <c r="AU39" s="476">
        <v>0.1</v>
      </c>
      <c r="AV39" s="476">
        <v>401</v>
      </c>
      <c r="AW39" s="476" t="s">
        <v>599</v>
      </c>
      <c r="AX39" s="476" t="s">
        <v>599</v>
      </c>
      <c r="AY39" s="476" t="s">
        <v>599</v>
      </c>
      <c r="AZ39" s="476"/>
      <c r="BA39" s="476"/>
      <c r="BB39" s="476"/>
      <c r="BC39" s="476"/>
      <c r="BD39" s="474" t="e">
        <f>#REF!*#REF!+#REF!*#REF!+#REF!*#REF!+#REF!*#REF!+#REF!*#REF!</f>
        <v>#REF!</v>
      </c>
      <c r="BE39" s="474" t="e">
        <f>#REF!*#REF!*#REF!+#REF!*#REF!*#REF!+#REF!*#REF!*#REF!+#REF!*#REF!*#REF!+#REF!*#REF!*#REF!</f>
        <v>#REF!</v>
      </c>
      <c r="BF39" s="474" t="e">
        <f t="shared" si="17"/>
        <v>#REF!</v>
      </c>
      <c r="BG39" s="474" t="e">
        <f>#REF!*#REF!*#REF!</f>
        <v>#REF!</v>
      </c>
      <c r="BH39" s="474" t="e">
        <f>#REF!*#REF!*#REF!</f>
        <v>#REF!</v>
      </c>
      <c r="BI39" s="474" t="e">
        <f>#REF!*#REF!*#REF!</f>
        <v>#REF!</v>
      </c>
      <c r="BJ39" s="474" t="e">
        <f t="shared" si="18"/>
        <v>#REF!</v>
      </c>
      <c r="BK39" s="474" t="e">
        <f t="shared" si="19"/>
        <v>#REF!</v>
      </c>
      <c r="BL39" s="474" t="e">
        <f>#REF!*#REF!</f>
        <v>#REF!</v>
      </c>
      <c r="BM39" s="474" t="e">
        <f t="shared" si="20"/>
        <v>#REF!</v>
      </c>
      <c r="BN39" s="474" t="e">
        <f>#REF!*#REF!+#REF!*#REF!+#REF!*#REF!+#REF!*#REF!+#REF!*#REF!</f>
        <v>#REF!</v>
      </c>
      <c r="BO39" s="474" t="e">
        <f>#REF!*#REF!*#REF!+#REF!*#REF!*#REF!+#REF!*#REF!*#REF!+#REF!*#REF!*#REF!+#REF!*#REF!*#REF!</f>
        <v>#REF!</v>
      </c>
      <c r="BP39" s="475" t="e">
        <f t="shared" si="21"/>
        <v>#REF!</v>
      </c>
    </row>
    <row r="40" spans="1:68" s="471" customFormat="1" ht="21" customHeight="1" x14ac:dyDescent="0.35">
      <c r="A40" s="476">
        <v>38</v>
      </c>
      <c r="B40" s="476" t="s">
        <v>698</v>
      </c>
      <c r="C40" s="484">
        <v>0</v>
      </c>
      <c r="D40" s="476" t="s">
        <v>690</v>
      </c>
      <c r="E40" s="476"/>
      <c r="F40" s="483" t="s">
        <v>616</v>
      </c>
      <c r="G40" s="476" t="s">
        <v>691</v>
      </c>
      <c r="H40" s="476" t="s">
        <v>692</v>
      </c>
      <c r="I40" s="476" t="s">
        <v>699</v>
      </c>
      <c r="J40" s="476" t="s">
        <v>694</v>
      </c>
      <c r="K40" s="476">
        <v>71</v>
      </c>
      <c r="L40" s="476"/>
      <c r="M40" s="476" t="s">
        <v>76</v>
      </c>
      <c r="N40" s="476" t="s">
        <v>596</v>
      </c>
      <c r="O40" s="481" t="e">
        <f t="shared" si="15"/>
        <v>#DIV/0!</v>
      </c>
      <c r="P40" s="481">
        <f t="shared" si="16"/>
        <v>0</v>
      </c>
      <c r="Q40" s="476"/>
      <c r="R40" s="476" t="s">
        <v>146</v>
      </c>
      <c r="S40" s="476"/>
      <c r="T40" s="476" t="s">
        <v>147</v>
      </c>
      <c r="U40" s="476"/>
      <c r="V40" s="476" t="s">
        <v>597</v>
      </c>
      <c r="W40" s="476"/>
      <c r="X40" s="476" t="s">
        <v>148</v>
      </c>
      <c r="Y40" s="476"/>
      <c r="Z40" s="476" t="s">
        <v>150</v>
      </c>
      <c r="AA40" s="476"/>
      <c r="AB40" s="476" t="s">
        <v>570</v>
      </c>
      <c r="AC40" s="476"/>
      <c r="AD40" s="476" t="s">
        <v>122</v>
      </c>
      <c r="AE40" s="476"/>
      <c r="AF40" s="476" t="s">
        <v>123</v>
      </c>
      <c r="AG40" s="476"/>
      <c r="AH40" s="476"/>
      <c r="AI40" s="476"/>
      <c r="AJ40" s="476">
        <v>1</v>
      </c>
      <c r="AK40" s="476" t="s">
        <v>605</v>
      </c>
      <c r="AL40" s="476"/>
      <c r="AM40" s="476"/>
      <c r="AN40" s="476">
        <v>0.02</v>
      </c>
      <c r="AO40" s="476">
        <v>0.03</v>
      </c>
      <c r="AP40" s="476">
        <v>0.2</v>
      </c>
      <c r="AQ40" s="476">
        <v>0.3</v>
      </c>
      <c r="AR40" s="476">
        <v>0.1</v>
      </c>
      <c r="AS40" s="476">
        <v>0.1</v>
      </c>
      <c r="AT40" s="476">
        <v>0.15</v>
      </c>
      <c r="AU40" s="476">
        <v>0.1</v>
      </c>
      <c r="AV40" s="476">
        <v>120</v>
      </c>
      <c r="AW40" s="476" t="s">
        <v>599</v>
      </c>
      <c r="AX40" s="476" t="s">
        <v>599</v>
      </c>
      <c r="AY40" s="476" t="s">
        <v>599</v>
      </c>
      <c r="AZ40" s="476"/>
      <c r="BA40" s="476"/>
      <c r="BB40" s="476"/>
      <c r="BC40" s="476"/>
      <c r="BD40" s="474" t="e">
        <f>#REF!*#REF!+#REF!*#REF!+#REF!*#REF!+#REF!*#REF!+#REF!*#REF!</f>
        <v>#REF!</v>
      </c>
      <c r="BE40" s="474" t="e">
        <f>#REF!*#REF!*#REF!+#REF!*#REF!*#REF!+#REF!*#REF!*#REF!+#REF!*#REF!*#REF!+#REF!*#REF!*#REF!</f>
        <v>#REF!</v>
      </c>
      <c r="BF40" s="474" t="e">
        <f t="shared" si="17"/>
        <v>#REF!</v>
      </c>
      <c r="BG40" s="474" t="e">
        <f>#REF!*#REF!*#REF!</f>
        <v>#REF!</v>
      </c>
      <c r="BH40" s="474" t="e">
        <f>#REF!*#REF!*#REF!</f>
        <v>#REF!</v>
      </c>
      <c r="BI40" s="474" t="e">
        <f>#REF!*#REF!*#REF!</f>
        <v>#REF!</v>
      </c>
      <c r="BJ40" s="474" t="e">
        <f t="shared" si="18"/>
        <v>#REF!</v>
      </c>
      <c r="BK40" s="474" t="e">
        <f t="shared" si="19"/>
        <v>#REF!</v>
      </c>
      <c r="BL40" s="474" t="e">
        <f>#REF!*#REF!</f>
        <v>#REF!</v>
      </c>
      <c r="BM40" s="474" t="e">
        <f t="shared" si="20"/>
        <v>#REF!</v>
      </c>
      <c r="BN40" s="474" t="e">
        <f>#REF!*#REF!+#REF!*#REF!+#REF!*#REF!+#REF!*#REF!+#REF!*#REF!</f>
        <v>#REF!</v>
      </c>
      <c r="BO40" s="474" t="e">
        <f>#REF!*#REF!*#REF!+#REF!*#REF!*#REF!+#REF!*#REF!*#REF!+#REF!*#REF!*#REF!+#REF!*#REF!*#REF!</f>
        <v>#REF!</v>
      </c>
      <c r="BP40" s="475" t="e">
        <f t="shared" si="21"/>
        <v>#REF!</v>
      </c>
    </row>
    <row r="41" spans="1:68" s="471" customFormat="1" ht="21" customHeight="1" x14ac:dyDescent="0.35">
      <c r="A41" s="476">
        <v>39</v>
      </c>
      <c r="B41" s="476" t="s">
        <v>700</v>
      </c>
      <c r="C41" s="484">
        <v>0</v>
      </c>
      <c r="D41" s="476" t="s">
        <v>690</v>
      </c>
      <c r="E41" s="476"/>
      <c r="F41" s="483" t="s">
        <v>591</v>
      </c>
      <c r="G41" s="476" t="s">
        <v>701</v>
      </c>
      <c r="H41" s="476" t="s">
        <v>702</v>
      </c>
      <c r="I41" s="476" t="s">
        <v>703</v>
      </c>
      <c r="J41" s="476" t="s">
        <v>704</v>
      </c>
      <c r="K41" s="476">
        <v>282</v>
      </c>
      <c r="L41" s="476"/>
      <c r="M41" s="476" t="s">
        <v>76</v>
      </c>
      <c r="N41" s="476" t="s">
        <v>596</v>
      </c>
      <c r="O41" s="481" t="e">
        <f t="shared" si="15"/>
        <v>#DIV/0!</v>
      </c>
      <c r="P41" s="481">
        <f t="shared" si="16"/>
        <v>0</v>
      </c>
      <c r="Q41" s="476"/>
      <c r="R41" s="476" t="s">
        <v>146</v>
      </c>
      <c r="S41" s="476"/>
      <c r="T41" s="476" t="s">
        <v>147</v>
      </c>
      <c r="U41" s="476"/>
      <c r="V41" s="476" t="s">
        <v>597</v>
      </c>
      <c r="W41" s="476"/>
      <c r="X41" s="476" t="s">
        <v>148</v>
      </c>
      <c r="Y41" s="476"/>
      <c r="Z41" s="476" t="s">
        <v>150</v>
      </c>
      <c r="AA41" s="476"/>
      <c r="AB41" s="476" t="s">
        <v>570</v>
      </c>
      <c r="AC41" s="476"/>
      <c r="AD41" s="476" t="s">
        <v>122</v>
      </c>
      <c r="AE41" s="476"/>
      <c r="AF41" s="476" t="s">
        <v>123</v>
      </c>
      <c r="AG41" s="476"/>
      <c r="AH41" s="476"/>
      <c r="AI41" s="476" t="s">
        <v>695</v>
      </c>
      <c r="AJ41" s="476">
        <v>1</v>
      </c>
      <c r="AK41" s="476" t="s">
        <v>608</v>
      </c>
      <c r="AL41" s="476"/>
      <c r="AM41" s="476"/>
      <c r="AN41" s="476">
        <v>0.02</v>
      </c>
      <c r="AO41" s="476">
        <v>0.03</v>
      </c>
      <c r="AP41" s="476">
        <v>0.2</v>
      </c>
      <c r="AQ41" s="476">
        <v>0.3</v>
      </c>
      <c r="AR41" s="476">
        <v>0.1</v>
      </c>
      <c r="AS41" s="476">
        <v>0.1</v>
      </c>
      <c r="AT41" s="476">
        <v>0.15</v>
      </c>
      <c r="AU41" s="476">
        <v>0.1</v>
      </c>
      <c r="AV41" s="476">
        <v>401</v>
      </c>
      <c r="AW41" s="476" t="s">
        <v>599</v>
      </c>
      <c r="AX41" s="476" t="s">
        <v>599</v>
      </c>
      <c r="AY41" s="476" t="s">
        <v>599</v>
      </c>
      <c r="AZ41" s="476"/>
      <c r="BA41" s="476"/>
      <c r="BB41" s="476"/>
      <c r="BC41" s="476"/>
      <c r="BD41" s="474" t="e">
        <f>#REF!*#REF!+#REF!*#REF!+#REF!*#REF!+#REF!*#REF!+#REF!*#REF!</f>
        <v>#REF!</v>
      </c>
      <c r="BE41" s="474" t="e">
        <f>#REF!*#REF!*#REF!+#REF!*#REF!*#REF!+#REF!*#REF!*#REF!+#REF!*#REF!*#REF!+#REF!*#REF!*#REF!</f>
        <v>#REF!</v>
      </c>
      <c r="BF41" s="474" t="e">
        <f t="shared" si="17"/>
        <v>#REF!</v>
      </c>
      <c r="BG41" s="474" t="e">
        <f>#REF!*#REF!*#REF!</f>
        <v>#REF!</v>
      </c>
      <c r="BH41" s="474" t="e">
        <f>#REF!*#REF!*#REF!</f>
        <v>#REF!</v>
      </c>
      <c r="BI41" s="474" t="e">
        <f>#REF!*#REF!*#REF!</f>
        <v>#REF!</v>
      </c>
      <c r="BJ41" s="474" t="e">
        <f t="shared" si="18"/>
        <v>#REF!</v>
      </c>
      <c r="BK41" s="474" t="e">
        <f t="shared" si="19"/>
        <v>#REF!</v>
      </c>
      <c r="BL41" s="474" t="e">
        <f>#REF!*#REF!</f>
        <v>#REF!</v>
      </c>
      <c r="BM41" s="474" t="e">
        <f t="shared" si="20"/>
        <v>#REF!</v>
      </c>
      <c r="BN41" s="474" t="e">
        <f>#REF!*#REF!+#REF!*#REF!+#REF!*#REF!+#REF!*#REF!+#REF!*#REF!</f>
        <v>#REF!</v>
      </c>
      <c r="BO41" s="474" t="e">
        <f>#REF!*#REF!*#REF!+#REF!*#REF!*#REF!+#REF!*#REF!*#REF!+#REF!*#REF!*#REF!+#REF!*#REF!*#REF!</f>
        <v>#REF!</v>
      </c>
      <c r="BP41" s="475" t="e">
        <f t="shared" si="21"/>
        <v>#REF!</v>
      </c>
    </row>
    <row r="42" spans="1:68" s="471" customFormat="1" ht="21" customHeight="1" x14ac:dyDescent="0.35">
      <c r="A42" s="476">
        <v>40</v>
      </c>
      <c r="B42" s="476" t="s">
        <v>705</v>
      </c>
      <c r="C42" s="484">
        <v>1</v>
      </c>
      <c r="D42" s="476" t="s">
        <v>690</v>
      </c>
      <c r="E42" s="476"/>
      <c r="F42" s="483" t="s">
        <v>591</v>
      </c>
      <c r="G42" s="476" t="s">
        <v>701</v>
      </c>
      <c r="H42" s="476" t="s">
        <v>702</v>
      </c>
      <c r="I42" s="476" t="s">
        <v>706</v>
      </c>
      <c r="J42" s="476" t="s">
        <v>704</v>
      </c>
      <c r="K42" s="476">
        <v>144</v>
      </c>
      <c r="L42" s="476"/>
      <c r="M42" s="476" t="s">
        <v>76</v>
      </c>
      <c r="N42" s="476" t="s">
        <v>596</v>
      </c>
      <c r="O42" s="481" t="e">
        <f t="shared" si="15"/>
        <v>#DIV/0!</v>
      </c>
      <c r="P42" s="481">
        <f t="shared" si="16"/>
        <v>0</v>
      </c>
      <c r="Q42" s="476"/>
      <c r="R42" s="476" t="s">
        <v>146</v>
      </c>
      <c r="S42" s="476"/>
      <c r="T42" s="476" t="s">
        <v>147</v>
      </c>
      <c r="U42" s="476"/>
      <c r="V42" s="476" t="s">
        <v>597</v>
      </c>
      <c r="W42" s="476"/>
      <c r="X42" s="476" t="s">
        <v>148</v>
      </c>
      <c r="Y42" s="476"/>
      <c r="Z42" s="476" t="s">
        <v>150</v>
      </c>
      <c r="AA42" s="476"/>
      <c r="AB42" s="476" t="s">
        <v>570</v>
      </c>
      <c r="AC42" s="476"/>
      <c r="AD42" s="476" t="s">
        <v>122</v>
      </c>
      <c r="AE42" s="476"/>
      <c r="AF42" s="476" t="s">
        <v>123</v>
      </c>
      <c r="AG42" s="476"/>
      <c r="AH42" s="476"/>
      <c r="AI42" s="476"/>
      <c r="AJ42" s="476">
        <v>1</v>
      </c>
      <c r="AK42" s="476" t="s">
        <v>615</v>
      </c>
      <c r="AL42" s="476"/>
      <c r="AM42" s="476"/>
      <c r="AN42" s="476">
        <v>0.02</v>
      </c>
      <c r="AO42" s="476">
        <v>0.03</v>
      </c>
      <c r="AP42" s="476">
        <v>0.2</v>
      </c>
      <c r="AQ42" s="476">
        <v>0.3</v>
      </c>
      <c r="AR42" s="476">
        <v>0.1</v>
      </c>
      <c r="AS42" s="476">
        <v>0.1</v>
      </c>
      <c r="AT42" s="476">
        <v>0.15</v>
      </c>
      <c r="AU42" s="476">
        <v>0.1</v>
      </c>
      <c r="AV42" s="476">
        <v>120</v>
      </c>
      <c r="AW42" s="476" t="s">
        <v>599</v>
      </c>
      <c r="AX42" s="476" t="s">
        <v>599</v>
      </c>
      <c r="AY42" s="476" t="s">
        <v>599</v>
      </c>
      <c r="AZ42" s="476"/>
      <c r="BA42" s="476"/>
      <c r="BB42" s="476"/>
      <c r="BC42" s="476"/>
      <c r="BD42" s="474" t="e">
        <f>#REF!*#REF!+#REF!*#REF!+#REF!*#REF!+#REF!*#REF!+#REF!*#REF!</f>
        <v>#REF!</v>
      </c>
      <c r="BE42" s="474" t="e">
        <f>#REF!*#REF!*#REF!+#REF!*#REF!*#REF!+#REF!*#REF!*#REF!+#REF!*#REF!*#REF!+#REF!*#REF!*#REF!</f>
        <v>#REF!</v>
      </c>
      <c r="BF42" s="474" t="e">
        <f t="shared" si="17"/>
        <v>#REF!</v>
      </c>
      <c r="BG42" s="474" t="e">
        <f>#REF!*#REF!*#REF!</f>
        <v>#REF!</v>
      </c>
      <c r="BH42" s="474" t="e">
        <f>#REF!*#REF!*#REF!</f>
        <v>#REF!</v>
      </c>
      <c r="BI42" s="474" t="e">
        <f>#REF!*#REF!*#REF!</f>
        <v>#REF!</v>
      </c>
      <c r="BJ42" s="474" t="e">
        <f t="shared" si="18"/>
        <v>#REF!</v>
      </c>
      <c r="BK42" s="474" t="e">
        <f t="shared" si="19"/>
        <v>#REF!</v>
      </c>
      <c r="BL42" s="474" t="e">
        <f>#REF!*#REF!</f>
        <v>#REF!</v>
      </c>
      <c r="BM42" s="474" t="e">
        <f t="shared" si="20"/>
        <v>#REF!</v>
      </c>
      <c r="BN42" s="474" t="e">
        <f>#REF!*#REF!+#REF!*#REF!+#REF!*#REF!+#REF!*#REF!+#REF!*#REF!</f>
        <v>#REF!</v>
      </c>
      <c r="BO42" s="474" t="e">
        <f>#REF!*#REF!*#REF!+#REF!*#REF!*#REF!+#REF!*#REF!*#REF!+#REF!*#REF!*#REF!+#REF!*#REF!*#REF!</f>
        <v>#REF!</v>
      </c>
      <c r="BP42" s="475" t="e">
        <f t="shared" si="21"/>
        <v>#REF!</v>
      </c>
    </row>
    <row r="43" spans="1:68" s="471" customFormat="1" ht="21" customHeight="1" x14ac:dyDescent="0.35">
      <c r="A43" s="476">
        <v>41</v>
      </c>
      <c r="B43" s="476" t="s">
        <v>707</v>
      </c>
      <c r="C43" s="484">
        <v>0</v>
      </c>
      <c r="D43" s="476" t="s">
        <v>690</v>
      </c>
      <c r="E43" s="476"/>
      <c r="F43" s="483" t="s">
        <v>591</v>
      </c>
      <c r="G43" s="476" t="s">
        <v>701</v>
      </c>
      <c r="H43" s="476" t="s">
        <v>702</v>
      </c>
      <c r="I43" s="476" t="s">
        <v>708</v>
      </c>
      <c r="J43" s="476" t="s">
        <v>704</v>
      </c>
      <c r="K43" s="476">
        <v>218</v>
      </c>
      <c r="L43" s="476"/>
      <c r="M43" s="476" t="s">
        <v>76</v>
      </c>
      <c r="N43" s="476" t="s">
        <v>596</v>
      </c>
      <c r="O43" s="481" t="e">
        <f t="shared" si="15"/>
        <v>#DIV/0!</v>
      </c>
      <c r="P43" s="481">
        <f t="shared" si="16"/>
        <v>0</v>
      </c>
      <c r="Q43" s="476"/>
      <c r="R43" s="476" t="s">
        <v>146</v>
      </c>
      <c r="S43" s="476"/>
      <c r="T43" s="476" t="s">
        <v>147</v>
      </c>
      <c r="U43" s="476"/>
      <c r="V43" s="476" t="s">
        <v>597</v>
      </c>
      <c r="W43" s="476"/>
      <c r="X43" s="476" t="s">
        <v>148</v>
      </c>
      <c r="Y43" s="476"/>
      <c r="Z43" s="476" t="s">
        <v>150</v>
      </c>
      <c r="AA43" s="476"/>
      <c r="AB43" s="476" t="s">
        <v>570</v>
      </c>
      <c r="AC43" s="476"/>
      <c r="AD43" s="476" t="s">
        <v>122</v>
      </c>
      <c r="AE43" s="476"/>
      <c r="AF43" s="476" t="s">
        <v>123</v>
      </c>
      <c r="AG43" s="476"/>
      <c r="AH43" s="476"/>
      <c r="AI43" s="476"/>
      <c r="AJ43" s="476">
        <v>1</v>
      </c>
      <c r="AK43" s="476" t="s">
        <v>598</v>
      </c>
      <c r="AL43" s="476"/>
      <c r="AM43" s="476"/>
      <c r="AN43" s="476">
        <v>0.02</v>
      </c>
      <c r="AO43" s="476">
        <v>0.03</v>
      </c>
      <c r="AP43" s="476">
        <v>0.2</v>
      </c>
      <c r="AQ43" s="476">
        <v>0.3</v>
      </c>
      <c r="AR43" s="476">
        <v>0.1</v>
      </c>
      <c r="AS43" s="476">
        <v>0.1</v>
      </c>
      <c r="AT43" s="476">
        <v>0.15</v>
      </c>
      <c r="AU43" s="476">
        <v>0.1</v>
      </c>
      <c r="AV43" s="476">
        <v>120</v>
      </c>
      <c r="AW43" s="476" t="s">
        <v>599</v>
      </c>
      <c r="AX43" s="476" t="s">
        <v>599</v>
      </c>
      <c r="AY43" s="476" t="s">
        <v>599</v>
      </c>
      <c r="AZ43" s="476"/>
      <c r="BA43" s="476"/>
      <c r="BB43" s="476"/>
      <c r="BC43" s="476"/>
      <c r="BD43" s="474" t="e">
        <f>#REF!*#REF!+#REF!*#REF!+#REF!*#REF!+#REF!*#REF!+#REF!*#REF!</f>
        <v>#REF!</v>
      </c>
      <c r="BE43" s="474" t="e">
        <f>#REF!*#REF!*#REF!+#REF!*#REF!*#REF!+#REF!*#REF!*#REF!+#REF!*#REF!*#REF!+#REF!*#REF!*#REF!</f>
        <v>#REF!</v>
      </c>
      <c r="BF43" s="474" t="e">
        <f t="shared" si="17"/>
        <v>#REF!</v>
      </c>
      <c r="BG43" s="474" t="e">
        <f>#REF!*#REF!*#REF!</f>
        <v>#REF!</v>
      </c>
      <c r="BH43" s="474" t="e">
        <f>#REF!*#REF!*#REF!</f>
        <v>#REF!</v>
      </c>
      <c r="BI43" s="474" t="e">
        <f>#REF!*#REF!*#REF!</f>
        <v>#REF!</v>
      </c>
      <c r="BJ43" s="474" t="e">
        <f t="shared" si="18"/>
        <v>#REF!</v>
      </c>
      <c r="BK43" s="474" t="e">
        <f t="shared" si="19"/>
        <v>#REF!</v>
      </c>
      <c r="BL43" s="474" t="e">
        <f>#REF!*#REF!</f>
        <v>#REF!</v>
      </c>
      <c r="BM43" s="474" t="e">
        <f t="shared" si="20"/>
        <v>#REF!</v>
      </c>
      <c r="BN43" s="474" t="e">
        <f>#REF!*#REF!+#REF!*#REF!+#REF!*#REF!+#REF!*#REF!+#REF!*#REF!</f>
        <v>#REF!</v>
      </c>
      <c r="BO43" s="474" t="e">
        <f>#REF!*#REF!*#REF!+#REF!*#REF!*#REF!+#REF!*#REF!*#REF!+#REF!*#REF!*#REF!+#REF!*#REF!*#REF!</f>
        <v>#REF!</v>
      </c>
      <c r="BP43" s="475" t="e">
        <f t="shared" si="21"/>
        <v>#REF!</v>
      </c>
    </row>
    <row r="44" spans="1:68" s="471" customFormat="1" ht="21" customHeight="1" x14ac:dyDescent="0.35">
      <c r="A44" s="476">
        <v>42</v>
      </c>
      <c r="B44" s="476" t="s">
        <v>709</v>
      </c>
      <c r="C44" s="484">
        <v>0</v>
      </c>
      <c r="D44" s="476" t="s">
        <v>590</v>
      </c>
      <c r="E44" s="476"/>
      <c r="F44" s="483" t="s">
        <v>591</v>
      </c>
      <c r="G44" s="476" t="s">
        <v>592</v>
      </c>
      <c r="H44" s="476" t="s">
        <v>593</v>
      </c>
      <c r="I44" s="476" t="s">
        <v>710</v>
      </c>
      <c r="J44" s="476" t="s">
        <v>595</v>
      </c>
      <c r="K44" s="476">
        <v>82</v>
      </c>
      <c r="L44" s="476"/>
      <c r="M44" s="476" t="s">
        <v>76</v>
      </c>
      <c r="N44" s="476" t="s">
        <v>596</v>
      </c>
      <c r="O44" s="481" t="e">
        <f t="shared" si="15"/>
        <v>#DIV/0!</v>
      </c>
      <c r="P44" s="481">
        <f t="shared" si="16"/>
        <v>0</v>
      </c>
      <c r="Q44" s="476"/>
      <c r="R44" s="476" t="s">
        <v>146</v>
      </c>
      <c r="S44" s="476"/>
      <c r="T44" s="476" t="s">
        <v>147</v>
      </c>
      <c r="U44" s="476"/>
      <c r="V44" s="476" t="s">
        <v>597</v>
      </c>
      <c r="W44" s="476"/>
      <c r="X44" s="476" t="s">
        <v>148</v>
      </c>
      <c r="Y44" s="476"/>
      <c r="Z44" s="476" t="s">
        <v>150</v>
      </c>
      <c r="AA44" s="476"/>
      <c r="AB44" s="476" t="s">
        <v>570</v>
      </c>
      <c r="AC44" s="476"/>
      <c r="AD44" s="476" t="s">
        <v>122</v>
      </c>
      <c r="AE44" s="476"/>
      <c r="AF44" s="476" t="s">
        <v>123</v>
      </c>
      <c r="AG44" s="476"/>
      <c r="AH44" s="476"/>
      <c r="AI44" s="476" t="s">
        <v>614</v>
      </c>
      <c r="AJ44" s="476">
        <v>1</v>
      </c>
      <c r="AK44" s="476" t="s">
        <v>602</v>
      </c>
      <c r="AL44" s="476"/>
      <c r="AM44" s="476"/>
      <c r="AN44" s="476">
        <v>0.02</v>
      </c>
      <c r="AO44" s="476">
        <v>0.03</v>
      </c>
      <c r="AP44" s="476">
        <v>0.2</v>
      </c>
      <c r="AQ44" s="476">
        <v>0.3</v>
      </c>
      <c r="AR44" s="476">
        <v>0.1</v>
      </c>
      <c r="AS44" s="476">
        <v>0.1</v>
      </c>
      <c r="AT44" s="476">
        <v>0.15</v>
      </c>
      <c r="AU44" s="476">
        <v>0.1</v>
      </c>
      <c r="AV44" s="476">
        <v>401</v>
      </c>
      <c r="AW44" s="476" t="s">
        <v>599</v>
      </c>
      <c r="AX44" s="476" t="s">
        <v>599</v>
      </c>
      <c r="AY44" s="476" t="s">
        <v>599</v>
      </c>
      <c r="AZ44" s="476"/>
      <c r="BA44" s="476"/>
      <c r="BB44" s="476"/>
      <c r="BC44" s="476"/>
      <c r="BD44" s="474" t="e">
        <f>#REF!*#REF!+#REF!*#REF!+#REF!*#REF!+#REF!*#REF!+#REF!*#REF!</f>
        <v>#REF!</v>
      </c>
      <c r="BE44" s="474" t="e">
        <f>#REF!*#REF!*#REF!+#REF!*#REF!*#REF!+#REF!*#REF!*#REF!+#REF!*#REF!*#REF!+#REF!*#REF!*#REF!</f>
        <v>#REF!</v>
      </c>
      <c r="BF44" s="474" t="e">
        <f t="shared" si="17"/>
        <v>#REF!</v>
      </c>
      <c r="BG44" s="474" t="e">
        <f>#REF!*#REF!*#REF!</f>
        <v>#REF!</v>
      </c>
      <c r="BH44" s="474" t="e">
        <f>#REF!*#REF!*#REF!</f>
        <v>#REF!</v>
      </c>
      <c r="BI44" s="474" t="e">
        <f>#REF!*#REF!*#REF!</f>
        <v>#REF!</v>
      </c>
      <c r="BJ44" s="474" t="e">
        <f t="shared" si="18"/>
        <v>#REF!</v>
      </c>
      <c r="BK44" s="474" t="e">
        <f t="shared" si="19"/>
        <v>#REF!</v>
      </c>
      <c r="BL44" s="474" t="e">
        <f>#REF!*#REF!</f>
        <v>#REF!</v>
      </c>
      <c r="BM44" s="474" t="e">
        <f t="shared" si="20"/>
        <v>#REF!</v>
      </c>
      <c r="BN44" s="474" t="e">
        <f>#REF!*#REF!+#REF!*#REF!+#REF!*#REF!+#REF!*#REF!+#REF!*#REF!</f>
        <v>#REF!</v>
      </c>
      <c r="BO44" s="474" t="e">
        <f>#REF!*#REF!*#REF!+#REF!*#REF!*#REF!+#REF!*#REF!*#REF!+#REF!*#REF!*#REF!+#REF!*#REF!*#REF!</f>
        <v>#REF!</v>
      </c>
      <c r="BP44" s="475" t="e">
        <f t="shared" si="21"/>
        <v>#REF!</v>
      </c>
    </row>
    <row r="45" spans="1:68" s="471" customFormat="1" ht="21" customHeight="1" x14ac:dyDescent="0.35">
      <c r="A45" s="476">
        <v>43</v>
      </c>
      <c r="B45" s="476" t="s">
        <v>711</v>
      </c>
      <c r="C45" s="484">
        <v>0</v>
      </c>
      <c r="D45" s="476" t="s">
        <v>590</v>
      </c>
      <c r="E45" s="476"/>
      <c r="F45" s="483" t="s">
        <v>591</v>
      </c>
      <c r="G45" s="476" t="s">
        <v>592</v>
      </c>
      <c r="H45" s="476" t="s">
        <v>593</v>
      </c>
      <c r="I45" s="476" t="s">
        <v>712</v>
      </c>
      <c r="J45" s="476" t="s">
        <v>595</v>
      </c>
      <c r="K45" s="476">
        <v>63</v>
      </c>
      <c r="L45" s="476"/>
      <c r="M45" s="476" t="s">
        <v>76</v>
      </c>
      <c r="N45" s="476" t="s">
        <v>596</v>
      </c>
      <c r="O45" s="481" t="e">
        <f t="shared" si="15"/>
        <v>#DIV/0!</v>
      </c>
      <c r="P45" s="481">
        <f t="shared" si="16"/>
        <v>0</v>
      </c>
      <c r="Q45" s="476"/>
      <c r="R45" s="476" t="s">
        <v>146</v>
      </c>
      <c r="S45" s="476"/>
      <c r="T45" s="476" t="s">
        <v>147</v>
      </c>
      <c r="U45" s="476"/>
      <c r="V45" s="476" t="s">
        <v>597</v>
      </c>
      <c r="W45" s="476"/>
      <c r="X45" s="476" t="s">
        <v>148</v>
      </c>
      <c r="Y45" s="476"/>
      <c r="Z45" s="476" t="s">
        <v>150</v>
      </c>
      <c r="AA45" s="476"/>
      <c r="AB45" s="476" t="s">
        <v>570</v>
      </c>
      <c r="AC45" s="476"/>
      <c r="AD45" s="476" t="s">
        <v>122</v>
      </c>
      <c r="AE45" s="476"/>
      <c r="AF45" s="476" t="s">
        <v>123</v>
      </c>
      <c r="AG45" s="476"/>
      <c r="AH45" s="476"/>
      <c r="AI45" s="476" t="s">
        <v>614</v>
      </c>
      <c r="AJ45" s="476">
        <v>1</v>
      </c>
      <c r="AK45" s="476" t="s">
        <v>605</v>
      </c>
      <c r="AL45" s="476"/>
      <c r="AM45" s="476"/>
      <c r="AN45" s="476">
        <v>0.02</v>
      </c>
      <c r="AO45" s="476">
        <v>0.03</v>
      </c>
      <c r="AP45" s="476">
        <v>0.2</v>
      </c>
      <c r="AQ45" s="476">
        <v>0.3</v>
      </c>
      <c r="AR45" s="476">
        <v>0.1</v>
      </c>
      <c r="AS45" s="476">
        <v>0.1</v>
      </c>
      <c r="AT45" s="476">
        <v>0.15</v>
      </c>
      <c r="AU45" s="476">
        <v>0.1</v>
      </c>
      <c r="AV45" s="476">
        <v>401</v>
      </c>
      <c r="AW45" s="476" t="s">
        <v>599</v>
      </c>
      <c r="AX45" s="476" t="s">
        <v>599</v>
      </c>
      <c r="AY45" s="476" t="s">
        <v>599</v>
      </c>
      <c r="AZ45" s="476"/>
      <c r="BA45" s="476"/>
      <c r="BB45" s="476"/>
      <c r="BC45" s="476"/>
      <c r="BD45" s="474" t="e">
        <f>#REF!*#REF!+#REF!*#REF!+#REF!*#REF!+#REF!*#REF!+#REF!*#REF!</f>
        <v>#REF!</v>
      </c>
      <c r="BE45" s="474" t="e">
        <f>#REF!*#REF!*#REF!+#REF!*#REF!*#REF!+#REF!*#REF!*#REF!+#REF!*#REF!*#REF!+#REF!*#REF!*#REF!</f>
        <v>#REF!</v>
      </c>
      <c r="BF45" s="474" t="e">
        <f t="shared" si="17"/>
        <v>#REF!</v>
      </c>
      <c r="BG45" s="474" t="e">
        <f>#REF!*#REF!*#REF!</f>
        <v>#REF!</v>
      </c>
      <c r="BH45" s="474" t="e">
        <f>#REF!*#REF!*#REF!</f>
        <v>#REF!</v>
      </c>
      <c r="BI45" s="474" t="e">
        <f>#REF!*#REF!*#REF!</f>
        <v>#REF!</v>
      </c>
      <c r="BJ45" s="474" t="e">
        <f t="shared" si="18"/>
        <v>#REF!</v>
      </c>
      <c r="BK45" s="474" t="e">
        <f t="shared" si="19"/>
        <v>#REF!</v>
      </c>
      <c r="BL45" s="474" t="e">
        <f>#REF!*#REF!</f>
        <v>#REF!</v>
      </c>
      <c r="BM45" s="474" t="e">
        <f t="shared" si="20"/>
        <v>#REF!</v>
      </c>
      <c r="BN45" s="474" t="e">
        <f>#REF!*#REF!+#REF!*#REF!+#REF!*#REF!+#REF!*#REF!+#REF!*#REF!</f>
        <v>#REF!</v>
      </c>
      <c r="BO45" s="474" t="e">
        <f>#REF!*#REF!*#REF!+#REF!*#REF!*#REF!+#REF!*#REF!*#REF!+#REF!*#REF!*#REF!+#REF!*#REF!*#REF!</f>
        <v>#REF!</v>
      </c>
      <c r="BP45" s="475" t="e">
        <f t="shared" si="21"/>
        <v>#REF!</v>
      </c>
    </row>
    <row r="46" spans="1:68" s="471" customFormat="1" ht="21" customHeight="1" x14ac:dyDescent="0.35">
      <c r="A46" s="476">
        <v>44</v>
      </c>
      <c r="B46" s="476" t="s">
        <v>713</v>
      </c>
      <c r="C46" s="484">
        <v>0</v>
      </c>
      <c r="D46" s="476" t="s">
        <v>590</v>
      </c>
      <c r="E46" s="476"/>
      <c r="F46" s="483" t="s">
        <v>591</v>
      </c>
      <c r="G46" s="476" t="s">
        <v>592</v>
      </c>
      <c r="H46" s="476" t="s">
        <v>593</v>
      </c>
      <c r="I46" s="476" t="s">
        <v>714</v>
      </c>
      <c r="J46" s="476" t="s">
        <v>595</v>
      </c>
      <c r="K46" s="476">
        <v>51</v>
      </c>
      <c r="L46" s="476"/>
      <c r="M46" s="476" t="s">
        <v>76</v>
      </c>
      <c r="N46" s="476" t="s">
        <v>596</v>
      </c>
      <c r="O46" s="481" t="e">
        <f t="shared" si="15"/>
        <v>#DIV/0!</v>
      </c>
      <c r="P46" s="481">
        <f t="shared" si="16"/>
        <v>0</v>
      </c>
      <c r="Q46" s="476"/>
      <c r="R46" s="476" t="s">
        <v>146</v>
      </c>
      <c r="S46" s="476"/>
      <c r="T46" s="476" t="s">
        <v>147</v>
      </c>
      <c r="U46" s="476"/>
      <c r="V46" s="476" t="s">
        <v>597</v>
      </c>
      <c r="W46" s="476"/>
      <c r="X46" s="476" t="s">
        <v>148</v>
      </c>
      <c r="Y46" s="476"/>
      <c r="Z46" s="476" t="s">
        <v>150</v>
      </c>
      <c r="AA46" s="476"/>
      <c r="AB46" s="476" t="s">
        <v>570</v>
      </c>
      <c r="AC46" s="476"/>
      <c r="AD46" s="476" t="s">
        <v>122</v>
      </c>
      <c r="AE46" s="476"/>
      <c r="AF46" s="476" t="s">
        <v>123</v>
      </c>
      <c r="AG46" s="476"/>
      <c r="AH46" s="476"/>
      <c r="AI46" s="476"/>
      <c r="AJ46" s="476">
        <v>1</v>
      </c>
      <c r="AK46" s="476" t="s">
        <v>608</v>
      </c>
      <c r="AL46" s="476"/>
      <c r="AM46" s="476"/>
      <c r="AN46" s="476">
        <v>0.02</v>
      </c>
      <c r="AO46" s="476">
        <v>0.03</v>
      </c>
      <c r="AP46" s="476">
        <v>0.2</v>
      </c>
      <c r="AQ46" s="476">
        <v>0.3</v>
      </c>
      <c r="AR46" s="476">
        <v>0.1</v>
      </c>
      <c r="AS46" s="476">
        <v>0.1</v>
      </c>
      <c r="AT46" s="476">
        <v>0.15</v>
      </c>
      <c r="AU46" s="476">
        <v>0.1</v>
      </c>
      <c r="AV46" s="476">
        <v>120</v>
      </c>
      <c r="AW46" s="476" t="s">
        <v>599</v>
      </c>
      <c r="AX46" s="476" t="s">
        <v>599</v>
      </c>
      <c r="AY46" s="476" t="s">
        <v>599</v>
      </c>
      <c r="AZ46" s="476"/>
      <c r="BA46" s="476"/>
      <c r="BB46" s="476"/>
      <c r="BC46" s="476"/>
      <c r="BD46" s="474" t="e">
        <f>#REF!*#REF!+#REF!*#REF!+#REF!*#REF!+#REF!*#REF!+#REF!*#REF!</f>
        <v>#REF!</v>
      </c>
      <c r="BE46" s="474" t="e">
        <f>#REF!*#REF!*#REF!+#REF!*#REF!*#REF!+#REF!*#REF!*#REF!+#REF!*#REF!*#REF!+#REF!*#REF!*#REF!</f>
        <v>#REF!</v>
      </c>
      <c r="BF46" s="474" t="e">
        <f t="shared" si="17"/>
        <v>#REF!</v>
      </c>
      <c r="BG46" s="474" t="e">
        <f>#REF!*#REF!*#REF!</f>
        <v>#REF!</v>
      </c>
      <c r="BH46" s="474" t="e">
        <f>#REF!*#REF!*#REF!</f>
        <v>#REF!</v>
      </c>
      <c r="BI46" s="474" t="e">
        <f>#REF!*#REF!*#REF!</f>
        <v>#REF!</v>
      </c>
      <c r="BJ46" s="474" t="e">
        <f t="shared" si="18"/>
        <v>#REF!</v>
      </c>
      <c r="BK46" s="474" t="e">
        <f t="shared" si="19"/>
        <v>#REF!</v>
      </c>
      <c r="BL46" s="474" t="e">
        <f>#REF!*#REF!</f>
        <v>#REF!</v>
      </c>
      <c r="BM46" s="474" t="e">
        <f t="shared" si="20"/>
        <v>#REF!</v>
      </c>
      <c r="BN46" s="474" t="e">
        <f>#REF!*#REF!+#REF!*#REF!+#REF!*#REF!+#REF!*#REF!+#REF!*#REF!</f>
        <v>#REF!</v>
      </c>
      <c r="BO46" s="474" t="e">
        <f>#REF!*#REF!*#REF!+#REF!*#REF!*#REF!+#REF!*#REF!*#REF!+#REF!*#REF!*#REF!+#REF!*#REF!*#REF!</f>
        <v>#REF!</v>
      </c>
      <c r="BP46" s="475" t="e">
        <f t="shared" si="21"/>
        <v>#REF!</v>
      </c>
    </row>
    <row r="47" spans="1:68" s="471" customFormat="1" ht="21" customHeight="1" x14ac:dyDescent="0.35">
      <c r="A47" s="476">
        <v>45</v>
      </c>
      <c r="B47" s="476" t="s">
        <v>715</v>
      </c>
      <c r="C47" s="484">
        <v>0</v>
      </c>
      <c r="D47" s="476" t="s">
        <v>590</v>
      </c>
      <c r="E47" s="476"/>
      <c r="F47" s="483" t="s">
        <v>591</v>
      </c>
      <c r="G47" s="476" t="s">
        <v>592</v>
      </c>
      <c r="H47" s="476" t="s">
        <v>593</v>
      </c>
      <c r="I47" s="476" t="s">
        <v>716</v>
      </c>
      <c r="J47" s="476" t="s">
        <v>595</v>
      </c>
      <c r="K47" s="476">
        <v>46</v>
      </c>
      <c r="L47" s="476"/>
      <c r="M47" s="476" t="s">
        <v>76</v>
      </c>
      <c r="N47" s="476" t="s">
        <v>596</v>
      </c>
      <c r="O47" s="481" t="e">
        <f t="shared" si="15"/>
        <v>#DIV/0!</v>
      </c>
      <c r="P47" s="481">
        <f t="shared" si="16"/>
        <v>0</v>
      </c>
      <c r="Q47" s="476"/>
      <c r="R47" s="476" t="s">
        <v>146</v>
      </c>
      <c r="S47" s="476"/>
      <c r="T47" s="476" t="s">
        <v>147</v>
      </c>
      <c r="U47" s="476"/>
      <c r="V47" s="476" t="s">
        <v>597</v>
      </c>
      <c r="W47" s="476"/>
      <c r="X47" s="476" t="s">
        <v>148</v>
      </c>
      <c r="Y47" s="476"/>
      <c r="Z47" s="476" t="s">
        <v>150</v>
      </c>
      <c r="AA47" s="476"/>
      <c r="AB47" s="476" t="s">
        <v>570</v>
      </c>
      <c r="AC47" s="476"/>
      <c r="AD47" s="476" t="s">
        <v>122</v>
      </c>
      <c r="AE47" s="476"/>
      <c r="AF47" s="476" t="s">
        <v>123</v>
      </c>
      <c r="AG47" s="476"/>
      <c r="AH47" s="476"/>
      <c r="AI47" s="476"/>
      <c r="AJ47" s="476">
        <v>1</v>
      </c>
      <c r="AK47" s="476" t="s">
        <v>615</v>
      </c>
      <c r="AL47" s="476"/>
      <c r="AM47" s="476"/>
      <c r="AN47" s="476">
        <v>0.02</v>
      </c>
      <c r="AO47" s="476">
        <v>0.03</v>
      </c>
      <c r="AP47" s="476">
        <v>0.2</v>
      </c>
      <c r="AQ47" s="476">
        <v>0.3</v>
      </c>
      <c r="AR47" s="476">
        <v>0.1</v>
      </c>
      <c r="AS47" s="476">
        <v>0.1</v>
      </c>
      <c r="AT47" s="476">
        <v>0.15</v>
      </c>
      <c r="AU47" s="476">
        <v>0.1</v>
      </c>
      <c r="AV47" s="476">
        <v>120</v>
      </c>
      <c r="AW47" s="476" t="s">
        <v>599</v>
      </c>
      <c r="AX47" s="476" t="s">
        <v>599</v>
      </c>
      <c r="AY47" s="476" t="s">
        <v>599</v>
      </c>
      <c r="AZ47" s="476"/>
      <c r="BA47" s="476"/>
      <c r="BB47" s="476"/>
      <c r="BC47" s="476"/>
      <c r="BD47" s="474" t="e">
        <f>#REF!*#REF!+#REF!*#REF!+#REF!*#REF!+#REF!*#REF!+#REF!*#REF!</f>
        <v>#REF!</v>
      </c>
      <c r="BE47" s="474" t="e">
        <f>#REF!*#REF!*#REF!+#REF!*#REF!*#REF!+#REF!*#REF!*#REF!+#REF!*#REF!*#REF!+#REF!*#REF!*#REF!</f>
        <v>#REF!</v>
      </c>
      <c r="BF47" s="474" t="e">
        <f t="shared" si="17"/>
        <v>#REF!</v>
      </c>
      <c r="BG47" s="474" t="e">
        <f>#REF!*#REF!*#REF!</f>
        <v>#REF!</v>
      </c>
      <c r="BH47" s="474" t="e">
        <f>#REF!*#REF!*#REF!</f>
        <v>#REF!</v>
      </c>
      <c r="BI47" s="474" t="e">
        <f>#REF!*#REF!*#REF!</f>
        <v>#REF!</v>
      </c>
      <c r="BJ47" s="474" t="e">
        <f t="shared" si="18"/>
        <v>#REF!</v>
      </c>
      <c r="BK47" s="474" t="e">
        <f t="shared" si="19"/>
        <v>#REF!</v>
      </c>
      <c r="BL47" s="474" t="e">
        <f>#REF!*#REF!</f>
        <v>#REF!</v>
      </c>
      <c r="BM47" s="474" t="e">
        <f t="shared" si="20"/>
        <v>#REF!</v>
      </c>
      <c r="BN47" s="474" t="e">
        <f>#REF!*#REF!+#REF!*#REF!+#REF!*#REF!+#REF!*#REF!+#REF!*#REF!</f>
        <v>#REF!</v>
      </c>
      <c r="BO47" s="474" t="e">
        <f>#REF!*#REF!*#REF!+#REF!*#REF!*#REF!+#REF!*#REF!*#REF!+#REF!*#REF!*#REF!+#REF!*#REF!*#REF!</f>
        <v>#REF!</v>
      </c>
      <c r="BP47" s="475" t="e">
        <f t="shared" si="21"/>
        <v>#REF!</v>
      </c>
    </row>
    <row r="48" spans="1:68" s="471" customFormat="1" ht="21" customHeight="1" x14ac:dyDescent="0.35">
      <c r="A48" s="476">
        <v>46</v>
      </c>
      <c r="B48" s="476" t="s">
        <v>717</v>
      </c>
      <c r="C48" s="484">
        <v>0</v>
      </c>
      <c r="D48" s="476" t="s">
        <v>718</v>
      </c>
      <c r="E48" s="476"/>
      <c r="F48" s="483" t="s">
        <v>616</v>
      </c>
      <c r="G48" s="476" t="s">
        <v>719</v>
      </c>
      <c r="H48" s="476" t="s">
        <v>720</v>
      </c>
      <c r="I48" s="476" t="s">
        <v>721</v>
      </c>
      <c r="J48" s="476" t="s">
        <v>618</v>
      </c>
      <c r="K48" s="476">
        <v>30</v>
      </c>
      <c r="L48" s="476"/>
      <c r="M48" s="476" t="s">
        <v>76</v>
      </c>
      <c r="N48" s="476" t="s">
        <v>596</v>
      </c>
      <c r="O48" s="481" t="e">
        <f t="shared" si="15"/>
        <v>#DIV/0!</v>
      </c>
      <c r="P48" s="481">
        <f t="shared" si="16"/>
        <v>0</v>
      </c>
      <c r="Q48" s="476"/>
      <c r="R48" s="476" t="s">
        <v>146</v>
      </c>
      <c r="S48" s="476"/>
      <c r="T48" s="476" t="s">
        <v>147</v>
      </c>
      <c r="U48" s="476"/>
      <c r="V48" s="476" t="s">
        <v>597</v>
      </c>
      <c r="W48" s="476"/>
      <c r="X48" s="476" t="s">
        <v>148</v>
      </c>
      <c r="Y48" s="476"/>
      <c r="Z48" s="476" t="s">
        <v>150</v>
      </c>
      <c r="AA48" s="476"/>
      <c r="AB48" s="476" t="s">
        <v>570</v>
      </c>
      <c r="AC48" s="476"/>
      <c r="AD48" s="476" t="s">
        <v>122</v>
      </c>
      <c r="AE48" s="476"/>
      <c r="AF48" s="476" t="s">
        <v>123</v>
      </c>
      <c r="AG48" s="476"/>
      <c r="AH48" s="476"/>
      <c r="AI48" s="476" t="s">
        <v>614</v>
      </c>
      <c r="AJ48" s="476">
        <v>1</v>
      </c>
      <c r="AK48" s="476" t="s">
        <v>598</v>
      </c>
      <c r="AL48" s="476"/>
      <c r="AM48" s="476"/>
      <c r="AN48" s="476">
        <v>0.02</v>
      </c>
      <c r="AO48" s="476">
        <v>0.03</v>
      </c>
      <c r="AP48" s="476">
        <v>0.2</v>
      </c>
      <c r="AQ48" s="476">
        <v>0.3</v>
      </c>
      <c r="AR48" s="476">
        <v>0.1</v>
      </c>
      <c r="AS48" s="476">
        <v>0.1</v>
      </c>
      <c r="AT48" s="476">
        <v>0.15</v>
      </c>
      <c r="AU48" s="476">
        <v>0.1</v>
      </c>
      <c r="AV48" s="476">
        <v>401</v>
      </c>
      <c r="AW48" s="476" t="s">
        <v>599</v>
      </c>
      <c r="AX48" s="476" t="s">
        <v>599</v>
      </c>
      <c r="AY48" s="476" t="s">
        <v>599</v>
      </c>
      <c r="AZ48" s="476"/>
      <c r="BA48" s="476"/>
      <c r="BB48" s="476"/>
      <c r="BC48" s="476"/>
      <c r="BD48" s="474" t="e">
        <f>#REF!*#REF!+#REF!*#REF!+#REF!*#REF!+#REF!*#REF!+#REF!*#REF!</f>
        <v>#REF!</v>
      </c>
      <c r="BE48" s="474" t="e">
        <f>#REF!*#REF!*#REF!+#REF!*#REF!*#REF!+#REF!*#REF!*#REF!+#REF!*#REF!*#REF!+#REF!*#REF!*#REF!</f>
        <v>#REF!</v>
      </c>
      <c r="BF48" s="474" t="e">
        <f t="shared" si="17"/>
        <v>#REF!</v>
      </c>
      <c r="BG48" s="474" t="e">
        <f>#REF!*#REF!*#REF!</f>
        <v>#REF!</v>
      </c>
      <c r="BH48" s="474" t="e">
        <f>#REF!*#REF!*#REF!</f>
        <v>#REF!</v>
      </c>
      <c r="BI48" s="474" t="e">
        <f>#REF!*#REF!*#REF!</f>
        <v>#REF!</v>
      </c>
      <c r="BJ48" s="474" t="e">
        <f t="shared" si="18"/>
        <v>#REF!</v>
      </c>
      <c r="BK48" s="474" t="e">
        <f t="shared" si="19"/>
        <v>#REF!</v>
      </c>
      <c r="BL48" s="474" t="e">
        <f>#REF!*#REF!</f>
        <v>#REF!</v>
      </c>
      <c r="BM48" s="474" t="e">
        <f t="shared" si="20"/>
        <v>#REF!</v>
      </c>
      <c r="BN48" s="474" t="e">
        <f>#REF!*#REF!+#REF!*#REF!+#REF!*#REF!+#REF!*#REF!+#REF!*#REF!</f>
        <v>#REF!</v>
      </c>
      <c r="BO48" s="474" t="e">
        <f>#REF!*#REF!*#REF!+#REF!*#REF!*#REF!+#REF!*#REF!*#REF!+#REF!*#REF!*#REF!+#REF!*#REF!*#REF!</f>
        <v>#REF!</v>
      </c>
      <c r="BP48" s="475" t="e">
        <f t="shared" si="21"/>
        <v>#REF!</v>
      </c>
    </row>
    <row r="49" spans="1:68" s="471" customFormat="1" ht="21" customHeight="1" x14ac:dyDescent="0.35">
      <c r="A49" s="476">
        <v>47</v>
      </c>
      <c r="B49" s="476" t="s">
        <v>722</v>
      </c>
      <c r="C49" s="484">
        <v>0</v>
      </c>
      <c r="D49" s="476" t="s">
        <v>723</v>
      </c>
      <c r="E49" s="476"/>
      <c r="F49" s="483" t="s">
        <v>724</v>
      </c>
      <c r="G49" s="476" t="s">
        <v>725</v>
      </c>
      <c r="H49" s="476" t="s">
        <v>726</v>
      </c>
      <c r="I49" s="476" t="s">
        <v>727</v>
      </c>
      <c r="J49" s="476" t="s">
        <v>728</v>
      </c>
      <c r="K49" s="476">
        <v>52</v>
      </c>
      <c r="L49" s="476"/>
      <c r="M49" s="476" t="s">
        <v>76</v>
      </c>
      <c r="N49" s="476" t="s">
        <v>729</v>
      </c>
      <c r="O49" s="481" t="e">
        <f t="shared" si="15"/>
        <v>#DIV/0!</v>
      </c>
      <c r="P49" s="481">
        <f t="shared" si="16"/>
        <v>0</v>
      </c>
      <c r="Q49" s="476"/>
      <c r="R49" s="476" t="s">
        <v>146</v>
      </c>
      <c r="S49" s="476"/>
      <c r="T49" s="476" t="s">
        <v>147</v>
      </c>
      <c r="U49" s="476"/>
      <c r="V49" s="476" t="s">
        <v>597</v>
      </c>
      <c r="W49" s="476"/>
      <c r="X49" s="476" t="s">
        <v>148</v>
      </c>
      <c r="Y49" s="476"/>
      <c r="Z49" s="476" t="s">
        <v>646</v>
      </c>
      <c r="AA49" s="476"/>
      <c r="AB49" s="476" t="s">
        <v>647</v>
      </c>
      <c r="AC49" s="476"/>
      <c r="AD49" s="476" t="s">
        <v>122</v>
      </c>
      <c r="AE49" s="476"/>
      <c r="AF49" s="476" t="s">
        <v>123</v>
      </c>
      <c r="AG49" s="476"/>
      <c r="AH49" s="476"/>
      <c r="AI49" s="476" t="s">
        <v>678</v>
      </c>
      <c r="AJ49" s="476">
        <v>1</v>
      </c>
      <c r="AK49" s="476" t="s">
        <v>602</v>
      </c>
      <c r="AL49" s="476"/>
      <c r="AM49" s="476"/>
      <c r="AN49" s="476">
        <v>0.02</v>
      </c>
      <c r="AO49" s="476">
        <v>0.03</v>
      </c>
      <c r="AP49" s="476">
        <v>0.2</v>
      </c>
      <c r="AQ49" s="476">
        <v>0.3</v>
      </c>
      <c r="AR49" s="476">
        <v>0.1</v>
      </c>
      <c r="AS49" s="476">
        <v>0.1</v>
      </c>
      <c r="AT49" s="476">
        <v>0.15</v>
      </c>
      <c r="AU49" s="476">
        <v>0.1</v>
      </c>
      <c r="AV49" s="476">
        <v>401</v>
      </c>
      <c r="AW49" s="476" t="s">
        <v>599</v>
      </c>
      <c r="AX49" s="476" t="s">
        <v>599</v>
      </c>
      <c r="AY49" s="476" t="s">
        <v>599</v>
      </c>
      <c r="AZ49" s="476"/>
      <c r="BA49" s="476"/>
      <c r="BB49" s="476"/>
      <c r="BC49" s="476"/>
      <c r="BD49" s="474" t="e">
        <f>#REF!*#REF!+#REF!*#REF!+#REF!*#REF!+#REF!*#REF!+#REF!*#REF!</f>
        <v>#REF!</v>
      </c>
      <c r="BE49" s="474" t="e">
        <f>#REF!*#REF!*#REF!+#REF!*#REF!*#REF!+#REF!*#REF!*#REF!+#REF!*#REF!*#REF!+#REF!*#REF!*#REF!</f>
        <v>#REF!</v>
      </c>
      <c r="BF49" s="474" t="e">
        <f t="shared" si="17"/>
        <v>#REF!</v>
      </c>
      <c r="BG49" s="474" t="e">
        <f>#REF!*#REF!*#REF!</f>
        <v>#REF!</v>
      </c>
      <c r="BH49" s="474" t="e">
        <f>#REF!*#REF!*#REF!</f>
        <v>#REF!</v>
      </c>
      <c r="BI49" s="474" t="e">
        <f>#REF!*#REF!*#REF!</f>
        <v>#REF!</v>
      </c>
      <c r="BJ49" s="474" t="e">
        <f t="shared" si="18"/>
        <v>#REF!</v>
      </c>
      <c r="BK49" s="474" t="e">
        <f t="shared" si="19"/>
        <v>#REF!</v>
      </c>
      <c r="BL49" s="474" t="e">
        <f>#REF!*#REF!</f>
        <v>#REF!</v>
      </c>
      <c r="BM49" s="474" t="e">
        <f t="shared" si="20"/>
        <v>#REF!</v>
      </c>
      <c r="BN49" s="474" t="e">
        <f>#REF!*#REF!+#REF!*#REF!+#REF!*#REF!+#REF!*#REF!+#REF!*#REF!</f>
        <v>#REF!</v>
      </c>
      <c r="BO49" s="474" t="e">
        <f>#REF!*#REF!*#REF!+#REF!*#REF!*#REF!+#REF!*#REF!*#REF!+#REF!*#REF!*#REF!+#REF!*#REF!*#REF!</f>
        <v>#REF!</v>
      </c>
      <c r="BP49" s="475" t="e">
        <f t="shared" si="21"/>
        <v>#REF!</v>
      </c>
    </row>
    <row r="50" spans="1:68" s="471" customFormat="1" ht="21" customHeight="1" x14ac:dyDescent="0.35">
      <c r="A50" s="476">
        <v>48</v>
      </c>
      <c r="B50" s="476" t="s">
        <v>730</v>
      </c>
      <c r="C50" s="484">
        <v>0</v>
      </c>
      <c r="D50" s="476" t="s">
        <v>723</v>
      </c>
      <c r="E50" s="476"/>
      <c r="F50" s="483" t="s">
        <v>724</v>
      </c>
      <c r="G50" s="476" t="s">
        <v>725</v>
      </c>
      <c r="H50" s="476" t="s">
        <v>726</v>
      </c>
      <c r="I50" s="476" t="s">
        <v>731</v>
      </c>
      <c r="J50" s="476" t="s">
        <v>618</v>
      </c>
      <c r="K50" s="476">
        <v>85</v>
      </c>
      <c r="L50" s="476"/>
      <c r="M50" s="476" t="s">
        <v>76</v>
      </c>
      <c r="N50" s="476" t="s">
        <v>729</v>
      </c>
      <c r="O50" s="481" t="e">
        <f t="shared" si="15"/>
        <v>#DIV/0!</v>
      </c>
      <c r="P50" s="481">
        <f t="shared" si="16"/>
        <v>0</v>
      </c>
      <c r="Q50" s="476"/>
      <c r="R50" s="476" t="s">
        <v>146</v>
      </c>
      <c r="S50" s="476"/>
      <c r="T50" s="476" t="s">
        <v>147</v>
      </c>
      <c r="U50" s="476"/>
      <c r="V50" s="476" t="s">
        <v>597</v>
      </c>
      <c r="W50" s="476"/>
      <c r="X50" s="476" t="s">
        <v>148</v>
      </c>
      <c r="Y50" s="476"/>
      <c r="Z50" s="476" t="s">
        <v>646</v>
      </c>
      <c r="AA50" s="476"/>
      <c r="AB50" s="476" t="s">
        <v>647</v>
      </c>
      <c r="AC50" s="476"/>
      <c r="AD50" s="476" t="s">
        <v>122</v>
      </c>
      <c r="AE50" s="476"/>
      <c r="AF50" s="476" t="s">
        <v>123</v>
      </c>
      <c r="AG50" s="476"/>
      <c r="AH50" s="476"/>
      <c r="AI50" s="476" t="s">
        <v>648</v>
      </c>
      <c r="AJ50" s="476">
        <v>1</v>
      </c>
      <c r="AK50" s="476" t="s">
        <v>605</v>
      </c>
      <c r="AL50" s="476"/>
      <c r="AM50" s="476"/>
      <c r="AN50" s="476">
        <v>0.02</v>
      </c>
      <c r="AO50" s="476">
        <v>0.03</v>
      </c>
      <c r="AP50" s="476">
        <v>0.2</v>
      </c>
      <c r="AQ50" s="476">
        <v>0.3</v>
      </c>
      <c r="AR50" s="476">
        <v>0.1</v>
      </c>
      <c r="AS50" s="476">
        <v>0.1</v>
      </c>
      <c r="AT50" s="476">
        <v>0.15</v>
      </c>
      <c r="AU50" s="476">
        <v>0.1</v>
      </c>
      <c r="AV50" s="476">
        <v>401</v>
      </c>
      <c r="AW50" s="476" t="s">
        <v>599</v>
      </c>
      <c r="AX50" s="476" t="s">
        <v>599</v>
      </c>
      <c r="AY50" s="476" t="s">
        <v>599</v>
      </c>
      <c r="AZ50" s="476"/>
      <c r="BA50" s="476"/>
      <c r="BB50" s="476"/>
      <c r="BC50" s="476"/>
      <c r="BD50" s="474" t="e">
        <f>#REF!*#REF!+#REF!*#REF!+#REF!*#REF!+#REF!*#REF!+#REF!*#REF!</f>
        <v>#REF!</v>
      </c>
      <c r="BE50" s="474" t="e">
        <f>#REF!*#REF!*#REF!+#REF!*#REF!*#REF!+#REF!*#REF!*#REF!+#REF!*#REF!*#REF!+#REF!*#REF!*#REF!</f>
        <v>#REF!</v>
      </c>
      <c r="BF50" s="474" t="e">
        <f t="shared" si="17"/>
        <v>#REF!</v>
      </c>
      <c r="BG50" s="474" t="e">
        <f>#REF!*#REF!*#REF!</f>
        <v>#REF!</v>
      </c>
      <c r="BH50" s="474" t="e">
        <f>#REF!*#REF!*#REF!</f>
        <v>#REF!</v>
      </c>
      <c r="BI50" s="474" t="e">
        <f>#REF!*#REF!*#REF!</f>
        <v>#REF!</v>
      </c>
      <c r="BJ50" s="474" t="e">
        <f t="shared" si="18"/>
        <v>#REF!</v>
      </c>
      <c r="BK50" s="474" t="e">
        <f t="shared" si="19"/>
        <v>#REF!</v>
      </c>
      <c r="BL50" s="474" t="e">
        <f>#REF!*#REF!</f>
        <v>#REF!</v>
      </c>
      <c r="BM50" s="474" t="e">
        <f t="shared" si="20"/>
        <v>#REF!</v>
      </c>
      <c r="BN50" s="474" t="e">
        <f>#REF!*#REF!+#REF!*#REF!+#REF!*#REF!+#REF!*#REF!+#REF!*#REF!</f>
        <v>#REF!</v>
      </c>
      <c r="BO50" s="474" t="e">
        <f>#REF!*#REF!*#REF!+#REF!*#REF!*#REF!+#REF!*#REF!*#REF!+#REF!*#REF!*#REF!+#REF!*#REF!*#REF!</f>
        <v>#REF!</v>
      </c>
      <c r="BP50" s="475" t="e">
        <f t="shared" si="21"/>
        <v>#REF!</v>
      </c>
    </row>
    <row r="51" spans="1:68" s="471" customFormat="1" ht="21" customHeight="1" x14ac:dyDescent="0.35">
      <c r="A51" s="476">
        <v>49</v>
      </c>
      <c r="B51" s="476" t="s">
        <v>732</v>
      </c>
      <c r="C51" s="484">
        <v>0</v>
      </c>
      <c r="D51" s="476" t="s">
        <v>723</v>
      </c>
      <c r="E51" s="476"/>
      <c r="F51" s="483" t="s">
        <v>724</v>
      </c>
      <c r="G51" s="476" t="s">
        <v>725</v>
      </c>
      <c r="H51" s="476" t="s">
        <v>726</v>
      </c>
      <c r="I51" s="476" t="s">
        <v>733</v>
      </c>
      <c r="J51" s="476" t="s">
        <v>618</v>
      </c>
      <c r="K51" s="476">
        <v>103</v>
      </c>
      <c r="L51" s="476"/>
      <c r="M51" s="476" t="s">
        <v>76</v>
      </c>
      <c r="N51" s="476" t="s">
        <v>729</v>
      </c>
      <c r="O51" s="481" t="e">
        <f t="shared" si="15"/>
        <v>#DIV/0!</v>
      </c>
      <c r="P51" s="481">
        <f t="shared" si="16"/>
        <v>0</v>
      </c>
      <c r="Q51" s="476"/>
      <c r="R51" s="476" t="s">
        <v>146</v>
      </c>
      <c r="S51" s="476"/>
      <c r="T51" s="476" t="s">
        <v>147</v>
      </c>
      <c r="U51" s="476"/>
      <c r="V51" s="476" t="s">
        <v>597</v>
      </c>
      <c r="W51" s="476"/>
      <c r="X51" s="476" t="s">
        <v>148</v>
      </c>
      <c r="Y51" s="476"/>
      <c r="Z51" s="476" t="s">
        <v>646</v>
      </c>
      <c r="AA51" s="476"/>
      <c r="AB51" s="476" t="s">
        <v>647</v>
      </c>
      <c r="AC51" s="476"/>
      <c r="AD51" s="476" t="s">
        <v>122</v>
      </c>
      <c r="AE51" s="476"/>
      <c r="AF51" s="476" t="s">
        <v>123</v>
      </c>
      <c r="AG51" s="476"/>
      <c r="AH51" s="476"/>
      <c r="AI51" s="476"/>
      <c r="AJ51" s="476">
        <v>1</v>
      </c>
      <c r="AK51" s="476" t="s">
        <v>608</v>
      </c>
      <c r="AL51" s="476"/>
      <c r="AM51" s="476"/>
      <c r="AN51" s="476">
        <v>0.02</v>
      </c>
      <c r="AO51" s="476">
        <v>0.03</v>
      </c>
      <c r="AP51" s="476">
        <v>0.2</v>
      </c>
      <c r="AQ51" s="476">
        <v>0.3</v>
      </c>
      <c r="AR51" s="476">
        <v>0.1</v>
      </c>
      <c r="AS51" s="476">
        <v>0.1</v>
      </c>
      <c r="AT51" s="476">
        <v>0.15</v>
      </c>
      <c r="AU51" s="476">
        <v>0.1</v>
      </c>
      <c r="AV51" s="476">
        <v>120</v>
      </c>
      <c r="AW51" s="476" t="s">
        <v>599</v>
      </c>
      <c r="AX51" s="476" t="s">
        <v>599</v>
      </c>
      <c r="AY51" s="476" t="s">
        <v>599</v>
      </c>
      <c r="AZ51" s="476"/>
      <c r="BA51" s="476"/>
      <c r="BB51" s="476"/>
      <c r="BC51" s="476"/>
      <c r="BD51" s="474" t="e">
        <f>#REF!*#REF!+#REF!*#REF!+#REF!*#REF!+#REF!*#REF!+#REF!*#REF!</f>
        <v>#REF!</v>
      </c>
      <c r="BE51" s="474" t="e">
        <f>#REF!*#REF!*#REF!+#REF!*#REF!*#REF!+#REF!*#REF!*#REF!+#REF!*#REF!*#REF!+#REF!*#REF!*#REF!</f>
        <v>#REF!</v>
      </c>
      <c r="BF51" s="474" t="e">
        <f t="shared" si="17"/>
        <v>#REF!</v>
      </c>
      <c r="BG51" s="474" t="e">
        <f>#REF!*#REF!*#REF!</f>
        <v>#REF!</v>
      </c>
      <c r="BH51" s="474" t="e">
        <f>#REF!*#REF!*#REF!</f>
        <v>#REF!</v>
      </c>
      <c r="BI51" s="474" t="e">
        <f>#REF!*#REF!*#REF!</f>
        <v>#REF!</v>
      </c>
      <c r="BJ51" s="474" t="e">
        <f t="shared" si="18"/>
        <v>#REF!</v>
      </c>
      <c r="BK51" s="474" t="e">
        <f t="shared" si="19"/>
        <v>#REF!</v>
      </c>
      <c r="BL51" s="474" t="e">
        <f>#REF!*#REF!</f>
        <v>#REF!</v>
      </c>
      <c r="BM51" s="474" t="e">
        <f t="shared" si="20"/>
        <v>#REF!</v>
      </c>
      <c r="BN51" s="474" t="e">
        <f>#REF!*#REF!+#REF!*#REF!+#REF!*#REF!+#REF!*#REF!+#REF!*#REF!</f>
        <v>#REF!</v>
      </c>
      <c r="BO51" s="474" t="e">
        <f>#REF!*#REF!*#REF!+#REF!*#REF!*#REF!+#REF!*#REF!*#REF!+#REF!*#REF!*#REF!+#REF!*#REF!*#REF!</f>
        <v>#REF!</v>
      </c>
      <c r="BP51" s="475" t="e">
        <f t="shared" si="21"/>
        <v>#REF!</v>
      </c>
    </row>
    <row r="52" spans="1:68" s="471" customFormat="1" ht="21" customHeight="1" x14ac:dyDescent="0.35">
      <c r="A52" s="476">
        <v>50</v>
      </c>
      <c r="B52" s="476" t="s">
        <v>734</v>
      </c>
      <c r="C52" s="484">
        <v>0</v>
      </c>
      <c r="D52" s="476" t="s">
        <v>723</v>
      </c>
      <c r="E52" s="476"/>
      <c r="F52" s="483" t="s">
        <v>724</v>
      </c>
      <c r="G52" s="476" t="s">
        <v>725</v>
      </c>
      <c r="H52" s="476" t="s">
        <v>726</v>
      </c>
      <c r="I52" s="476" t="s">
        <v>735</v>
      </c>
      <c r="J52" s="476" t="s">
        <v>618</v>
      </c>
      <c r="K52" s="476">
        <v>78</v>
      </c>
      <c r="L52" s="476"/>
      <c r="M52" s="476" t="s">
        <v>76</v>
      </c>
      <c r="N52" s="476" t="s">
        <v>729</v>
      </c>
      <c r="O52" s="481" t="e">
        <f t="shared" si="15"/>
        <v>#DIV/0!</v>
      </c>
      <c r="P52" s="481">
        <f t="shared" si="16"/>
        <v>0</v>
      </c>
      <c r="Q52" s="476"/>
      <c r="R52" s="476" t="s">
        <v>146</v>
      </c>
      <c r="S52" s="476"/>
      <c r="T52" s="476" t="s">
        <v>147</v>
      </c>
      <c r="U52" s="476"/>
      <c r="V52" s="476" t="s">
        <v>597</v>
      </c>
      <c r="W52" s="476"/>
      <c r="X52" s="476" t="s">
        <v>148</v>
      </c>
      <c r="Y52" s="476"/>
      <c r="Z52" s="476" t="s">
        <v>646</v>
      </c>
      <c r="AA52" s="476"/>
      <c r="AB52" s="476" t="s">
        <v>647</v>
      </c>
      <c r="AC52" s="476"/>
      <c r="AD52" s="476" t="s">
        <v>122</v>
      </c>
      <c r="AE52" s="476"/>
      <c r="AF52" s="476" t="s">
        <v>123</v>
      </c>
      <c r="AG52" s="476"/>
      <c r="AH52" s="476"/>
      <c r="AI52" s="476"/>
      <c r="AJ52" s="476">
        <v>1</v>
      </c>
      <c r="AK52" s="476" t="s">
        <v>615</v>
      </c>
      <c r="AL52" s="476"/>
      <c r="AM52" s="476"/>
      <c r="AN52" s="476">
        <v>0.02</v>
      </c>
      <c r="AO52" s="476">
        <v>0.03</v>
      </c>
      <c r="AP52" s="476">
        <v>0.2</v>
      </c>
      <c r="AQ52" s="476">
        <v>0.3</v>
      </c>
      <c r="AR52" s="476">
        <v>0.1</v>
      </c>
      <c r="AS52" s="476">
        <v>0.1</v>
      </c>
      <c r="AT52" s="476">
        <v>0.15</v>
      </c>
      <c r="AU52" s="476">
        <v>0.1</v>
      </c>
      <c r="AV52" s="476">
        <v>120</v>
      </c>
      <c r="AW52" s="476" t="s">
        <v>599</v>
      </c>
      <c r="AX52" s="476" t="s">
        <v>599</v>
      </c>
      <c r="AY52" s="476" t="s">
        <v>599</v>
      </c>
      <c r="AZ52" s="476"/>
      <c r="BA52" s="476"/>
      <c r="BB52" s="476"/>
      <c r="BC52" s="476"/>
      <c r="BD52" s="474" t="e">
        <f>#REF!*#REF!+#REF!*#REF!+#REF!*#REF!+#REF!*#REF!+#REF!*#REF!</f>
        <v>#REF!</v>
      </c>
      <c r="BE52" s="474" t="e">
        <f>#REF!*#REF!*#REF!+#REF!*#REF!*#REF!+#REF!*#REF!*#REF!+#REF!*#REF!*#REF!+#REF!*#REF!*#REF!</f>
        <v>#REF!</v>
      </c>
      <c r="BF52" s="474" t="e">
        <f t="shared" si="17"/>
        <v>#REF!</v>
      </c>
      <c r="BG52" s="474" t="e">
        <f>#REF!*#REF!*#REF!</f>
        <v>#REF!</v>
      </c>
      <c r="BH52" s="474" t="e">
        <f>#REF!*#REF!*#REF!</f>
        <v>#REF!</v>
      </c>
      <c r="BI52" s="474" t="e">
        <f>#REF!*#REF!*#REF!</f>
        <v>#REF!</v>
      </c>
      <c r="BJ52" s="474" t="e">
        <f t="shared" si="18"/>
        <v>#REF!</v>
      </c>
      <c r="BK52" s="474" t="e">
        <f t="shared" si="19"/>
        <v>#REF!</v>
      </c>
      <c r="BL52" s="474" t="e">
        <f>#REF!*#REF!</f>
        <v>#REF!</v>
      </c>
      <c r="BM52" s="474" t="e">
        <f t="shared" si="20"/>
        <v>#REF!</v>
      </c>
      <c r="BN52" s="474" t="e">
        <f>#REF!*#REF!+#REF!*#REF!+#REF!*#REF!+#REF!*#REF!+#REF!*#REF!</f>
        <v>#REF!</v>
      </c>
      <c r="BO52" s="474" t="e">
        <f>#REF!*#REF!*#REF!+#REF!*#REF!*#REF!+#REF!*#REF!*#REF!+#REF!*#REF!*#REF!+#REF!*#REF!*#REF!</f>
        <v>#REF!</v>
      </c>
      <c r="BP52" s="475" t="e">
        <f t="shared" si="21"/>
        <v>#REF!</v>
      </c>
    </row>
    <row r="53" spans="1:68" s="471" customFormat="1" ht="21" customHeight="1" x14ac:dyDescent="0.35">
      <c r="A53" s="476">
        <v>51</v>
      </c>
      <c r="B53" s="476" t="s">
        <v>736</v>
      </c>
      <c r="C53" s="484">
        <v>0</v>
      </c>
      <c r="D53" s="476" t="s">
        <v>723</v>
      </c>
      <c r="E53" s="476"/>
      <c r="F53" s="483" t="s">
        <v>724</v>
      </c>
      <c r="G53" s="476" t="s">
        <v>725</v>
      </c>
      <c r="H53" s="476" t="s">
        <v>726</v>
      </c>
      <c r="I53" s="476" t="s">
        <v>737</v>
      </c>
      <c r="J53" s="476" t="s">
        <v>728</v>
      </c>
      <c r="K53" s="476">
        <v>1477</v>
      </c>
      <c r="L53" s="476"/>
      <c r="M53" s="476" t="s">
        <v>76</v>
      </c>
      <c r="N53" s="476" t="s">
        <v>738</v>
      </c>
      <c r="O53" s="481" t="e">
        <f t="shared" si="15"/>
        <v>#DIV/0!</v>
      </c>
      <c r="P53" s="481">
        <f t="shared" si="16"/>
        <v>0</v>
      </c>
      <c r="Q53" s="476"/>
      <c r="R53" s="476" t="s">
        <v>146</v>
      </c>
      <c r="S53" s="476"/>
      <c r="T53" s="476" t="s">
        <v>147</v>
      </c>
      <c r="U53" s="476"/>
      <c r="V53" s="476" t="s">
        <v>597</v>
      </c>
      <c r="W53" s="476"/>
      <c r="X53" s="476" t="s">
        <v>148</v>
      </c>
      <c r="Y53" s="476"/>
      <c r="Z53" s="476" t="s">
        <v>646</v>
      </c>
      <c r="AA53" s="476"/>
      <c r="AB53" s="476" t="s">
        <v>647</v>
      </c>
      <c r="AC53" s="476"/>
      <c r="AD53" s="476" t="s">
        <v>122</v>
      </c>
      <c r="AE53" s="476"/>
      <c r="AF53" s="476" t="s">
        <v>123</v>
      </c>
      <c r="AG53" s="476"/>
      <c r="AH53" s="476"/>
      <c r="AI53" s="476"/>
      <c r="AJ53" s="476">
        <v>1</v>
      </c>
      <c r="AK53" s="476" t="s">
        <v>598</v>
      </c>
      <c r="AL53" s="476"/>
      <c r="AM53" s="476"/>
      <c r="AN53" s="476">
        <v>0.02</v>
      </c>
      <c r="AO53" s="476">
        <v>0.03</v>
      </c>
      <c r="AP53" s="476">
        <v>0.2</v>
      </c>
      <c r="AQ53" s="476">
        <v>0.3</v>
      </c>
      <c r="AR53" s="476">
        <v>0.1</v>
      </c>
      <c r="AS53" s="476">
        <v>0.1</v>
      </c>
      <c r="AT53" s="476">
        <v>0.15</v>
      </c>
      <c r="AU53" s="476">
        <v>0.1</v>
      </c>
      <c r="AV53" s="476">
        <v>120</v>
      </c>
      <c r="AW53" s="476" t="s">
        <v>599</v>
      </c>
      <c r="AX53" s="476" t="s">
        <v>599</v>
      </c>
      <c r="AY53" s="476" t="s">
        <v>599</v>
      </c>
      <c r="AZ53" s="476"/>
      <c r="BA53" s="476"/>
      <c r="BB53" s="476"/>
      <c r="BC53" s="476"/>
      <c r="BD53" s="474" t="e">
        <f>#REF!*#REF!+#REF!*#REF!+#REF!*#REF!+#REF!*#REF!+#REF!*#REF!</f>
        <v>#REF!</v>
      </c>
      <c r="BE53" s="474" t="e">
        <f>#REF!*#REF!*#REF!+#REF!*#REF!*#REF!+#REF!*#REF!*#REF!+#REF!*#REF!*#REF!+#REF!*#REF!*#REF!</f>
        <v>#REF!</v>
      </c>
      <c r="BF53" s="474" t="e">
        <f t="shared" si="17"/>
        <v>#REF!</v>
      </c>
      <c r="BG53" s="474" t="e">
        <f>#REF!*#REF!*#REF!</f>
        <v>#REF!</v>
      </c>
      <c r="BH53" s="474" t="e">
        <f>#REF!*#REF!*#REF!</f>
        <v>#REF!</v>
      </c>
      <c r="BI53" s="474" t="e">
        <f>#REF!*#REF!*#REF!</f>
        <v>#REF!</v>
      </c>
      <c r="BJ53" s="474" t="e">
        <f t="shared" si="18"/>
        <v>#REF!</v>
      </c>
      <c r="BK53" s="474" t="e">
        <f t="shared" si="19"/>
        <v>#REF!</v>
      </c>
      <c r="BL53" s="474" t="e">
        <f>#REF!*#REF!</f>
        <v>#REF!</v>
      </c>
      <c r="BM53" s="474" t="e">
        <f t="shared" si="20"/>
        <v>#REF!</v>
      </c>
      <c r="BN53" s="474" t="e">
        <f>#REF!*#REF!+#REF!*#REF!+#REF!*#REF!+#REF!*#REF!+#REF!*#REF!</f>
        <v>#REF!</v>
      </c>
      <c r="BO53" s="474" t="e">
        <f>#REF!*#REF!*#REF!+#REF!*#REF!*#REF!+#REF!*#REF!*#REF!+#REF!*#REF!*#REF!+#REF!*#REF!*#REF!</f>
        <v>#REF!</v>
      </c>
      <c r="BP53" s="475" t="e">
        <f t="shared" si="21"/>
        <v>#REF!</v>
      </c>
    </row>
    <row r="54" spans="1:68" s="471" customFormat="1" ht="21" customHeight="1" x14ac:dyDescent="0.35">
      <c r="A54" s="476">
        <v>52</v>
      </c>
      <c r="B54" s="476" t="s">
        <v>739</v>
      </c>
      <c r="C54" s="484">
        <v>0</v>
      </c>
      <c r="D54" s="476" t="s">
        <v>669</v>
      </c>
      <c r="E54" s="476"/>
      <c r="F54" s="483" t="s">
        <v>616</v>
      </c>
      <c r="G54" s="476" t="s">
        <v>670</v>
      </c>
      <c r="H54" s="476" t="s">
        <v>671</v>
      </c>
      <c r="I54" s="476" t="s">
        <v>740</v>
      </c>
      <c r="J54" s="476" t="s">
        <v>675</v>
      </c>
      <c r="K54" s="476">
        <v>51</v>
      </c>
      <c r="L54" s="476"/>
      <c r="M54" s="476" t="s">
        <v>76</v>
      </c>
      <c r="N54" s="476" t="s">
        <v>596</v>
      </c>
      <c r="O54" s="481" t="e">
        <f t="shared" si="15"/>
        <v>#DIV/0!</v>
      </c>
      <c r="P54" s="481">
        <f t="shared" si="16"/>
        <v>0</v>
      </c>
      <c r="Q54" s="476"/>
      <c r="R54" s="476" t="s">
        <v>146</v>
      </c>
      <c r="S54" s="476"/>
      <c r="T54" s="476" t="s">
        <v>147</v>
      </c>
      <c r="U54" s="476"/>
      <c r="V54" s="476" t="s">
        <v>597</v>
      </c>
      <c r="W54" s="476"/>
      <c r="X54" s="476" t="s">
        <v>148</v>
      </c>
      <c r="Y54" s="476"/>
      <c r="Z54" s="476" t="s">
        <v>150</v>
      </c>
      <c r="AA54" s="476"/>
      <c r="AB54" s="476" t="s">
        <v>570</v>
      </c>
      <c r="AC54" s="476"/>
      <c r="AD54" s="476" t="s">
        <v>122</v>
      </c>
      <c r="AE54" s="476"/>
      <c r="AF54" s="476" t="s">
        <v>123</v>
      </c>
      <c r="AG54" s="476"/>
      <c r="AH54" s="476"/>
      <c r="AI54" s="476" t="s">
        <v>614</v>
      </c>
      <c r="AJ54" s="476">
        <v>1</v>
      </c>
      <c r="AK54" s="476" t="s">
        <v>602</v>
      </c>
      <c r="AL54" s="476"/>
      <c r="AM54" s="476"/>
      <c r="AN54" s="476">
        <v>0.02</v>
      </c>
      <c r="AO54" s="476">
        <v>0.03</v>
      </c>
      <c r="AP54" s="476">
        <v>0.2</v>
      </c>
      <c r="AQ54" s="476">
        <v>0.3</v>
      </c>
      <c r="AR54" s="476">
        <v>0.1</v>
      </c>
      <c r="AS54" s="476">
        <v>0.1</v>
      </c>
      <c r="AT54" s="476">
        <v>0.15</v>
      </c>
      <c r="AU54" s="476">
        <v>0.1</v>
      </c>
      <c r="AV54" s="476">
        <v>401</v>
      </c>
      <c r="AW54" s="476" t="s">
        <v>599</v>
      </c>
      <c r="AX54" s="476" t="s">
        <v>599</v>
      </c>
      <c r="AY54" s="476" t="s">
        <v>599</v>
      </c>
      <c r="AZ54" s="476"/>
      <c r="BA54" s="476"/>
      <c r="BB54" s="476"/>
      <c r="BC54" s="476"/>
      <c r="BD54" s="474" t="e">
        <f>#REF!*#REF!+#REF!*#REF!+#REF!*#REF!+#REF!*#REF!+#REF!*#REF!</f>
        <v>#REF!</v>
      </c>
      <c r="BE54" s="474" t="e">
        <f>#REF!*#REF!*#REF!+#REF!*#REF!*#REF!+#REF!*#REF!*#REF!+#REF!*#REF!*#REF!+#REF!*#REF!*#REF!</f>
        <v>#REF!</v>
      </c>
      <c r="BF54" s="474" t="e">
        <f t="shared" si="17"/>
        <v>#REF!</v>
      </c>
      <c r="BG54" s="474" t="e">
        <f>#REF!*#REF!*#REF!</f>
        <v>#REF!</v>
      </c>
      <c r="BH54" s="474" t="e">
        <f>#REF!*#REF!*#REF!</f>
        <v>#REF!</v>
      </c>
      <c r="BI54" s="474" t="e">
        <f>#REF!*#REF!*#REF!</f>
        <v>#REF!</v>
      </c>
      <c r="BJ54" s="474" t="e">
        <f t="shared" si="18"/>
        <v>#REF!</v>
      </c>
      <c r="BK54" s="474" t="e">
        <f t="shared" si="19"/>
        <v>#REF!</v>
      </c>
      <c r="BL54" s="474" t="e">
        <f>#REF!*#REF!</f>
        <v>#REF!</v>
      </c>
      <c r="BM54" s="474" t="e">
        <f t="shared" si="20"/>
        <v>#REF!</v>
      </c>
      <c r="BN54" s="474" t="e">
        <f>#REF!*#REF!+#REF!*#REF!+#REF!*#REF!+#REF!*#REF!+#REF!*#REF!</f>
        <v>#REF!</v>
      </c>
      <c r="BO54" s="474" t="e">
        <f>#REF!*#REF!*#REF!+#REF!*#REF!*#REF!+#REF!*#REF!*#REF!+#REF!*#REF!*#REF!+#REF!*#REF!*#REF!</f>
        <v>#REF!</v>
      </c>
      <c r="BP54" s="475" t="e">
        <f t="shared" si="21"/>
        <v>#REF!</v>
      </c>
    </row>
    <row r="55" spans="1:68" s="471" customFormat="1" ht="21" customHeight="1" x14ac:dyDescent="0.35">
      <c r="A55" s="476">
        <v>53</v>
      </c>
      <c r="B55" s="476" t="s">
        <v>741</v>
      </c>
      <c r="C55" s="484">
        <v>0</v>
      </c>
      <c r="D55" s="476" t="s">
        <v>669</v>
      </c>
      <c r="E55" s="476"/>
      <c r="F55" s="483" t="s">
        <v>616</v>
      </c>
      <c r="G55" s="476" t="s">
        <v>670</v>
      </c>
      <c r="H55" s="476" t="s">
        <v>671</v>
      </c>
      <c r="I55" s="476" t="s">
        <v>742</v>
      </c>
      <c r="J55" s="476" t="s">
        <v>675</v>
      </c>
      <c r="K55" s="476">
        <v>132</v>
      </c>
      <c r="L55" s="476"/>
      <c r="M55" s="476" t="s">
        <v>76</v>
      </c>
      <c r="N55" s="476" t="s">
        <v>596</v>
      </c>
      <c r="O55" s="481" t="e">
        <f t="shared" si="15"/>
        <v>#DIV/0!</v>
      </c>
      <c r="P55" s="481">
        <f t="shared" si="16"/>
        <v>0</v>
      </c>
      <c r="Q55" s="476"/>
      <c r="R55" s="476" t="s">
        <v>146</v>
      </c>
      <c r="S55" s="476"/>
      <c r="T55" s="476" t="s">
        <v>147</v>
      </c>
      <c r="U55" s="476"/>
      <c r="V55" s="476" t="s">
        <v>597</v>
      </c>
      <c r="W55" s="476"/>
      <c r="X55" s="476" t="s">
        <v>148</v>
      </c>
      <c r="Y55" s="476"/>
      <c r="Z55" s="476" t="s">
        <v>150</v>
      </c>
      <c r="AA55" s="476"/>
      <c r="AB55" s="476" t="s">
        <v>570</v>
      </c>
      <c r="AC55" s="476"/>
      <c r="AD55" s="476" t="s">
        <v>122</v>
      </c>
      <c r="AE55" s="476"/>
      <c r="AF55" s="476" t="s">
        <v>123</v>
      </c>
      <c r="AG55" s="476"/>
      <c r="AH55" s="476"/>
      <c r="AI55" s="476" t="s">
        <v>614</v>
      </c>
      <c r="AJ55" s="476">
        <v>1</v>
      </c>
      <c r="AK55" s="476" t="s">
        <v>605</v>
      </c>
      <c r="AL55" s="476"/>
      <c r="AM55" s="476"/>
      <c r="AN55" s="476">
        <v>0.02</v>
      </c>
      <c r="AO55" s="476">
        <v>0.03</v>
      </c>
      <c r="AP55" s="476">
        <v>0.2</v>
      </c>
      <c r="AQ55" s="476">
        <v>0.3</v>
      </c>
      <c r="AR55" s="476">
        <v>0.1</v>
      </c>
      <c r="AS55" s="476">
        <v>0.1</v>
      </c>
      <c r="AT55" s="476">
        <v>0.15</v>
      </c>
      <c r="AU55" s="476">
        <v>0.1</v>
      </c>
      <c r="AV55" s="476">
        <v>401</v>
      </c>
      <c r="AW55" s="476" t="s">
        <v>599</v>
      </c>
      <c r="AX55" s="476" t="s">
        <v>599</v>
      </c>
      <c r="AY55" s="476" t="s">
        <v>599</v>
      </c>
      <c r="AZ55" s="476"/>
      <c r="BA55" s="476"/>
      <c r="BB55" s="476"/>
      <c r="BC55" s="476"/>
      <c r="BD55" s="474" t="e">
        <f>#REF!*#REF!+#REF!*#REF!+#REF!*#REF!+#REF!*#REF!+#REF!*#REF!</f>
        <v>#REF!</v>
      </c>
      <c r="BE55" s="474" t="e">
        <f>#REF!*#REF!*#REF!+#REF!*#REF!*#REF!+#REF!*#REF!*#REF!+#REF!*#REF!*#REF!+#REF!*#REF!*#REF!</f>
        <v>#REF!</v>
      </c>
      <c r="BF55" s="474" t="e">
        <f t="shared" si="17"/>
        <v>#REF!</v>
      </c>
      <c r="BG55" s="474" t="e">
        <f>#REF!*#REF!*#REF!</f>
        <v>#REF!</v>
      </c>
      <c r="BH55" s="474" t="e">
        <f>#REF!*#REF!*#REF!</f>
        <v>#REF!</v>
      </c>
      <c r="BI55" s="474" t="e">
        <f>#REF!*#REF!*#REF!</f>
        <v>#REF!</v>
      </c>
      <c r="BJ55" s="474" t="e">
        <f t="shared" si="18"/>
        <v>#REF!</v>
      </c>
      <c r="BK55" s="474" t="e">
        <f t="shared" si="19"/>
        <v>#REF!</v>
      </c>
      <c r="BL55" s="474" t="e">
        <f>#REF!*#REF!</f>
        <v>#REF!</v>
      </c>
      <c r="BM55" s="474" t="e">
        <f t="shared" si="20"/>
        <v>#REF!</v>
      </c>
      <c r="BN55" s="474" t="e">
        <f>#REF!*#REF!+#REF!*#REF!+#REF!*#REF!+#REF!*#REF!+#REF!*#REF!</f>
        <v>#REF!</v>
      </c>
      <c r="BO55" s="474" t="e">
        <f>#REF!*#REF!*#REF!+#REF!*#REF!*#REF!+#REF!*#REF!*#REF!+#REF!*#REF!*#REF!+#REF!*#REF!*#REF!</f>
        <v>#REF!</v>
      </c>
      <c r="BP55" s="475" t="e">
        <f t="shared" si="21"/>
        <v>#REF!</v>
      </c>
    </row>
    <row r="56" spans="1:68" s="471" customFormat="1" ht="21" customHeight="1" x14ac:dyDescent="0.35">
      <c r="A56" s="476">
        <v>54</v>
      </c>
      <c r="B56" s="476" t="s">
        <v>743</v>
      </c>
      <c r="C56" s="484">
        <v>0</v>
      </c>
      <c r="D56" s="476" t="s">
        <v>669</v>
      </c>
      <c r="E56" s="476"/>
      <c r="F56" s="483" t="s">
        <v>616</v>
      </c>
      <c r="G56" s="476" t="s">
        <v>670</v>
      </c>
      <c r="H56" s="476" t="s">
        <v>671</v>
      </c>
      <c r="I56" s="476" t="s">
        <v>744</v>
      </c>
      <c r="J56" s="476" t="s">
        <v>675</v>
      </c>
      <c r="K56" s="476">
        <v>159</v>
      </c>
      <c r="L56" s="476"/>
      <c r="M56" s="476" t="s">
        <v>76</v>
      </c>
      <c r="N56" s="476" t="s">
        <v>596</v>
      </c>
      <c r="O56" s="481" t="e">
        <f t="shared" si="15"/>
        <v>#DIV/0!</v>
      </c>
      <c r="P56" s="481">
        <f t="shared" si="16"/>
        <v>0</v>
      </c>
      <c r="Q56" s="476"/>
      <c r="R56" s="476" t="s">
        <v>146</v>
      </c>
      <c r="S56" s="476"/>
      <c r="T56" s="476" t="s">
        <v>147</v>
      </c>
      <c r="U56" s="476"/>
      <c r="V56" s="476" t="s">
        <v>597</v>
      </c>
      <c r="W56" s="476"/>
      <c r="X56" s="476" t="s">
        <v>148</v>
      </c>
      <c r="Y56" s="476"/>
      <c r="Z56" s="476" t="s">
        <v>150</v>
      </c>
      <c r="AA56" s="476"/>
      <c r="AB56" s="476" t="s">
        <v>570</v>
      </c>
      <c r="AC56" s="476"/>
      <c r="AD56" s="476" t="s">
        <v>122</v>
      </c>
      <c r="AE56" s="476"/>
      <c r="AF56" s="476" t="s">
        <v>123</v>
      </c>
      <c r="AG56" s="476"/>
      <c r="AH56" s="476"/>
      <c r="AI56" s="476"/>
      <c r="AJ56" s="476">
        <v>1</v>
      </c>
      <c r="AK56" s="476" t="s">
        <v>608</v>
      </c>
      <c r="AL56" s="476"/>
      <c r="AM56" s="476"/>
      <c r="AN56" s="476">
        <v>0.02</v>
      </c>
      <c r="AO56" s="476">
        <v>0.03</v>
      </c>
      <c r="AP56" s="476">
        <v>0.2</v>
      </c>
      <c r="AQ56" s="476">
        <v>0.3</v>
      </c>
      <c r="AR56" s="476">
        <v>0.1</v>
      </c>
      <c r="AS56" s="476">
        <v>0.1</v>
      </c>
      <c r="AT56" s="476">
        <v>0.15</v>
      </c>
      <c r="AU56" s="476">
        <v>0.1</v>
      </c>
      <c r="AV56" s="476">
        <v>120</v>
      </c>
      <c r="AW56" s="476" t="s">
        <v>599</v>
      </c>
      <c r="AX56" s="476" t="s">
        <v>599</v>
      </c>
      <c r="AY56" s="476" t="s">
        <v>599</v>
      </c>
      <c r="AZ56" s="476"/>
      <c r="BA56" s="476"/>
      <c r="BB56" s="476"/>
      <c r="BC56" s="476"/>
      <c r="BD56" s="474" t="e">
        <f>#REF!*#REF!+#REF!*#REF!+#REF!*#REF!+#REF!*#REF!+#REF!*#REF!</f>
        <v>#REF!</v>
      </c>
      <c r="BE56" s="474" t="e">
        <f>#REF!*#REF!*#REF!+#REF!*#REF!*#REF!+#REF!*#REF!*#REF!+#REF!*#REF!*#REF!+#REF!*#REF!*#REF!</f>
        <v>#REF!</v>
      </c>
      <c r="BF56" s="474" t="e">
        <f t="shared" si="17"/>
        <v>#REF!</v>
      </c>
      <c r="BG56" s="474" t="e">
        <f>#REF!*#REF!*#REF!</f>
        <v>#REF!</v>
      </c>
      <c r="BH56" s="474" t="e">
        <f>#REF!*#REF!*#REF!</f>
        <v>#REF!</v>
      </c>
      <c r="BI56" s="474" t="e">
        <f>#REF!*#REF!*#REF!</f>
        <v>#REF!</v>
      </c>
      <c r="BJ56" s="474" t="e">
        <f t="shared" si="18"/>
        <v>#REF!</v>
      </c>
      <c r="BK56" s="474" t="e">
        <f t="shared" si="19"/>
        <v>#REF!</v>
      </c>
      <c r="BL56" s="474" t="e">
        <f>#REF!*#REF!</f>
        <v>#REF!</v>
      </c>
      <c r="BM56" s="474" t="e">
        <f t="shared" si="20"/>
        <v>#REF!</v>
      </c>
      <c r="BN56" s="474" t="e">
        <f>#REF!*#REF!+#REF!*#REF!+#REF!*#REF!+#REF!*#REF!+#REF!*#REF!</f>
        <v>#REF!</v>
      </c>
      <c r="BO56" s="474" t="e">
        <f>#REF!*#REF!*#REF!+#REF!*#REF!*#REF!+#REF!*#REF!*#REF!+#REF!*#REF!*#REF!+#REF!*#REF!*#REF!</f>
        <v>#REF!</v>
      </c>
      <c r="BP56" s="475" t="e">
        <f t="shared" si="21"/>
        <v>#REF!</v>
      </c>
    </row>
    <row r="57" spans="1:68" s="471" customFormat="1" ht="21" customHeight="1" x14ac:dyDescent="0.35">
      <c r="A57" s="476">
        <v>55</v>
      </c>
      <c r="B57" s="476" t="s">
        <v>745</v>
      </c>
      <c r="C57" s="484">
        <v>0</v>
      </c>
      <c r="D57" s="476" t="s">
        <v>669</v>
      </c>
      <c r="E57" s="476"/>
      <c r="F57" s="483" t="s">
        <v>616</v>
      </c>
      <c r="G57" s="476" t="s">
        <v>670</v>
      </c>
      <c r="H57" s="476" t="s">
        <v>671</v>
      </c>
      <c r="I57" s="476" t="s">
        <v>746</v>
      </c>
      <c r="J57" s="476" t="s">
        <v>675</v>
      </c>
      <c r="K57" s="476">
        <v>168</v>
      </c>
      <c r="L57" s="476"/>
      <c r="M57" s="476" t="s">
        <v>76</v>
      </c>
      <c r="N57" s="476" t="s">
        <v>596</v>
      </c>
      <c r="O57" s="481" t="e">
        <f t="shared" si="15"/>
        <v>#DIV/0!</v>
      </c>
      <c r="P57" s="481">
        <f t="shared" si="16"/>
        <v>0</v>
      </c>
      <c r="Q57" s="476"/>
      <c r="R57" s="476" t="s">
        <v>146</v>
      </c>
      <c r="S57" s="476"/>
      <c r="T57" s="476" t="s">
        <v>147</v>
      </c>
      <c r="U57" s="476"/>
      <c r="V57" s="476" t="s">
        <v>597</v>
      </c>
      <c r="W57" s="476"/>
      <c r="X57" s="476" t="s">
        <v>148</v>
      </c>
      <c r="Y57" s="476"/>
      <c r="Z57" s="476" t="s">
        <v>150</v>
      </c>
      <c r="AA57" s="476"/>
      <c r="AB57" s="476" t="s">
        <v>570</v>
      </c>
      <c r="AC57" s="476"/>
      <c r="AD57" s="476" t="s">
        <v>122</v>
      </c>
      <c r="AE57" s="476"/>
      <c r="AF57" s="476" t="s">
        <v>123</v>
      </c>
      <c r="AG57" s="476"/>
      <c r="AH57" s="476"/>
      <c r="AI57" s="476"/>
      <c r="AJ57" s="476">
        <v>1</v>
      </c>
      <c r="AK57" s="476" t="s">
        <v>615</v>
      </c>
      <c r="AL57" s="476"/>
      <c r="AM57" s="476"/>
      <c r="AN57" s="476">
        <v>0.02</v>
      </c>
      <c r="AO57" s="476">
        <v>0.03</v>
      </c>
      <c r="AP57" s="476">
        <v>0.2</v>
      </c>
      <c r="AQ57" s="476">
        <v>0.3</v>
      </c>
      <c r="AR57" s="476">
        <v>0.1</v>
      </c>
      <c r="AS57" s="476">
        <v>0.1</v>
      </c>
      <c r="AT57" s="476">
        <v>0.15</v>
      </c>
      <c r="AU57" s="476">
        <v>0.1</v>
      </c>
      <c r="AV57" s="476">
        <v>120</v>
      </c>
      <c r="AW57" s="476" t="s">
        <v>599</v>
      </c>
      <c r="AX57" s="476" t="s">
        <v>599</v>
      </c>
      <c r="AY57" s="476" t="s">
        <v>599</v>
      </c>
      <c r="AZ57" s="476"/>
      <c r="BA57" s="476"/>
      <c r="BB57" s="476"/>
      <c r="BC57" s="476"/>
      <c r="BD57" s="474" t="e">
        <f>#REF!*#REF!+#REF!*#REF!+#REF!*#REF!+#REF!*#REF!+#REF!*#REF!</f>
        <v>#REF!</v>
      </c>
      <c r="BE57" s="474" t="e">
        <f>#REF!*#REF!*#REF!+#REF!*#REF!*#REF!+#REF!*#REF!*#REF!+#REF!*#REF!*#REF!+#REF!*#REF!*#REF!</f>
        <v>#REF!</v>
      </c>
      <c r="BF57" s="474" t="e">
        <f t="shared" si="17"/>
        <v>#REF!</v>
      </c>
      <c r="BG57" s="474" t="e">
        <f>#REF!*#REF!*#REF!</f>
        <v>#REF!</v>
      </c>
      <c r="BH57" s="474" t="e">
        <f>#REF!*#REF!*#REF!</f>
        <v>#REF!</v>
      </c>
      <c r="BI57" s="474" t="e">
        <f>#REF!*#REF!*#REF!</f>
        <v>#REF!</v>
      </c>
      <c r="BJ57" s="474" t="e">
        <f t="shared" si="18"/>
        <v>#REF!</v>
      </c>
      <c r="BK57" s="474" t="e">
        <f t="shared" si="19"/>
        <v>#REF!</v>
      </c>
      <c r="BL57" s="474" t="e">
        <f>#REF!*#REF!</f>
        <v>#REF!</v>
      </c>
      <c r="BM57" s="474" t="e">
        <f t="shared" si="20"/>
        <v>#REF!</v>
      </c>
      <c r="BN57" s="474" t="e">
        <f>#REF!*#REF!+#REF!*#REF!+#REF!*#REF!+#REF!*#REF!+#REF!*#REF!</f>
        <v>#REF!</v>
      </c>
      <c r="BO57" s="474" t="e">
        <f>#REF!*#REF!*#REF!+#REF!*#REF!*#REF!+#REF!*#REF!*#REF!+#REF!*#REF!*#REF!+#REF!*#REF!*#REF!</f>
        <v>#REF!</v>
      </c>
      <c r="BP57" s="475" t="e">
        <f t="shared" si="21"/>
        <v>#REF!</v>
      </c>
    </row>
    <row r="58" spans="1:68" s="471" customFormat="1" ht="21" customHeight="1" x14ac:dyDescent="0.35">
      <c r="A58" s="476">
        <v>56</v>
      </c>
      <c r="B58" s="476" t="s">
        <v>747</v>
      </c>
      <c r="C58" s="484">
        <v>0</v>
      </c>
      <c r="D58" s="476" t="s">
        <v>669</v>
      </c>
      <c r="E58" s="476"/>
      <c r="F58" s="483" t="s">
        <v>616</v>
      </c>
      <c r="G58" s="476" t="s">
        <v>670</v>
      </c>
      <c r="H58" s="476" t="s">
        <v>671</v>
      </c>
      <c r="I58" s="476" t="s">
        <v>748</v>
      </c>
      <c r="J58" s="476" t="s">
        <v>675</v>
      </c>
      <c r="K58" s="476">
        <v>126</v>
      </c>
      <c r="L58" s="476"/>
      <c r="M58" s="476" t="s">
        <v>76</v>
      </c>
      <c r="N58" s="476" t="s">
        <v>596</v>
      </c>
      <c r="O58" s="481" t="e">
        <f t="shared" si="15"/>
        <v>#DIV/0!</v>
      </c>
      <c r="P58" s="481">
        <f t="shared" si="16"/>
        <v>0</v>
      </c>
      <c r="Q58" s="476"/>
      <c r="R58" s="476" t="s">
        <v>146</v>
      </c>
      <c r="S58" s="476"/>
      <c r="T58" s="476" t="s">
        <v>147</v>
      </c>
      <c r="U58" s="476"/>
      <c r="V58" s="476" t="s">
        <v>597</v>
      </c>
      <c r="W58" s="476"/>
      <c r="X58" s="476" t="s">
        <v>148</v>
      </c>
      <c r="Y58" s="476"/>
      <c r="Z58" s="476" t="s">
        <v>150</v>
      </c>
      <c r="AA58" s="476"/>
      <c r="AB58" s="476" t="s">
        <v>570</v>
      </c>
      <c r="AC58" s="476"/>
      <c r="AD58" s="476" t="s">
        <v>122</v>
      </c>
      <c r="AE58" s="476"/>
      <c r="AF58" s="476" t="s">
        <v>123</v>
      </c>
      <c r="AG58" s="476"/>
      <c r="AH58" s="476"/>
      <c r="AI58" s="476"/>
      <c r="AJ58" s="476">
        <v>1</v>
      </c>
      <c r="AK58" s="476" t="s">
        <v>598</v>
      </c>
      <c r="AL58" s="476"/>
      <c r="AM58" s="476"/>
      <c r="AN58" s="476">
        <v>0.02</v>
      </c>
      <c r="AO58" s="476">
        <v>0.03</v>
      </c>
      <c r="AP58" s="476">
        <v>0.2</v>
      </c>
      <c r="AQ58" s="476">
        <v>0.3</v>
      </c>
      <c r="AR58" s="476">
        <v>0.1</v>
      </c>
      <c r="AS58" s="476">
        <v>0.1</v>
      </c>
      <c r="AT58" s="476">
        <v>0.15</v>
      </c>
      <c r="AU58" s="476">
        <v>0.1</v>
      </c>
      <c r="AV58" s="476">
        <v>120</v>
      </c>
      <c r="AW58" s="476" t="s">
        <v>599</v>
      </c>
      <c r="AX58" s="476" t="s">
        <v>599</v>
      </c>
      <c r="AY58" s="476" t="s">
        <v>599</v>
      </c>
      <c r="AZ58" s="476"/>
      <c r="BA58" s="476"/>
      <c r="BB58" s="476"/>
      <c r="BC58" s="476"/>
      <c r="BD58" s="474" t="e">
        <f>#REF!*#REF!+#REF!*#REF!+#REF!*#REF!+#REF!*#REF!+#REF!*#REF!</f>
        <v>#REF!</v>
      </c>
      <c r="BE58" s="474" t="e">
        <f>#REF!*#REF!*#REF!+#REF!*#REF!*#REF!+#REF!*#REF!*#REF!+#REF!*#REF!*#REF!+#REF!*#REF!*#REF!</f>
        <v>#REF!</v>
      </c>
      <c r="BF58" s="474" t="e">
        <f t="shared" si="17"/>
        <v>#REF!</v>
      </c>
      <c r="BG58" s="474" t="e">
        <f>#REF!*#REF!*#REF!</f>
        <v>#REF!</v>
      </c>
      <c r="BH58" s="474" t="e">
        <f>#REF!*#REF!*#REF!</f>
        <v>#REF!</v>
      </c>
      <c r="BI58" s="474" t="e">
        <f>#REF!*#REF!*#REF!</f>
        <v>#REF!</v>
      </c>
      <c r="BJ58" s="474" t="e">
        <f t="shared" si="18"/>
        <v>#REF!</v>
      </c>
      <c r="BK58" s="474" t="e">
        <f t="shared" si="19"/>
        <v>#REF!</v>
      </c>
      <c r="BL58" s="474" t="e">
        <f>#REF!*#REF!</f>
        <v>#REF!</v>
      </c>
      <c r="BM58" s="474" t="e">
        <f t="shared" si="20"/>
        <v>#REF!</v>
      </c>
      <c r="BN58" s="474" t="e">
        <f>#REF!*#REF!+#REF!*#REF!+#REF!*#REF!+#REF!*#REF!+#REF!*#REF!</f>
        <v>#REF!</v>
      </c>
      <c r="BO58" s="474" t="e">
        <f>#REF!*#REF!*#REF!+#REF!*#REF!*#REF!+#REF!*#REF!*#REF!+#REF!*#REF!*#REF!+#REF!*#REF!*#REF!</f>
        <v>#REF!</v>
      </c>
      <c r="BP58" s="475" t="e">
        <f t="shared" si="21"/>
        <v>#REF!</v>
      </c>
    </row>
    <row r="59" spans="1:68" s="471" customFormat="1" ht="21" customHeight="1" x14ac:dyDescent="0.35">
      <c r="A59" s="476">
        <v>57</v>
      </c>
      <c r="B59" s="476" t="s">
        <v>749</v>
      </c>
      <c r="C59" s="484">
        <v>0</v>
      </c>
      <c r="D59" s="476" t="s">
        <v>669</v>
      </c>
      <c r="E59" s="476"/>
      <c r="F59" s="483" t="s">
        <v>616</v>
      </c>
      <c r="G59" s="476" t="s">
        <v>670</v>
      </c>
      <c r="H59" s="476" t="s">
        <v>671</v>
      </c>
      <c r="I59" s="476" t="s">
        <v>750</v>
      </c>
      <c r="J59" s="476" t="s">
        <v>675</v>
      </c>
      <c r="K59" s="476">
        <v>165</v>
      </c>
      <c r="L59" s="476"/>
      <c r="M59" s="476" t="s">
        <v>76</v>
      </c>
      <c r="N59" s="476" t="s">
        <v>596</v>
      </c>
      <c r="O59" s="481" t="e">
        <f t="shared" si="15"/>
        <v>#DIV/0!</v>
      </c>
      <c r="P59" s="481">
        <f t="shared" si="16"/>
        <v>0</v>
      </c>
      <c r="Q59" s="476"/>
      <c r="R59" s="476" t="s">
        <v>146</v>
      </c>
      <c r="S59" s="476"/>
      <c r="T59" s="476" t="s">
        <v>147</v>
      </c>
      <c r="U59" s="476"/>
      <c r="V59" s="476" t="s">
        <v>597</v>
      </c>
      <c r="W59" s="476"/>
      <c r="X59" s="476" t="s">
        <v>148</v>
      </c>
      <c r="Y59" s="476"/>
      <c r="Z59" s="476" t="s">
        <v>150</v>
      </c>
      <c r="AA59" s="476"/>
      <c r="AB59" s="476" t="s">
        <v>570</v>
      </c>
      <c r="AC59" s="476"/>
      <c r="AD59" s="476" t="s">
        <v>122</v>
      </c>
      <c r="AE59" s="476"/>
      <c r="AF59" s="476" t="s">
        <v>123</v>
      </c>
      <c r="AG59" s="476"/>
      <c r="AH59" s="476"/>
      <c r="AI59" s="476"/>
      <c r="AJ59" s="476">
        <v>1</v>
      </c>
      <c r="AK59" s="476" t="s">
        <v>602</v>
      </c>
      <c r="AL59" s="476"/>
      <c r="AM59" s="476"/>
      <c r="AN59" s="476">
        <v>0.02</v>
      </c>
      <c r="AO59" s="476">
        <v>0.03</v>
      </c>
      <c r="AP59" s="476">
        <v>0.2</v>
      </c>
      <c r="AQ59" s="476">
        <v>0.3</v>
      </c>
      <c r="AR59" s="476">
        <v>0.1</v>
      </c>
      <c r="AS59" s="476">
        <v>0.1</v>
      </c>
      <c r="AT59" s="476">
        <v>0.15</v>
      </c>
      <c r="AU59" s="476">
        <v>0.1</v>
      </c>
      <c r="AV59" s="476">
        <v>120</v>
      </c>
      <c r="AW59" s="476" t="s">
        <v>599</v>
      </c>
      <c r="AX59" s="476" t="s">
        <v>599</v>
      </c>
      <c r="AY59" s="476" t="s">
        <v>599</v>
      </c>
      <c r="AZ59" s="476"/>
      <c r="BA59" s="476"/>
      <c r="BB59" s="476"/>
      <c r="BC59" s="476"/>
      <c r="BD59" s="474" t="e">
        <f>#REF!*#REF!+#REF!*#REF!+#REF!*#REF!+#REF!*#REF!+#REF!*#REF!</f>
        <v>#REF!</v>
      </c>
      <c r="BE59" s="474" t="e">
        <f>#REF!*#REF!*#REF!+#REF!*#REF!*#REF!+#REF!*#REF!*#REF!+#REF!*#REF!*#REF!+#REF!*#REF!*#REF!</f>
        <v>#REF!</v>
      </c>
      <c r="BF59" s="474" t="e">
        <f t="shared" si="17"/>
        <v>#REF!</v>
      </c>
      <c r="BG59" s="474" t="e">
        <f>#REF!*#REF!*#REF!</f>
        <v>#REF!</v>
      </c>
      <c r="BH59" s="474" t="e">
        <f>#REF!*#REF!*#REF!</f>
        <v>#REF!</v>
      </c>
      <c r="BI59" s="474" t="e">
        <f>#REF!*#REF!*#REF!</f>
        <v>#REF!</v>
      </c>
      <c r="BJ59" s="474" t="e">
        <f t="shared" si="18"/>
        <v>#REF!</v>
      </c>
      <c r="BK59" s="474" t="e">
        <f t="shared" si="19"/>
        <v>#REF!</v>
      </c>
      <c r="BL59" s="474" t="e">
        <f>#REF!*#REF!</f>
        <v>#REF!</v>
      </c>
      <c r="BM59" s="474" t="e">
        <f t="shared" si="20"/>
        <v>#REF!</v>
      </c>
      <c r="BN59" s="474" t="e">
        <f>#REF!*#REF!+#REF!*#REF!+#REF!*#REF!+#REF!*#REF!+#REF!*#REF!</f>
        <v>#REF!</v>
      </c>
      <c r="BO59" s="474" t="e">
        <f>#REF!*#REF!*#REF!+#REF!*#REF!*#REF!+#REF!*#REF!*#REF!+#REF!*#REF!*#REF!+#REF!*#REF!*#REF!</f>
        <v>#REF!</v>
      </c>
      <c r="BP59" s="475" t="e">
        <f t="shared" si="21"/>
        <v>#REF!</v>
      </c>
    </row>
    <row r="60" spans="1:68" s="471" customFormat="1" ht="21" customHeight="1" x14ac:dyDescent="0.35">
      <c r="A60" s="476">
        <v>58</v>
      </c>
      <c r="B60" s="476" t="s">
        <v>751</v>
      </c>
      <c r="C60" s="484">
        <v>0</v>
      </c>
      <c r="D60" s="476" t="s">
        <v>669</v>
      </c>
      <c r="E60" s="476"/>
      <c r="F60" s="483" t="s">
        <v>616</v>
      </c>
      <c r="G60" s="476" t="s">
        <v>670</v>
      </c>
      <c r="H60" s="476" t="s">
        <v>671</v>
      </c>
      <c r="I60" s="476" t="s">
        <v>752</v>
      </c>
      <c r="J60" s="476" t="s">
        <v>675</v>
      </c>
      <c r="K60" s="476">
        <v>51</v>
      </c>
      <c r="L60" s="476"/>
      <c r="M60" s="476" t="s">
        <v>76</v>
      </c>
      <c r="N60" s="476" t="s">
        <v>596</v>
      </c>
      <c r="O60" s="481" t="e">
        <f t="shared" si="15"/>
        <v>#DIV/0!</v>
      </c>
      <c r="P60" s="481">
        <f t="shared" si="16"/>
        <v>0</v>
      </c>
      <c r="Q60" s="476"/>
      <c r="R60" s="476" t="s">
        <v>146</v>
      </c>
      <c r="S60" s="476"/>
      <c r="T60" s="476" t="s">
        <v>147</v>
      </c>
      <c r="U60" s="476"/>
      <c r="V60" s="476" t="s">
        <v>597</v>
      </c>
      <c r="W60" s="476"/>
      <c r="X60" s="476" t="s">
        <v>148</v>
      </c>
      <c r="Y60" s="476"/>
      <c r="Z60" s="476" t="s">
        <v>150</v>
      </c>
      <c r="AA60" s="476"/>
      <c r="AB60" s="476" t="s">
        <v>570</v>
      </c>
      <c r="AC60" s="476"/>
      <c r="AD60" s="476" t="s">
        <v>122</v>
      </c>
      <c r="AE60" s="476"/>
      <c r="AF60" s="476" t="s">
        <v>123</v>
      </c>
      <c r="AG60" s="476"/>
      <c r="AH60" s="476"/>
      <c r="AI60" s="476"/>
      <c r="AJ60" s="476">
        <v>1</v>
      </c>
      <c r="AK60" s="476" t="s">
        <v>605</v>
      </c>
      <c r="AL60" s="476"/>
      <c r="AM60" s="476"/>
      <c r="AN60" s="476">
        <v>0.02</v>
      </c>
      <c r="AO60" s="476">
        <v>0.03</v>
      </c>
      <c r="AP60" s="476">
        <v>0.2</v>
      </c>
      <c r="AQ60" s="476">
        <v>0.3</v>
      </c>
      <c r="AR60" s="476">
        <v>0.1</v>
      </c>
      <c r="AS60" s="476">
        <v>0.1</v>
      </c>
      <c r="AT60" s="476">
        <v>0.15</v>
      </c>
      <c r="AU60" s="476">
        <v>0.1</v>
      </c>
      <c r="AV60" s="476">
        <v>120</v>
      </c>
      <c r="AW60" s="476" t="s">
        <v>599</v>
      </c>
      <c r="AX60" s="476" t="s">
        <v>599</v>
      </c>
      <c r="AY60" s="476" t="s">
        <v>599</v>
      </c>
      <c r="AZ60" s="476"/>
      <c r="BA60" s="476"/>
      <c r="BB60" s="476"/>
      <c r="BC60" s="476"/>
      <c r="BD60" s="474" t="e">
        <f>#REF!*#REF!+#REF!*#REF!+#REF!*#REF!+#REF!*#REF!+#REF!*#REF!</f>
        <v>#REF!</v>
      </c>
      <c r="BE60" s="474" t="e">
        <f>#REF!*#REF!*#REF!+#REF!*#REF!*#REF!+#REF!*#REF!*#REF!+#REF!*#REF!*#REF!+#REF!*#REF!*#REF!</f>
        <v>#REF!</v>
      </c>
      <c r="BF60" s="474" t="e">
        <f t="shared" si="17"/>
        <v>#REF!</v>
      </c>
      <c r="BG60" s="474" t="e">
        <f>#REF!*#REF!*#REF!</f>
        <v>#REF!</v>
      </c>
      <c r="BH60" s="474" t="e">
        <f>#REF!*#REF!*#REF!</f>
        <v>#REF!</v>
      </c>
      <c r="BI60" s="474" t="e">
        <f>#REF!*#REF!*#REF!</f>
        <v>#REF!</v>
      </c>
      <c r="BJ60" s="474" t="e">
        <f t="shared" si="18"/>
        <v>#REF!</v>
      </c>
      <c r="BK60" s="474" t="e">
        <f t="shared" si="19"/>
        <v>#REF!</v>
      </c>
      <c r="BL60" s="474" t="e">
        <f>#REF!*#REF!</f>
        <v>#REF!</v>
      </c>
      <c r="BM60" s="474" t="e">
        <f t="shared" si="20"/>
        <v>#REF!</v>
      </c>
      <c r="BN60" s="474" t="e">
        <f>#REF!*#REF!+#REF!*#REF!+#REF!*#REF!+#REF!*#REF!+#REF!*#REF!</f>
        <v>#REF!</v>
      </c>
      <c r="BO60" s="474" t="e">
        <f>#REF!*#REF!*#REF!+#REF!*#REF!*#REF!+#REF!*#REF!*#REF!+#REF!*#REF!*#REF!+#REF!*#REF!*#REF!</f>
        <v>#REF!</v>
      </c>
      <c r="BP60" s="475" t="e">
        <f t="shared" si="21"/>
        <v>#REF!</v>
      </c>
    </row>
    <row r="61" spans="1:68" s="471" customFormat="1" ht="21" customHeight="1" x14ac:dyDescent="0.35">
      <c r="A61" s="476">
        <v>59</v>
      </c>
      <c r="B61" s="476" t="s">
        <v>753</v>
      </c>
      <c r="C61" s="484">
        <v>0</v>
      </c>
      <c r="D61" s="476" t="s">
        <v>669</v>
      </c>
      <c r="E61" s="476"/>
      <c r="F61" s="483" t="s">
        <v>616</v>
      </c>
      <c r="G61" s="476" t="s">
        <v>670</v>
      </c>
      <c r="H61" s="476" t="s">
        <v>671</v>
      </c>
      <c r="I61" s="476" t="s">
        <v>754</v>
      </c>
      <c r="J61" s="476" t="s">
        <v>675</v>
      </c>
      <c r="K61" s="476">
        <v>130</v>
      </c>
      <c r="L61" s="476"/>
      <c r="M61" s="476" t="s">
        <v>76</v>
      </c>
      <c r="N61" s="476" t="s">
        <v>596</v>
      </c>
      <c r="O61" s="481" t="e">
        <f t="shared" si="15"/>
        <v>#DIV/0!</v>
      </c>
      <c r="P61" s="481">
        <f t="shared" si="16"/>
        <v>0</v>
      </c>
      <c r="Q61" s="476"/>
      <c r="R61" s="476" t="s">
        <v>146</v>
      </c>
      <c r="S61" s="476"/>
      <c r="T61" s="476" t="s">
        <v>147</v>
      </c>
      <c r="U61" s="476"/>
      <c r="V61" s="476" t="s">
        <v>597</v>
      </c>
      <c r="W61" s="476"/>
      <c r="X61" s="476" t="s">
        <v>148</v>
      </c>
      <c r="Y61" s="476"/>
      <c r="Z61" s="476" t="s">
        <v>150</v>
      </c>
      <c r="AA61" s="476"/>
      <c r="AB61" s="476" t="s">
        <v>570</v>
      </c>
      <c r="AC61" s="476"/>
      <c r="AD61" s="476" t="s">
        <v>122</v>
      </c>
      <c r="AE61" s="476"/>
      <c r="AF61" s="476" t="s">
        <v>123</v>
      </c>
      <c r="AG61" s="476"/>
      <c r="AH61" s="476"/>
      <c r="AI61" s="476"/>
      <c r="AJ61" s="476">
        <v>1</v>
      </c>
      <c r="AK61" s="476" t="s">
        <v>608</v>
      </c>
      <c r="AL61" s="476"/>
      <c r="AM61" s="476"/>
      <c r="AN61" s="476">
        <v>0.02</v>
      </c>
      <c r="AO61" s="476">
        <v>0.03</v>
      </c>
      <c r="AP61" s="476">
        <v>0.2</v>
      </c>
      <c r="AQ61" s="476">
        <v>0.3</v>
      </c>
      <c r="AR61" s="476">
        <v>0.1</v>
      </c>
      <c r="AS61" s="476">
        <v>0.1</v>
      </c>
      <c r="AT61" s="476">
        <v>0.15</v>
      </c>
      <c r="AU61" s="476">
        <v>0.1</v>
      </c>
      <c r="AV61" s="476">
        <v>120</v>
      </c>
      <c r="AW61" s="476" t="s">
        <v>599</v>
      </c>
      <c r="AX61" s="476" t="s">
        <v>599</v>
      </c>
      <c r="AY61" s="476" t="s">
        <v>599</v>
      </c>
      <c r="AZ61" s="476"/>
      <c r="BA61" s="476"/>
      <c r="BB61" s="476"/>
      <c r="BC61" s="476"/>
      <c r="BD61" s="474" t="e">
        <f>#REF!*#REF!+#REF!*#REF!+#REF!*#REF!+#REF!*#REF!+#REF!*#REF!</f>
        <v>#REF!</v>
      </c>
      <c r="BE61" s="474" t="e">
        <f>#REF!*#REF!*#REF!+#REF!*#REF!*#REF!+#REF!*#REF!*#REF!+#REF!*#REF!*#REF!+#REF!*#REF!*#REF!</f>
        <v>#REF!</v>
      </c>
      <c r="BF61" s="474" t="e">
        <f t="shared" si="17"/>
        <v>#REF!</v>
      </c>
      <c r="BG61" s="474" t="e">
        <f>#REF!*#REF!*#REF!</f>
        <v>#REF!</v>
      </c>
      <c r="BH61" s="474" t="e">
        <f>#REF!*#REF!*#REF!</f>
        <v>#REF!</v>
      </c>
      <c r="BI61" s="474" t="e">
        <f>#REF!*#REF!*#REF!</f>
        <v>#REF!</v>
      </c>
      <c r="BJ61" s="474" t="e">
        <f t="shared" si="18"/>
        <v>#REF!</v>
      </c>
      <c r="BK61" s="474" t="e">
        <f t="shared" si="19"/>
        <v>#REF!</v>
      </c>
      <c r="BL61" s="474" t="e">
        <f>#REF!*#REF!</f>
        <v>#REF!</v>
      </c>
      <c r="BM61" s="474" t="e">
        <f t="shared" si="20"/>
        <v>#REF!</v>
      </c>
      <c r="BN61" s="474" t="e">
        <f>#REF!*#REF!+#REF!*#REF!+#REF!*#REF!+#REF!*#REF!+#REF!*#REF!</f>
        <v>#REF!</v>
      </c>
      <c r="BO61" s="474" t="e">
        <f>#REF!*#REF!*#REF!+#REF!*#REF!*#REF!+#REF!*#REF!*#REF!+#REF!*#REF!*#REF!+#REF!*#REF!*#REF!</f>
        <v>#REF!</v>
      </c>
      <c r="BP61" s="475" t="e">
        <f t="shared" si="21"/>
        <v>#REF!</v>
      </c>
    </row>
    <row r="62" spans="1:68" s="471" customFormat="1" ht="21" customHeight="1" x14ac:dyDescent="0.35">
      <c r="A62" s="476">
        <v>60</v>
      </c>
      <c r="B62" s="476" t="s">
        <v>755</v>
      </c>
      <c r="C62" s="484">
        <v>0</v>
      </c>
      <c r="D62" s="476" t="s">
        <v>640</v>
      </c>
      <c r="E62" s="476"/>
      <c r="F62" s="483" t="s">
        <v>641</v>
      </c>
      <c r="G62" s="476" t="s">
        <v>642</v>
      </c>
      <c r="H62" s="476" t="s">
        <v>643</v>
      </c>
      <c r="I62" s="476" t="s">
        <v>756</v>
      </c>
      <c r="J62" s="476" t="s">
        <v>595</v>
      </c>
      <c r="K62" s="476">
        <v>26</v>
      </c>
      <c r="L62" s="476"/>
      <c r="M62" s="476" t="s">
        <v>76</v>
      </c>
      <c r="N62" s="476" t="s">
        <v>645</v>
      </c>
      <c r="O62" s="481" t="e">
        <f t="shared" si="15"/>
        <v>#DIV/0!</v>
      </c>
      <c r="P62" s="481">
        <f t="shared" si="16"/>
        <v>0</v>
      </c>
      <c r="Q62" s="476"/>
      <c r="R62" s="476" t="s">
        <v>146</v>
      </c>
      <c r="S62" s="476"/>
      <c r="T62" s="476" t="s">
        <v>147</v>
      </c>
      <c r="U62" s="476"/>
      <c r="V62" s="476" t="s">
        <v>597</v>
      </c>
      <c r="W62" s="476"/>
      <c r="X62" s="476" t="s">
        <v>148</v>
      </c>
      <c r="Y62" s="476"/>
      <c r="Z62" s="476" t="s">
        <v>646</v>
      </c>
      <c r="AA62" s="476"/>
      <c r="AB62" s="476" t="s">
        <v>647</v>
      </c>
      <c r="AC62" s="476"/>
      <c r="AD62" s="476" t="s">
        <v>122</v>
      </c>
      <c r="AE62" s="476"/>
      <c r="AF62" s="476" t="s">
        <v>123</v>
      </c>
      <c r="AG62" s="476"/>
      <c r="AH62" s="476"/>
      <c r="AI62" s="476" t="s">
        <v>648</v>
      </c>
      <c r="AJ62" s="476">
        <v>1</v>
      </c>
      <c r="AK62" s="476" t="s">
        <v>615</v>
      </c>
      <c r="AL62" s="476"/>
      <c r="AM62" s="476"/>
      <c r="AN62" s="476">
        <v>0.02</v>
      </c>
      <c r="AO62" s="476">
        <v>0.03</v>
      </c>
      <c r="AP62" s="476">
        <v>0.2</v>
      </c>
      <c r="AQ62" s="476">
        <v>0.3</v>
      </c>
      <c r="AR62" s="476">
        <v>0.1</v>
      </c>
      <c r="AS62" s="476">
        <v>0.1</v>
      </c>
      <c r="AT62" s="476">
        <v>0.15</v>
      </c>
      <c r="AU62" s="476">
        <v>0.1</v>
      </c>
      <c r="AV62" s="476">
        <v>401</v>
      </c>
      <c r="AW62" s="476" t="s">
        <v>649</v>
      </c>
      <c r="AX62" s="476" t="s">
        <v>599</v>
      </c>
      <c r="AY62" s="476" t="s">
        <v>599</v>
      </c>
      <c r="AZ62" s="476"/>
      <c r="BA62" s="476"/>
      <c r="BB62" s="476"/>
      <c r="BC62" s="476"/>
      <c r="BD62" s="474" t="e">
        <f>#REF!*#REF!+#REF!*#REF!+#REF!*#REF!+#REF!*#REF!+#REF!*#REF!</f>
        <v>#REF!</v>
      </c>
      <c r="BE62" s="474" t="e">
        <f>#REF!*#REF!*#REF!+#REF!*#REF!*#REF!+#REF!*#REF!*#REF!+#REF!*#REF!*#REF!+#REF!*#REF!*#REF!</f>
        <v>#REF!</v>
      </c>
      <c r="BF62" s="474" t="e">
        <f t="shared" si="17"/>
        <v>#REF!</v>
      </c>
      <c r="BG62" s="474" t="e">
        <f>#REF!*#REF!*#REF!</f>
        <v>#REF!</v>
      </c>
      <c r="BH62" s="474" t="e">
        <f>#REF!*#REF!*#REF!</f>
        <v>#REF!</v>
      </c>
      <c r="BI62" s="474" t="e">
        <f>#REF!*#REF!*#REF!</f>
        <v>#REF!</v>
      </c>
      <c r="BJ62" s="474" t="e">
        <f t="shared" si="18"/>
        <v>#REF!</v>
      </c>
      <c r="BK62" s="474" t="e">
        <f t="shared" si="19"/>
        <v>#REF!</v>
      </c>
      <c r="BL62" s="474" t="e">
        <f>#REF!*#REF!</f>
        <v>#REF!</v>
      </c>
      <c r="BM62" s="474" t="e">
        <f t="shared" si="20"/>
        <v>#REF!</v>
      </c>
      <c r="BN62" s="474" t="e">
        <f>#REF!*#REF!+#REF!*#REF!+#REF!*#REF!+#REF!*#REF!+#REF!*#REF!</f>
        <v>#REF!</v>
      </c>
      <c r="BO62" s="474" t="e">
        <f>#REF!*#REF!*#REF!+#REF!*#REF!*#REF!+#REF!*#REF!*#REF!+#REF!*#REF!*#REF!+#REF!*#REF!*#REF!</f>
        <v>#REF!</v>
      </c>
      <c r="BP62" s="475" t="e">
        <f t="shared" si="21"/>
        <v>#REF!</v>
      </c>
    </row>
    <row r="63" spans="1:68" s="471" customFormat="1" ht="21" customHeight="1" x14ac:dyDescent="0.35">
      <c r="A63" s="476">
        <v>61</v>
      </c>
      <c r="B63" s="476" t="s">
        <v>757</v>
      </c>
      <c r="C63" s="484">
        <v>0</v>
      </c>
      <c r="D63" s="476" t="s">
        <v>640</v>
      </c>
      <c r="E63" s="476"/>
      <c r="F63" s="483" t="s">
        <v>641</v>
      </c>
      <c r="G63" s="476" t="s">
        <v>642</v>
      </c>
      <c r="H63" s="476" t="s">
        <v>643</v>
      </c>
      <c r="I63" s="476" t="s">
        <v>758</v>
      </c>
      <c r="J63" s="476" t="s">
        <v>595</v>
      </c>
      <c r="K63" s="476">
        <v>14</v>
      </c>
      <c r="L63" s="476"/>
      <c r="M63" s="476" t="s">
        <v>76</v>
      </c>
      <c r="N63" s="476" t="s">
        <v>645</v>
      </c>
      <c r="O63" s="481" t="e">
        <f t="shared" si="15"/>
        <v>#DIV/0!</v>
      </c>
      <c r="P63" s="481">
        <f t="shared" si="16"/>
        <v>0</v>
      </c>
      <c r="Q63" s="476"/>
      <c r="R63" s="476" t="s">
        <v>146</v>
      </c>
      <c r="S63" s="476"/>
      <c r="T63" s="476" t="s">
        <v>147</v>
      </c>
      <c r="U63" s="476"/>
      <c r="V63" s="476" t="s">
        <v>597</v>
      </c>
      <c r="W63" s="476"/>
      <c r="X63" s="476" t="s">
        <v>148</v>
      </c>
      <c r="Y63" s="476"/>
      <c r="Z63" s="476" t="s">
        <v>646</v>
      </c>
      <c r="AA63" s="476"/>
      <c r="AB63" s="476" t="s">
        <v>647</v>
      </c>
      <c r="AC63" s="476"/>
      <c r="AD63" s="476" t="s">
        <v>122</v>
      </c>
      <c r="AE63" s="476"/>
      <c r="AF63" s="476" t="s">
        <v>123</v>
      </c>
      <c r="AG63" s="476"/>
      <c r="AH63" s="476"/>
      <c r="AI63" s="476"/>
      <c r="AJ63" s="476">
        <v>1</v>
      </c>
      <c r="AK63" s="476" t="s">
        <v>598</v>
      </c>
      <c r="AL63" s="476"/>
      <c r="AM63" s="476"/>
      <c r="AN63" s="476">
        <v>0.02</v>
      </c>
      <c r="AO63" s="476">
        <v>0.03</v>
      </c>
      <c r="AP63" s="476">
        <v>0.2</v>
      </c>
      <c r="AQ63" s="476">
        <v>0.3</v>
      </c>
      <c r="AR63" s="476">
        <v>0.1</v>
      </c>
      <c r="AS63" s="476">
        <v>0.1</v>
      </c>
      <c r="AT63" s="476">
        <v>0.15</v>
      </c>
      <c r="AU63" s="476">
        <v>0.1</v>
      </c>
      <c r="AV63" s="476">
        <v>120</v>
      </c>
      <c r="AW63" s="476" t="s">
        <v>649</v>
      </c>
      <c r="AX63" s="476" t="s">
        <v>599</v>
      </c>
      <c r="AY63" s="476" t="s">
        <v>599</v>
      </c>
      <c r="AZ63" s="476"/>
      <c r="BA63" s="476"/>
      <c r="BB63" s="476"/>
      <c r="BC63" s="476"/>
      <c r="BD63" s="474" t="e">
        <f>#REF!*#REF!+#REF!*#REF!+#REF!*#REF!+#REF!*#REF!+#REF!*#REF!</f>
        <v>#REF!</v>
      </c>
      <c r="BE63" s="474" t="e">
        <f>#REF!*#REF!*#REF!+#REF!*#REF!*#REF!+#REF!*#REF!*#REF!+#REF!*#REF!*#REF!+#REF!*#REF!*#REF!</f>
        <v>#REF!</v>
      </c>
      <c r="BF63" s="474" t="e">
        <f t="shared" si="17"/>
        <v>#REF!</v>
      </c>
      <c r="BG63" s="474" t="e">
        <f>#REF!*#REF!*#REF!</f>
        <v>#REF!</v>
      </c>
      <c r="BH63" s="474" t="e">
        <f>#REF!*#REF!*#REF!</f>
        <v>#REF!</v>
      </c>
      <c r="BI63" s="474" t="e">
        <f>#REF!*#REF!*#REF!</f>
        <v>#REF!</v>
      </c>
      <c r="BJ63" s="474" t="e">
        <f t="shared" si="18"/>
        <v>#REF!</v>
      </c>
      <c r="BK63" s="474" t="e">
        <f t="shared" si="19"/>
        <v>#REF!</v>
      </c>
      <c r="BL63" s="474" t="e">
        <f>#REF!*#REF!</f>
        <v>#REF!</v>
      </c>
      <c r="BM63" s="474" t="e">
        <f t="shared" si="20"/>
        <v>#REF!</v>
      </c>
      <c r="BN63" s="474" t="e">
        <f>#REF!*#REF!+#REF!*#REF!+#REF!*#REF!+#REF!*#REF!+#REF!*#REF!</f>
        <v>#REF!</v>
      </c>
      <c r="BO63" s="474" t="e">
        <f>#REF!*#REF!*#REF!+#REF!*#REF!*#REF!+#REF!*#REF!*#REF!+#REF!*#REF!*#REF!+#REF!*#REF!*#REF!</f>
        <v>#REF!</v>
      </c>
      <c r="BP63" s="475" t="e">
        <f t="shared" si="21"/>
        <v>#REF!</v>
      </c>
    </row>
    <row r="64" spans="1:68" s="471" customFormat="1" ht="21" customHeight="1" x14ac:dyDescent="0.35">
      <c r="A64" s="476">
        <v>62</v>
      </c>
      <c r="B64" s="476" t="s">
        <v>759</v>
      </c>
      <c r="C64" s="484">
        <v>0</v>
      </c>
      <c r="D64" s="476" t="s">
        <v>640</v>
      </c>
      <c r="E64" s="476"/>
      <c r="F64" s="483" t="s">
        <v>641</v>
      </c>
      <c r="G64" s="476" t="s">
        <v>642</v>
      </c>
      <c r="H64" s="476" t="s">
        <v>643</v>
      </c>
      <c r="I64" s="476" t="s">
        <v>760</v>
      </c>
      <c r="J64" s="476" t="s">
        <v>595</v>
      </c>
      <c r="K64" s="476">
        <v>15</v>
      </c>
      <c r="L64" s="476"/>
      <c r="M64" s="476" t="s">
        <v>76</v>
      </c>
      <c r="N64" s="476" t="s">
        <v>645</v>
      </c>
      <c r="O64" s="481" t="e">
        <f t="shared" si="15"/>
        <v>#DIV/0!</v>
      </c>
      <c r="P64" s="481">
        <f t="shared" si="16"/>
        <v>0</v>
      </c>
      <c r="Q64" s="476"/>
      <c r="R64" s="476" t="s">
        <v>146</v>
      </c>
      <c r="S64" s="476"/>
      <c r="T64" s="476" t="s">
        <v>147</v>
      </c>
      <c r="U64" s="476"/>
      <c r="V64" s="476" t="s">
        <v>597</v>
      </c>
      <c r="W64" s="476"/>
      <c r="X64" s="476" t="s">
        <v>148</v>
      </c>
      <c r="Y64" s="476"/>
      <c r="Z64" s="476" t="s">
        <v>646</v>
      </c>
      <c r="AA64" s="476"/>
      <c r="AB64" s="476" t="s">
        <v>647</v>
      </c>
      <c r="AC64" s="476"/>
      <c r="AD64" s="476" t="s">
        <v>122</v>
      </c>
      <c r="AE64" s="476"/>
      <c r="AF64" s="476" t="s">
        <v>123</v>
      </c>
      <c r="AG64" s="476"/>
      <c r="AH64" s="476"/>
      <c r="AI64" s="476"/>
      <c r="AJ64" s="476">
        <v>1</v>
      </c>
      <c r="AK64" s="476" t="s">
        <v>602</v>
      </c>
      <c r="AL64" s="476"/>
      <c r="AM64" s="476"/>
      <c r="AN64" s="476">
        <v>0.02</v>
      </c>
      <c r="AO64" s="476">
        <v>0.03</v>
      </c>
      <c r="AP64" s="476">
        <v>0.2</v>
      </c>
      <c r="AQ64" s="476">
        <v>0.3</v>
      </c>
      <c r="AR64" s="476">
        <v>0.1</v>
      </c>
      <c r="AS64" s="476">
        <v>0.1</v>
      </c>
      <c r="AT64" s="476">
        <v>0.15</v>
      </c>
      <c r="AU64" s="476">
        <v>0.1</v>
      </c>
      <c r="AV64" s="476">
        <v>120</v>
      </c>
      <c r="AW64" s="476" t="s">
        <v>649</v>
      </c>
      <c r="AX64" s="476" t="s">
        <v>599</v>
      </c>
      <c r="AY64" s="476" t="s">
        <v>599</v>
      </c>
      <c r="AZ64" s="476"/>
      <c r="BA64" s="476"/>
      <c r="BB64" s="476"/>
      <c r="BC64" s="476"/>
      <c r="BD64" s="474" t="e">
        <f>#REF!*#REF!+#REF!*#REF!+#REF!*#REF!+#REF!*#REF!+#REF!*#REF!</f>
        <v>#REF!</v>
      </c>
      <c r="BE64" s="474" t="e">
        <f>#REF!*#REF!*#REF!+#REF!*#REF!*#REF!+#REF!*#REF!*#REF!+#REF!*#REF!*#REF!+#REF!*#REF!*#REF!</f>
        <v>#REF!</v>
      </c>
      <c r="BF64" s="474" t="e">
        <f t="shared" si="17"/>
        <v>#REF!</v>
      </c>
      <c r="BG64" s="474" t="e">
        <f>#REF!*#REF!*#REF!</f>
        <v>#REF!</v>
      </c>
      <c r="BH64" s="474" t="e">
        <f>#REF!*#REF!*#REF!</f>
        <v>#REF!</v>
      </c>
      <c r="BI64" s="474" t="e">
        <f>#REF!*#REF!*#REF!</f>
        <v>#REF!</v>
      </c>
      <c r="BJ64" s="474" t="e">
        <f t="shared" si="18"/>
        <v>#REF!</v>
      </c>
      <c r="BK64" s="474" t="e">
        <f t="shared" si="19"/>
        <v>#REF!</v>
      </c>
      <c r="BL64" s="474" t="e">
        <f>#REF!*#REF!</f>
        <v>#REF!</v>
      </c>
      <c r="BM64" s="474" t="e">
        <f t="shared" si="20"/>
        <v>#REF!</v>
      </c>
      <c r="BN64" s="474" t="e">
        <f>#REF!*#REF!+#REF!*#REF!+#REF!*#REF!+#REF!*#REF!+#REF!*#REF!</f>
        <v>#REF!</v>
      </c>
      <c r="BO64" s="474" t="e">
        <f>#REF!*#REF!*#REF!+#REF!*#REF!*#REF!+#REF!*#REF!*#REF!+#REF!*#REF!*#REF!+#REF!*#REF!*#REF!</f>
        <v>#REF!</v>
      </c>
      <c r="BP64" s="475" t="e">
        <f t="shared" si="21"/>
        <v>#REF!</v>
      </c>
    </row>
    <row r="65" spans="1:68" s="471" customFormat="1" ht="21" customHeight="1" x14ac:dyDescent="0.35">
      <c r="A65" s="476">
        <v>63</v>
      </c>
      <c r="B65" s="476" t="s">
        <v>761</v>
      </c>
      <c r="C65" s="484">
        <v>1</v>
      </c>
      <c r="D65" s="476" t="s">
        <v>640</v>
      </c>
      <c r="E65" s="476"/>
      <c r="F65" s="483" t="s">
        <v>641</v>
      </c>
      <c r="G65" s="476" t="s">
        <v>642</v>
      </c>
      <c r="H65" s="476" t="s">
        <v>643</v>
      </c>
      <c r="I65" s="476" t="s">
        <v>762</v>
      </c>
      <c r="J65" s="476" t="s">
        <v>763</v>
      </c>
      <c r="K65" s="476">
        <v>328</v>
      </c>
      <c r="L65" s="476"/>
      <c r="M65" s="476" t="s">
        <v>76</v>
      </c>
      <c r="N65" s="476" t="s">
        <v>645</v>
      </c>
      <c r="O65" s="481" t="e">
        <f t="shared" si="15"/>
        <v>#DIV/0!</v>
      </c>
      <c r="P65" s="481">
        <f t="shared" si="16"/>
        <v>0</v>
      </c>
      <c r="Q65" s="476"/>
      <c r="R65" s="476" t="s">
        <v>146</v>
      </c>
      <c r="S65" s="476"/>
      <c r="T65" s="476" t="s">
        <v>147</v>
      </c>
      <c r="U65" s="476"/>
      <c r="V65" s="476" t="s">
        <v>597</v>
      </c>
      <c r="W65" s="476"/>
      <c r="X65" s="476" t="s">
        <v>148</v>
      </c>
      <c r="Y65" s="476"/>
      <c r="Z65" s="476" t="s">
        <v>646</v>
      </c>
      <c r="AA65" s="476"/>
      <c r="AB65" s="476" t="s">
        <v>647</v>
      </c>
      <c r="AC65" s="476"/>
      <c r="AD65" s="476" t="s">
        <v>122</v>
      </c>
      <c r="AE65" s="476"/>
      <c r="AF65" s="476" t="s">
        <v>123</v>
      </c>
      <c r="AG65" s="476"/>
      <c r="AH65" s="476"/>
      <c r="AI65" s="476" t="s">
        <v>648</v>
      </c>
      <c r="AJ65" s="476">
        <v>1</v>
      </c>
      <c r="AK65" s="476" t="s">
        <v>605</v>
      </c>
      <c r="AL65" s="476"/>
      <c r="AM65" s="476"/>
      <c r="AN65" s="476">
        <v>0.02</v>
      </c>
      <c r="AO65" s="476">
        <v>0.03</v>
      </c>
      <c r="AP65" s="476">
        <v>0.2</v>
      </c>
      <c r="AQ65" s="476">
        <v>0.3</v>
      </c>
      <c r="AR65" s="476">
        <v>0.1</v>
      </c>
      <c r="AS65" s="476">
        <v>0.1</v>
      </c>
      <c r="AT65" s="476">
        <v>0.15</v>
      </c>
      <c r="AU65" s="476">
        <v>0.1</v>
      </c>
      <c r="AV65" s="476">
        <v>401</v>
      </c>
      <c r="AW65" s="476" t="s">
        <v>649</v>
      </c>
      <c r="AX65" s="476" t="s">
        <v>599</v>
      </c>
      <c r="AY65" s="476" t="s">
        <v>599</v>
      </c>
      <c r="AZ65" s="476"/>
      <c r="BA65" s="476"/>
      <c r="BB65" s="476"/>
      <c r="BC65" s="476"/>
      <c r="BD65" s="474" t="e">
        <f>#REF!*#REF!+#REF!*#REF!+#REF!*#REF!+#REF!*#REF!+#REF!*#REF!</f>
        <v>#REF!</v>
      </c>
      <c r="BE65" s="474" t="e">
        <f>#REF!*#REF!*#REF!+#REF!*#REF!*#REF!+#REF!*#REF!*#REF!+#REF!*#REF!*#REF!+#REF!*#REF!*#REF!</f>
        <v>#REF!</v>
      </c>
      <c r="BF65" s="474" t="e">
        <f t="shared" si="17"/>
        <v>#REF!</v>
      </c>
      <c r="BG65" s="474" t="e">
        <f>#REF!*#REF!*#REF!</f>
        <v>#REF!</v>
      </c>
      <c r="BH65" s="474" t="e">
        <f>#REF!*#REF!*#REF!</f>
        <v>#REF!</v>
      </c>
      <c r="BI65" s="474" t="e">
        <f>#REF!*#REF!*#REF!</f>
        <v>#REF!</v>
      </c>
      <c r="BJ65" s="474" t="e">
        <f t="shared" si="18"/>
        <v>#REF!</v>
      </c>
      <c r="BK65" s="474" t="e">
        <f t="shared" si="19"/>
        <v>#REF!</v>
      </c>
      <c r="BL65" s="474" t="e">
        <f>#REF!*#REF!</f>
        <v>#REF!</v>
      </c>
      <c r="BM65" s="474" t="e">
        <f t="shared" si="20"/>
        <v>#REF!</v>
      </c>
      <c r="BN65" s="474" t="e">
        <f>#REF!*#REF!+#REF!*#REF!+#REF!*#REF!+#REF!*#REF!+#REF!*#REF!</f>
        <v>#REF!</v>
      </c>
      <c r="BO65" s="474" t="e">
        <f>#REF!*#REF!*#REF!+#REF!*#REF!*#REF!+#REF!*#REF!*#REF!+#REF!*#REF!*#REF!+#REF!*#REF!*#REF!</f>
        <v>#REF!</v>
      </c>
      <c r="BP65" s="475" t="e">
        <f t="shared" si="21"/>
        <v>#REF!</v>
      </c>
    </row>
    <row r="66" spans="1:68" s="471" customFormat="1" ht="21" customHeight="1" x14ac:dyDescent="0.35">
      <c r="A66" s="476">
        <v>64</v>
      </c>
      <c r="B66" s="476" t="s">
        <v>764</v>
      </c>
      <c r="C66" s="484">
        <v>1</v>
      </c>
      <c r="D66" s="476" t="s">
        <v>640</v>
      </c>
      <c r="E66" s="476"/>
      <c r="F66" s="483" t="s">
        <v>641</v>
      </c>
      <c r="G66" s="476" t="s">
        <v>642</v>
      </c>
      <c r="H66" s="476" t="s">
        <v>643</v>
      </c>
      <c r="I66" s="476" t="s">
        <v>765</v>
      </c>
      <c r="J66" s="476" t="s">
        <v>763</v>
      </c>
      <c r="K66" s="476">
        <v>355</v>
      </c>
      <c r="L66" s="476"/>
      <c r="M66" s="476" t="s">
        <v>76</v>
      </c>
      <c r="N66" s="476" t="s">
        <v>645</v>
      </c>
      <c r="O66" s="481" t="e">
        <f t="shared" si="15"/>
        <v>#DIV/0!</v>
      </c>
      <c r="P66" s="481">
        <f t="shared" si="16"/>
        <v>0</v>
      </c>
      <c r="Q66" s="476"/>
      <c r="R66" s="476" t="s">
        <v>146</v>
      </c>
      <c r="S66" s="476"/>
      <c r="T66" s="476" t="s">
        <v>147</v>
      </c>
      <c r="U66" s="476"/>
      <c r="V66" s="476" t="s">
        <v>597</v>
      </c>
      <c r="W66" s="476"/>
      <c r="X66" s="476" t="s">
        <v>148</v>
      </c>
      <c r="Y66" s="476"/>
      <c r="Z66" s="476" t="s">
        <v>646</v>
      </c>
      <c r="AA66" s="476"/>
      <c r="AB66" s="476" t="s">
        <v>647</v>
      </c>
      <c r="AC66" s="476"/>
      <c r="AD66" s="476" t="s">
        <v>122</v>
      </c>
      <c r="AE66" s="476"/>
      <c r="AF66" s="476" t="s">
        <v>123</v>
      </c>
      <c r="AG66" s="476"/>
      <c r="AH66" s="476"/>
      <c r="AI66" s="476"/>
      <c r="AJ66" s="476">
        <v>1</v>
      </c>
      <c r="AK66" s="476" t="s">
        <v>608</v>
      </c>
      <c r="AL66" s="476"/>
      <c r="AM66" s="476"/>
      <c r="AN66" s="476">
        <v>0.02</v>
      </c>
      <c r="AO66" s="476">
        <v>0.03</v>
      </c>
      <c r="AP66" s="476">
        <v>0.2</v>
      </c>
      <c r="AQ66" s="476">
        <v>0.3</v>
      </c>
      <c r="AR66" s="476">
        <v>0.1</v>
      </c>
      <c r="AS66" s="476">
        <v>0.1</v>
      </c>
      <c r="AT66" s="476">
        <v>0.15</v>
      </c>
      <c r="AU66" s="476">
        <v>0.1</v>
      </c>
      <c r="AV66" s="476">
        <v>120</v>
      </c>
      <c r="AW66" s="476" t="s">
        <v>649</v>
      </c>
      <c r="AX66" s="476" t="s">
        <v>599</v>
      </c>
      <c r="AY66" s="476" t="s">
        <v>599</v>
      </c>
      <c r="AZ66" s="476"/>
      <c r="BA66" s="476"/>
      <c r="BB66" s="476"/>
      <c r="BC66" s="476"/>
      <c r="BD66" s="474" t="e">
        <f>#REF!*#REF!+#REF!*#REF!+#REF!*#REF!+#REF!*#REF!+#REF!*#REF!</f>
        <v>#REF!</v>
      </c>
      <c r="BE66" s="474" t="e">
        <f>#REF!*#REF!*#REF!+#REF!*#REF!*#REF!+#REF!*#REF!*#REF!+#REF!*#REF!*#REF!+#REF!*#REF!*#REF!</f>
        <v>#REF!</v>
      </c>
      <c r="BF66" s="474" t="e">
        <f t="shared" si="17"/>
        <v>#REF!</v>
      </c>
      <c r="BG66" s="474" t="e">
        <f>#REF!*#REF!*#REF!</f>
        <v>#REF!</v>
      </c>
      <c r="BH66" s="474" t="e">
        <f>#REF!*#REF!*#REF!</f>
        <v>#REF!</v>
      </c>
      <c r="BI66" s="474" t="e">
        <f>#REF!*#REF!*#REF!</f>
        <v>#REF!</v>
      </c>
      <c r="BJ66" s="474" t="e">
        <f t="shared" si="18"/>
        <v>#REF!</v>
      </c>
      <c r="BK66" s="474" t="e">
        <f t="shared" si="19"/>
        <v>#REF!</v>
      </c>
      <c r="BL66" s="474" t="e">
        <f>#REF!*#REF!</f>
        <v>#REF!</v>
      </c>
      <c r="BM66" s="474" t="e">
        <f t="shared" si="20"/>
        <v>#REF!</v>
      </c>
      <c r="BN66" s="474" t="e">
        <f>#REF!*#REF!+#REF!*#REF!+#REF!*#REF!+#REF!*#REF!+#REF!*#REF!</f>
        <v>#REF!</v>
      </c>
      <c r="BO66" s="474" t="e">
        <f>#REF!*#REF!*#REF!+#REF!*#REF!*#REF!+#REF!*#REF!*#REF!+#REF!*#REF!*#REF!+#REF!*#REF!*#REF!</f>
        <v>#REF!</v>
      </c>
      <c r="BP66" s="475" t="e">
        <f t="shared" si="21"/>
        <v>#REF!</v>
      </c>
    </row>
    <row r="67" spans="1:68" s="471" customFormat="1" ht="21" customHeight="1" x14ac:dyDescent="0.35">
      <c r="A67" s="476">
        <v>65</v>
      </c>
      <c r="B67" s="476" t="s">
        <v>766</v>
      </c>
      <c r="C67" s="484">
        <v>1</v>
      </c>
      <c r="D67" s="476" t="s">
        <v>640</v>
      </c>
      <c r="E67" s="476"/>
      <c r="F67" s="483" t="s">
        <v>641</v>
      </c>
      <c r="G67" s="476" t="s">
        <v>642</v>
      </c>
      <c r="H67" s="476" t="s">
        <v>643</v>
      </c>
      <c r="I67" s="476" t="s">
        <v>767</v>
      </c>
      <c r="J67" s="476" t="s">
        <v>763</v>
      </c>
      <c r="K67" s="476">
        <v>326</v>
      </c>
      <c r="L67" s="476"/>
      <c r="M67" s="476" t="s">
        <v>76</v>
      </c>
      <c r="N67" s="476" t="s">
        <v>645</v>
      </c>
      <c r="O67" s="481" t="e">
        <f t="shared" ref="O67:O81" si="22">P67/AM67</f>
        <v>#DIV/0!</v>
      </c>
      <c r="P67" s="481">
        <f t="shared" ref="P67:P81" si="23">L67*Q67*AN67+L67*S67*AO67+L67*U67*AP67+L67*W67*AQ67+L67*Y67*AR67+L67*AA67*AS67+L67*AC67*AT67+L67*AE67*AU67</f>
        <v>0</v>
      </c>
      <c r="Q67" s="476"/>
      <c r="R67" s="476" t="s">
        <v>146</v>
      </c>
      <c r="S67" s="476"/>
      <c r="T67" s="476" t="s">
        <v>147</v>
      </c>
      <c r="U67" s="476"/>
      <c r="V67" s="476" t="s">
        <v>597</v>
      </c>
      <c r="W67" s="476"/>
      <c r="X67" s="476" t="s">
        <v>148</v>
      </c>
      <c r="Y67" s="476"/>
      <c r="Z67" s="476" t="s">
        <v>646</v>
      </c>
      <c r="AA67" s="476"/>
      <c r="AB67" s="476" t="s">
        <v>647</v>
      </c>
      <c r="AC67" s="476"/>
      <c r="AD67" s="476" t="s">
        <v>122</v>
      </c>
      <c r="AE67" s="476"/>
      <c r="AF67" s="476" t="s">
        <v>123</v>
      </c>
      <c r="AG67" s="476"/>
      <c r="AH67" s="476"/>
      <c r="AI67" s="476"/>
      <c r="AJ67" s="476">
        <v>1</v>
      </c>
      <c r="AK67" s="476" t="s">
        <v>615</v>
      </c>
      <c r="AL67" s="476"/>
      <c r="AM67" s="476"/>
      <c r="AN67" s="476">
        <v>0.02</v>
      </c>
      <c r="AO67" s="476">
        <v>0.03</v>
      </c>
      <c r="AP67" s="476">
        <v>0.2</v>
      </c>
      <c r="AQ67" s="476">
        <v>0.3</v>
      </c>
      <c r="AR67" s="476">
        <v>0.1</v>
      </c>
      <c r="AS67" s="476">
        <v>0.1</v>
      </c>
      <c r="AT67" s="476">
        <v>0.15</v>
      </c>
      <c r="AU67" s="476">
        <v>0.1</v>
      </c>
      <c r="AV67" s="476">
        <v>120</v>
      </c>
      <c r="AW67" s="476" t="s">
        <v>649</v>
      </c>
      <c r="AX67" s="476" t="s">
        <v>599</v>
      </c>
      <c r="AY67" s="476" t="s">
        <v>599</v>
      </c>
      <c r="AZ67" s="476"/>
      <c r="BA67" s="476"/>
      <c r="BB67" s="476"/>
      <c r="BC67" s="476"/>
      <c r="BD67" s="474" t="e">
        <f>#REF!*#REF!+#REF!*#REF!+#REF!*#REF!+#REF!*#REF!+#REF!*#REF!</f>
        <v>#REF!</v>
      </c>
      <c r="BE67" s="474" t="e">
        <f>#REF!*#REF!*#REF!+#REF!*#REF!*#REF!+#REF!*#REF!*#REF!+#REF!*#REF!*#REF!+#REF!*#REF!*#REF!</f>
        <v>#REF!</v>
      </c>
      <c r="BF67" s="474" t="e">
        <f t="shared" ref="BF67:BF82" si="24">BD67-BE67</f>
        <v>#REF!</v>
      </c>
      <c r="BG67" s="474" t="e">
        <f>#REF!*#REF!*#REF!</f>
        <v>#REF!</v>
      </c>
      <c r="BH67" s="474" t="e">
        <f>#REF!*#REF!*#REF!</f>
        <v>#REF!</v>
      </c>
      <c r="BI67" s="474" t="e">
        <f>#REF!*#REF!*#REF!</f>
        <v>#REF!</v>
      </c>
      <c r="BJ67" s="474" t="e">
        <f t="shared" ref="BJ67:BJ82" si="25">BH67+BI67</f>
        <v>#REF!</v>
      </c>
      <c r="BK67" s="474" t="e">
        <f t="shared" ref="BK67:BK82" si="26">BG67+BH67+BI67</f>
        <v>#REF!</v>
      </c>
      <c r="BL67" s="474" t="e">
        <f>#REF!*#REF!</f>
        <v>#REF!</v>
      </c>
      <c r="BM67" s="474" t="e">
        <f t="shared" ref="BM67:BM82" si="27">BE67/BD67</f>
        <v>#REF!</v>
      </c>
      <c r="BN67" s="474" t="e">
        <f>#REF!*#REF!+#REF!*#REF!+#REF!*#REF!+#REF!*#REF!+#REF!*#REF!</f>
        <v>#REF!</v>
      </c>
      <c r="BO67" s="474" t="e">
        <f>#REF!*#REF!*#REF!+#REF!*#REF!*#REF!+#REF!*#REF!*#REF!+#REF!*#REF!*#REF!+#REF!*#REF!*#REF!</f>
        <v>#REF!</v>
      </c>
      <c r="BP67" s="475" t="e">
        <f t="shared" ref="BP67:BP82" si="28">BN67-BO67</f>
        <v>#REF!</v>
      </c>
    </row>
    <row r="68" spans="1:68" s="471" customFormat="1" ht="21" customHeight="1" x14ac:dyDescent="0.35">
      <c r="A68" s="476">
        <v>66</v>
      </c>
      <c r="B68" s="476" t="s">
        <v>768</v>
      </c>
      <c r="C68" s="484">
        <v>1</v>
      </c>
      <c r="D68" s="476" t="s">
        <v>690</v>
      </c>
      <c r="E68" s="476"/>
      <c r="F68" s="483" t="s">
        <v>616</v>
      </c>
      <c r="G68" s="476" t="s">
        <v>691</v>
      </c>
      <c r="H68" s="476" t="s">
        <v>692</v>
      </c>
      <c r="I68" s="476" t="s">
        <v>769</v>
      </c>
      <c r="J68" s="476" t="s">
        <v>694</v>
      </c>
      <c r="K68" s="476">
        <v>70</v>
      </c>
      <c r="L68" s="476"/>
      <c r="M68" s="476" t="s">
        <v>76</v>
      </c>
      <c r="N68" s="476" t="s">
        <v>596</v>
      </c>
      <c r="O68" s="481" t="e">
        <f t="shared" si="22"/>
        <v>#DIV/0!</v>
      </c>
      <c r="P68" s="481">
        <f t="shared" si="23"/>
        <v>0</v>
      </c>
      <c r="Q68" s="476"/>
      <c r="R68" s="476" t="s">
        <v>146</v>
      </c>
      <c r="S68" s="476"/>
      <c r="T68" s="476" t="s">
        <v>147</v>
      </c>
      <c r="U68" s="476"/>
      <c r="V68" s="476" t="s">
        <v>597</v>
      </c>
      <c r="W68" s="476"/>
      <c r="X68" s="476" t="s">
        <v>148</v>
      </c>
      <c r="Y68" s="476"/>
      <c r="Z68" s="476" t="s">
        <v>150</v>
      </c>
      <c r="AA68" s="476"/>
      <c r="AB68" s="476" t="s">
        <v>570</v>
      </c>
      <c r="AC68" s="476"/>
      <c r="AD68" s="476" t="s">
        <v>122</v>
      </c>
      <c r="AE68" s="476"/>
      <c r="AF68" s="476" t="s">
        <v>123</v>
      </c>
      <c r="AG68" s="476"/>
      <c r="AH68" s="476"/>
      <c r="AI68" s="476" t="s">
        <v>695</v>
      </c>
      <c r="AJ68" s="476">
        <v>1</v>
      </c>
      <c r="AK68" s="476" t="s">
        <v>598</v>
      </c>
      <c r="AL68" s="476"/>
      <c r="AM68" s="476"/>
      <c r="AN68" s="476">
        <v>0.02</v>
      </c>
      <c r="AO68" s="476">
        <v>0.03</v>
      </c>
      <c r="AP68" s="476">
        <v>0.2</v>
      </c>
      <c r="AQ68" s="476">
        <v>0.3</v>
      </c>
      <c r="AR68" s="476">
        <v>0.1</v>
      </c>
      <c r="AS68" s="476">
        <v>0.1</v>
      </c>
      <c r="AT68" s="476">
        <v>0.15</v>
      </c>
      <c r="AU68" s="476">
        <v>0.1</v>
      </c>
      <c r="AV68" s="476">
        <v>401</v>
      </c>
      <c r="AW68" s="476" t="s">
        <v>599</v>
      </c>
      <c r="AX68" s="476" t="s">
        <v>599</v>
      </c>
      <c r="AY68" s="476" t="s">
        <v>599</v>
      </c>
      <c r="AZ68" s="476"/>
      <c r="BA68" s="476"/>
      <c r="BB68" s="476"/>
      <c r="BC68" s="476"/>
      <c r="BD68" s="474" t="e">
        <f>#REF!*#REF!+#REF!*#REF!+#REF!*#REF!+#REF!*#REF!+#REF!*#REF!</f>
        <v>#REF!</v>
      </c>
      <c r="BE68" s="474" t="e">
        <f>#REF!*#REF!*#REF!+#REF!*#REF!*#REF!+#REF!*#REF!*#REF!+#REF!*#REF!*#REF!+#REF!*#REF!*#REF!</f>
        <v>#REF!</v>
      </c>
      <c r="BF68" s="474" t="e">
        <f t="shared" si="24"/>
        <v>#REF!</v>
      </c>
      <c r="BG68" s="474" t="e">
        <f>#REF!*#REF!*#REF!</f>
        <v>#REF!</v>
      </c>
      <c r="BH68" s="474" t="e">
        <f>#REF!*#REF!*#REF!</f>
        <v>#REF!</v>
      </c>
      <c r="BI68" s="474" t="e">
        <f>#REF!*#REF!*#REF!</f>
        <v>#REF!</v>
      </c>
      <c r="BJ68" s="474" t="e">
        <f t="shared" si="25"/>
        <v>#REF!</v>
      </c>
      <c r="BK68" s="474" t="e">
        <f t="shared" si="26"/>
        <v>#REF!</v>
      </c>
      <c r="BL68" s="474" t="e">
        <f>#REF!*#REF!</f>
        <v>#REF!</v>
      </c>
      <c r="BM68" s="474" t="e">
        <f t="shared" si="27"/>
        <v>#REF!</v>
      </c>
      <c r="BN68" s="474" t="e">
        <f>#REF!*#REF!+#REF!*#REF!+#REF!*#REF!+#REF!*#REF!+#REF!*#REF!</f>
        <v>#REF!</v>
      </c>
      <c r="BO68" s="474" t="e">
        <f>#REF!*#REF!*#REF!+#REF!*#REF!*#REF!+#REF!*#REF!*#REF!+#REF!*#REF!*#REF!+#REF!*#REF!*#REF!</f>
        <v>#REF!</v>
      </c>
      <c r="BP68" s="475" t="e">
        <f t="shared" si="28"/>
        <v>#REF!</v>
      </c>
    </row>
    <row r="69" spans="1:68" s="471" customFormat="1" ht="21" customHeight="1" x14ac:dyDescent="0.35">
      <c r="A69" s="476">
        <v>67</v>
      </c>
      <c r="B69" s="476" t="s">
        <v>770</v>
      </c>
      <c r="C69" s="484">
        <v>1</v>
      </c>
      <c r="D69" s="476" t="s">
        <v>690</v>
      </c>
      <c r="E69" s="476"/>
      <c r="F69" s="483" t="s">
        <v>616</v>
      </c>
      <c r="G69" s="476" t="s">
        <v>691</v>
      </c>
      <c r="H69" s="476" t="s">
        <v>692</v>
      </c>
      <c r="I69" s="476" t="s">
        <v>771</v>
      </c>
      <c r="J69" s="476" t="s">
        <v>694</v>
      </c>
      <c r="K69" s="476">
        <v>70</v>
      </c>
      <c r="L69" s="476"/>
      <c r="M69" s="476" t="s">
        <v>76</v>
      </c>
      <c r="N69" s="476" t="s">
        <v>596</v>
      </c>
      <c r="O69" s="481" t="e">
        <f t="shared" si="22"/>
        <v>#DIV/0!</v>
      </c>
      <c r="P69" s="481">
        <f t="shared" si="23"/>
        <v>0</v>
      </c>
      <c r="Q69" s="476"/>
      <c r="R69" s="476" t="s">
        <v>146</v>
      </c>
      <c r="S69" s="476"/>
      <c r="T69" s="476" t="s">
        <v>147</v>
      </c>
      <c r="U69" s="476"/>
      <c r="V69" s="476" t="s">
        <v>597</v>
      </c>
      <c r="W69" s="476"/>
      <c r="X69" s="476" t="s">
        <v>148</v>
      </c>
      <c r="Y69" s="476"/>
      <c r="Z69" s="476" t="s">
        <v>150</v>
      </c>
      <c r="AA69" s="476"/>
      <c r="AB69" s="476" t="s">
        <v>570</v>
      </c>
      <c r="AC69" s="476"/>
      <c r="AD69" s="476" t="s">
        <v>122</v>
      </c>
      <c r="AE69" s="476"/>
      <c r="AF69" s="476" t="s">
        <v>123</v>
      </c>
      <c r="AG69" s="476"/>
      <c r="AH69" s="476"/>
      <c r="AI69" s="476"/>
      <c r="AJ69" s="476">
        <v>1</v>
      </c>
      <c r="AK69" s="476" t="s">
        <v>602</v>
      </c>
      <c r="AL69" s="476"/>
      <c r="AM69" s="476"/>
      <c r="AN69" s="476">
        <v>0.02</v>
      </c>
      <c r="AO69" s="476">
        <v>0.03</v>
      </c>
      <c r="AP69" s="476">
        <v>0.2</v>
      </c>
      <c r="AQ69" s="476">
        <v>0.3</v>
      </c>
      <c r="AR69" s="476">
        <v>0.1</v>
      </c>
      <c r="AS69" s="476">
        <v>0.1</v>
      </c>
      <c r="AT69" s="476">
        <v>0.15</v>
      </c>
      <c r="AU69" s="476">
        <v>0.1</v>
      </c>
      <c r="AV69" s="476">
        <v>120</v>
      </c>
      <c r="AW69" s="476" t="s">
        <v>599</v>
      </c>
      <c r="AX69" s="476" t="s">
        <v>599</v>
      </c>
      <c r="AY69" s="476" t="s">
        <v>599</v>
      </c>
      <c r="AZ69" s="476"/>
      <c r="BA69" s="476"/>
      <c r="BB69" s="476"/>
      <c r="BC69" s="476"/>
      <c r="BD69" s="474" t="e">
        <f>#REF!*#REF!+#REF!*#REF!+#REF!*#REF!+#REF!*#REF!+#REF!*#REF!</f>
        <v>#REF!</v>
      </c>
      <c r="BE69" s="474" t="e">
        <f>#REF!*#REF!*#REF!+#REF!*#REF!*#REF!+#REF!*#REF!*#REF!+#REF!*#REF!*#REF!+#REF!*#REF!*#REF!</f>
        <v>#REF!</v>
      </c>
      <c r="BF69" s="474" t="e">
        <f t="shared" si="24"/>
        <v>#REF!</v>
      </c>
      <c r="BG69" s="474" t="e">
        <f>#REF!*#REF!*#REF!</f>
        <v>#REF!</v>
      </c>
      <c r="BH69" s="474" t="e">
        <f>#REF!*#REF!*#REF!</f>
        <v>#REF!</v>
      </c>
      <c r="BI69" s="474" t="e">
        <f>#REF!*#REF!*#REF!</f>
        <v>#REF!</v>
      </c>
      <c r="BJ69" s="474" t="e">
        <f t="shared" si="25"/>
        <v>#REF!</v>
      </c>
      <c r="BK69" s="474" t="e">
        <f t="shared" si="26"/>
        <v>#REF!</v>
      </c>
      <c r="BL69" s="474" t="e">
        <f>#REF!*#REF!</f>
        <v>#REF!</v>
      </c>
      <c r="BM69" s="474" t="e">
        <f t="shared" si="27"/>
        <v>#REF!</v>
      </c>
      <c r="BN69" s="474" t="e">
        <f>#REF!*#REF!+#REF!*#REF!+#REF!*#REF!+#REF!*#REF!+#REF!*#REF!</f>
        <v>#REF!</v>
      </c>
      <c r="BO69" s="474" t="e">
        <f>#REF!*#REF!*#REF!+#REF!*#REF!*#REF!+#REF!*#REF!*#REF!+#REF!*#REF!*#REF!+#REF!*#REF!*#REF!</f>
        <v>#REF!</v>
      </c>
      <c r="BP69" s="475" t="e">
        <f t="shared" si="28"/>
        <v>#REF!</v>
      </c>
    </row>
    <row r="70" spans="1:68" s="471" customFormat="1" ht="21" customHeight="1" x14ac:dyDescent="0.35">
      <c r="A70" s="476">
        <v>68</v>
      </c>
      <c r="B70" s="476" t="s">
        <v>772</v>
      </c>
      <c r="C70" s="484">
        <v>0</v>
      </c>
      <c r="D70" s="476" t="s">
        <v>690</v>
      </c>
      <c r="E70" s="476"/>
      <c r="F70" s="483" t="s">
        <v>591</v>
      </c>
      <c r="G70" s="476" t="s">
        <v>701</v>
      </c>
      <c r="H70" s="476" t="s">
        <v>702</v>
      </c>
      <c r="I70" s="476" t="s">
        <v>773</v>
      </c>
      <c r="J70" s="476" t="s">
        <v>704</v>
      </c>
      <c r="K70" s="476">
        <v>44</v>
      </c>
      <c r="L70" s="476"/>
      <c r="M70" s="476" t="s">
        <v>76</v>
      </c>
      <c r="N70" s="476" t="s">
        <v>596</v>
      </c>
      <c r="O70" s="481" t="e">
        <f t="shared" si="22"/>
        <v>#DIV/0!</v>
      </c>
      <c r="P70" s="481">
        <f t="shared" si="23"/>
        <v>0</v>
      </c>
      <c r="Q70" s="476"/>
      <c r="R70" s="476" t="s">
        <v>146</v>
      </c>
      <c r="S70" s="476"/>
      <c r="T70" s="476" t="s">
        <v>147</v>
      </c>
      <c r="U70" s="476"/>
      <c r="V70" s="476" t="s">
        <v>597</v>
      </c>
      <c r="W70" s="476"/>
      <c r="X70" s="476" t="s">
        <v>148</v>
      </c>
      <c r="Y70" s="476"/>
      <c r="Z70" s="476" t="s">
        <v>150</v>
      </c>
      <c r="AA70" s="476"/>
      <c r="AB70" s="476" t="s">
        <v>570</v>
      </c>
      <c r="AC70" s="476"/>
      <c r="AD70" s="476" t="s">
        <v>122</v>
      </c>
      <c r="AE70" s="476"/>
      <c r="AF70" s="476" t="s">
        <v>123</v>
      </c>
      <c r="AG70" s="476"/>
      <c r="AH70" s="476"/>
      <c r="AI70" s="476" t="s">
        <v>695</v>
      </c>
      <c r="AJ70" s="476">
        <v>1</v>
      </c>
      <c r="AK70" s="476" t="s">
        <v>605</v>
      </c>
      <c r="AL70" s="476"/>
      <c r="AM70" s="476"/>
      <c r="AN70" s="476">
        <v>0.02</v>
      </c>
      <c r="AO70" s="476">
        <v>0.03</v>
      </c>
      <c r="AP70" s="476">
        <v>0.2</v>
      </c>
      <c r="AQ70" s="476">
        <v>0.3</v>
      </c>
      <c r="AR70" s="476">
        <v>0.1</v>
      </c>
      <c r="AS70" s="476">
        <v>0.1</v>
      </c>
      <c r="AT70" s="476">
        <v>0.15</v>
      </c>
      <c r="AU70" s="476">
        <v>0.1</v>
      </c>
      <c r="AV70" s="476">
        <v>401</v>
      </c>
      <c r="AW70" s="476" t="s">
        <v>599</v>
      </c>
      <c r="AX70" s="476" t="s">
        <v>599</v>
      </c>
      <c r="AY70" s="476" t="s">
        <v>599</v>
      </c>
      <c r="AZ70" s="476"/>
      <c r="BA70" s="476"/>
      <c r="BB70" s="476"/>
      <c r="BC70" s="476"/>
      <c r="BD70" s="474" t="e">
        <f>#REF!*#REF!+#REF!*#REF!+#REF!*#REF!+#REF!*#REF!+#REF!*#REF!</f>
        <v>#REF!</v>
      </c>
      <c r="BE70" s="474" t="e">
        <f>#REF!*#REF!*#REF!+#REF!*#REF!*#REF!+#REF!*#REF!*#REF!+#REF!*#REF!*#REF!+#REF!*#REF!*#REF!</f>
        <v>#REF!</v>
      </c>
      <c r="BF70" s="474" t="e">
        <f t="shared" si="24"/>
        <v>#REF!</v>
      </c>
      <c r="BG70" s="474" t="e">
        <f>#REF!*#REF!*#REF!</f>
        <v>#REF!</v>
      </c>
      <c r="BH70" s="474" t="e">
        <f>#REF!*#REF!*#REF!</f>
        <v>#REF!</v>
      </c>
      <c r="BI70" s="474" t="e">
        <f>#REF!*#REF!*#REF!</f>
        <v>#REF!</v>
      </c>
      <c r="BJ70" s="474" t="e">
        <f t="shared" si="25"/>
        <v>#REF!</v>
      </c>
      <c r="BK70" s="474" t="e">
        <f t="shared" si="26"/>
        <v>#REF!</v>
      </c>
      <c r="BL70" s="474" t="e">
        <f>#REF!*#REF!</f>
        <v>#REF!</v>
      </c>
      <c r="BM70" s="474" t="e">
        <f t="shared" si="27"/>
        <v>#REF!</v>
      </c>
      <c r="BN70" s="474" t="e">
        <f>#REF!*#REF!+#REF!*#REF!+#REF!*#REF!+#REF!*#REF!+#REF!*#REF!</f>
        <v>#REF!</v>
      </c>
      <c r="BO70" s="474" t="e">
        <f>#REF!*#REF!*#REF!+#REF!*#REF!*#REF!+#REF!*#REF!*#REF!+#REF!*#REF!*#REF!+#REF!*#REF!*#REF!</f>
        <v>#REF!</v>
      </c>
      <c r="BP70" s="475" t="e">
        <f t="shared" si="28"/>
        <v>#REF!</v>
      </c>
    </row>
    <row r="71" spans="1:68" s="471" customFormat="1" ht="21" customHeight="1" x14ac:dyDescent="0.35">
      <c r="A71" s="476">
        <v>69</v>
      </c>
      <c r="B71" s="476" t="s">
        <v>774</v>
      </c>
      <c r="C71" s="484">
        <v>0</v>
      </c>
      <c r="D71" s="476" t="s">
        <v>690</v>
      </c>
      <c r="E71" s="476"/>
      <c r="F71" s="483" t="s">
        <v>591</v>
      </c>
      <c r="G71" s="476" t="s">
        <v>701</v>
      </c>
      <c r="H71" s="476" t="s">
        <v>702</v>
      </c>
      <c r="I71" s="476" t="s">
        <v>775</v>
      </c>
      <c r="J71" s="476" t="s">
        <v>704</v>
      </c>
      <c r="K71" s="476">
        <v>44</v>
      </c>
      <c r="L71" s="476"/>
      <c r="M71" s="476" t="s">
        <v>76</v>
      </c>
      <c r="N71" s="476" t="s">
        <v>596</v>
      </c>
      <c r="O71" s="481" t="e">
        <f t="shared" si="22"/>
        <v>#DIV/0!</v>
      </c>
      <c r="P71" s="481">
        <f t="shared" si="23"/>
        <v>0</v>
      </c>
      <c r="Q71" s="476"/>
      <c r="R71" s="476" t="s">
        <v>146</v>
      </c>
      <c r="S71" s="476"/>
      <c r="T71" s="476" t="s">
        <v>147</v>
      </c>
      <c r="U71" s="476"/>
      <c r="V71" s="476" t="s">
        <v>597</v>
      </c>
      <c r="W71" s="476"/>
      <c r="X71" s="476" t="s">
        <v>148</v>
      </c>
      <c r="Y71" s="476"/>
      <c r="Z71" s="476" t="s">
        <v>150</v>
      </c>
      <c r="AA71" s="476"/>
      <c r="AB71" s="476" t="s">
        <v>570</v>
      </c>
      <c r="AC71" s="476"/>
      <c r="AD71" s="476" t="s">
        <v>122</v>
      </c>
      <c r="AE71" s="476"/>
      <c r="AF71" s="476" t="s">
        <v>123</v>
      </c>
      <c r="AG71" s="476"/>
      <c r="AH71" s="476"/>
      <c r="AI71" s="476"/>
      <c r="AJ71" s="476">
        <v>1</v>
      </c>
      <c r="AK71" s="476" t="s">
        <v>608</v>
      </c>
      <c r="AL71" s="476"/>
      <c r="AM71" s="476"/>
      <c r="AN71" s="476">
        <v>0.02</v>
      </c>
      <c r="AO71" s="476">
        <v>0.03</v>
      </c>
      <c r="AP71" s="476">
        <v>0.2</v>
      </c>
      <c r="AQ71" s="476">
        <v>0.3</v>
      </c>
      <c r="AR71" s="476">
        <v>0.1</v>
      </c>
      <c r="AS71" s="476">
        <v>0.1</v>
      </c>
      <c r="AT71" s="476">
        <v>0.15</v>
      </c>
      <c r="AU71" s="476">
        <v>0.1</v>
      </c>
      <c r="AV71" s="476">
        <v>120</v>
      </c>
      <c r="AW71" s="476" t="s">
        <v>599</v>
      </c>
      <c r="AX71" s="476" t="s">
        <v>599</v>
      </c>
      <c r="AY71" s="476" t="s">
        <v>599</v>
      </c>
      <c r="AZ71" s="476"/>
      <c r="BA71" s="476"/>
      <c r="BB71" s="476"/>
      <c r="BC71" s="476"/>
      <c r="BD71" s="474" t="e">
        <f>#REF!*#REF!+#REF!*#REF!+#REF!*#REF!+#REF!*#REF!+#REF!*#REF!</f>
        <v>#REF!</v>
      </c>
      <c r="BE71" s="474" t="e">
        <f>#REF!*#REF!*#REF!+#REF!*#REF!*#REF!+#REF!*#REF!*#REF!+#REF!*#REF!*#REF!+#REF!*#REF!*#REF!</f>
        <v>#REF!</v>
      </c>
      <c r="BF71" s="474" t="e">
        <f t="shared" si="24"/>
        <v>#REF!</v>
      </c>
      <c r="BG71" s="474" t="e">
        <f>#REF!*#REF!*#REF!</f>
        <v>#REF!</v>
      </c>
      <c r="BH71" s="474" t="e">
        <f>#REF!*#REF!*#REF!</f>
        <v>#REF!</v>
      </c>
      <c r="BI71" s="474" t="e">
        <f>#REF!*#REF!*#REF!</f>
        <v>#REF!</v>
      </c>
      <c r="BJ71" s="474" t="e">
        <f t="shared" si="25"/>
        <v>#REF!</v>
      </c>
      <c r="BK71" s="474" t="e">
        <f t="shared" si="26"/>
        <v>#REF!</v>
      </c>
      <c r="BL71" s="474" t="e">
        <f>#REF!*#REF!</f>
        <v>#REF!</v>
      </c>
      <c r="BM71" s="474" t="e">
        <f t="shared" si="27"/>
        <v>#REF!</v>
      </c>
      <c r="BN71" s="474" t="e">
        <f>#REF!*#REF!+#REF!*#REF!+#REF!*#REF!+#REF!*#REF!+#REF!*#REF!</f>
        <v>#REF!</v>
      </c>
      <c r="BO71" s="474" t="e">
        <f>#REF!*#REF!*#REF!+#REF!*#REF!*#REF!+#REF!*#REF!*#REF!+#REF!*#REF!*#REF!+#REF!*#REF!*#REF!</f>
        <v>#REF!</v>
      </c>
      <c r="BP71" s="475" t="e">
        <f t="shared" si="28"/>
        <v>#REF!</v>
      </c>
    </row>
    <row r="72" spans="1:68" s="471" customFormat="1" ht="21" customHeight="1" x14ac:dyDescent="0.35">
      <c r="A72" s="476">
        <v>70</v>
      </c>
      <c r="B72" s="476" t="s">
        <v>776</v>
      </c>
      <c r="C72" s="484">
        <v>0</v>
      </c>
      <c r="D72" s="476" t="s">
        <v>690</v>
      </c>
      <c r="E72" s="476"/>
      <c r="F72" s="483" t="s">
        <v>591</v>
      </c>
      <c r="G72" s="476" t="s">
        <v>701</v>
      </c>
      <c r="H72" s="476" t="s">
        <v>702</v>
      </c>
      <c r="I72" s="476" t="s">
        <v>777</v>
      </c>
      <c r="J72" s="476" t="s">
        <v>704</v>
      </c>
      <c r="K72" s="476">
        <v>42</v>
      </c>
      <c r="L72" s="476"/>
      <c r="M72" s="476" t="s">
        <v>76</v>
      </c>
      <c r="N72" s="476" t="s">
        <v>596</v>
      </c>
      <c r="O72" s="481" t="e">
        <f t="shared" si="22"/>
        <v>#DIV/0!</v>
      </c>
      <c r="P72" s="481">
        <f t="shared" si="23"/>
        <v>0</v>
      </c>
      <c r="Q72" s="476"/>
      <c r="R72" s="476" t="s">
        <v>146</v>
      </c>
      <c r="S72" s="476"/>
      <c r="T72" s="476" t="s">
        <v>147</v>
      </c>
      <c r="U72" s="476"/>
      <c r="V72" s="476" t="s">
        <v>597</v>
      </c>
      <c r="W72" s="476"/>
      <c r="X72" s="476" t="s">
        <v>148</v>
      </c>
      <c r="Y72" s="476"/>
      <c r="Z72" s="476" t="s">
        <v>150</v>
      </c>
      <c r="AA72" s="476"/>
      <c r="AB72" s="476" t="s">
        <v>570</v>
      </c>
      <c r="AC72" s="476"/>
      <c r="AD72" s="476" t="s">
        <v>122</v>
      </c>
      <c r="AE72" s="476"/>
      <c r="AF72" s="476" t="s">
        <v>123</v>
      </c>
      <c r="AG72" s="476"/>
      <c r="AH72" s="476"/>
      <c r="AI72" s="476"/>
      <c r="AJ72" s="476">
        <v>1</v>
      </c>
      <c r="AK72" s="476" t="s">
        <v>615</v>
      </c>
      <c r="AL72" s="476"/>
      <c r="AM72" s="476"/>
      <c r="AN72" s="476">
        <v>0.02</v>
      </c>
      <c r="AO72" s="476">
        <v>0.03</v>
      </c>
      <c r="AP72" s="476">
        <v>0.2</v>
      </c>
      <c r="AQ72" s="476">
        <v>0.3</v>
      </c>
      <c r="AR72" s="476">
        <v>0.1</v>
      </c>
      <c r="AS72" s="476">
        <v>0.1</v>
      </c>
      <c r="AT72" s="476">
        <v>0.15</v>
      </c>
      <c r="AU72" s="476">
        <v>0.1</v>
      </c>
      <c r="AV72" s="476">
        <v>120</v>
      </c>
      <c r="AW72" s="476" t="s">
        <v>599</v>
      </c>
      <c r="AX72" s="476" t="s">
        <v>599</v>
      </c>
      <c r="AY72" s="476" t="s">
        <v>599</v>
      </c>
      <c r="AZ72" s="476"/>
      <c r="BA72" s="476"/>
      <c r="BB72" s="476"/>
      <c r="BC72" s="476"/>
      <c r="BD72" s="474" t="e">
        <f>#REF!*#REF!+#REF!*#REF!+#REF!*#REF!+#REF!*#REF!+#REF!*#REF!</f>
        <v>#REF!</v>
      </c>
      <c r="BE72" s="474" t="e">
        <f>#REF!*#REF!*#REF!+#REF!*#REF!*#REF!+#REF!*#REF!*#REF!+#REF!*#REF!*#REF!+#REF!*#REF!*#REF!</f>
        <v>#REF!</v>
      </c>
      <c r="BF72" s="474" t="e">
        <f t="shared" si="24"/>
        <v>#REF!</v>
      </c>
      <c r="BG72" s="474" t="e">
        <f>#REF!*#REF!*#REF!</f>
        <v>#REF!</v>
      </c>
      <c r="BH72" s="474" t="e">
        <f>#REF!*#REF!*#REF!</f>
        <v>#REF!</v>
      </c>
      <c r="BI72" s="474" t="e">
        <f>#REF!*#REF!*#REF!</f>
        <v>#REF!</v>
      </c>
      <c r="BJ72" s="474" t="e">
        <f t="shared" si="25"/>
        <v>#REF!</v>
      </c>
      <c r="BK72" s="474" t="e">
        <f t="shared" si="26"/>
        <v>#REF!</v>
      </c>
      <c r="BL72" s="474" t="e">
        <f>#REF!*#REF!</f>
        <v>#REF!</v>
      </c>
      <c r="BM72" s="474" t="e">
        <f t="shared" si="27"/>
        <v>#REF!</v>
      </c>
      <c r="BN72" s="474" t="e">
        <f>#REF!*#REF!+#REF!*#REF!+#REF!*#REF!+#REF!*#REF!+#REF!*#REF!</f>
        <v>#REF!</v>
      </c>
      <c r="BO72" s="474" t="e">
        <f>#REF!*#REF!*#REF!+#REF!*#REF!*#REF!+#REF!*#REF!*#REF!+#REF!*#REF!*#REF!+#REF!*#REF!*#REF!</f>
        <v>#REF!</v>
      </c>
      <c r="BP72" s="475" t="e">
        <f t="shared" si="28"/>
        <v>#REF!</v>
      </c>
    </row>
    <row r="73" spans="1:68" s="471" customFormat="1" ht="21" customHeight="1" x14ac:dyDescent="0.35">
      <c r="A73" s="476">
        <v>71</v>
      </c>
      <c r="B73" s="476" t="s">
        <v>778</v>
      </c>
      <c r="C73" s="484">
        <v>1</v>
      </c>
      <c r="D73" s="476" t="s">
        <v>690</v>
      </c>
      <c r="E73" s="476"/>
      <c r="F73" s="483" t="s">
        <v>591</v>
      </c>
      <c r="G73" s="476" t="s">
        <v>701</v>
      </c>
      <c r="H73" s="476" t="s">
        <v>702</v>
      </c>
      <c r="I73" s="476" t="s">
        <v>779</v>
      </c>
      <c r="J73" s="476" t="s">
        <v>704</v>
      </c>
      <c r="K73" s="476">
        <v>56</v>
      </c>
      <c r="L73" s="476"/>
      <c r="M73" s="476" t="s">
        <v>76</v>
      </c>
      <c r="N73" s="476" t="s">
        <v>596</v>
      </c>
      <c r="O73" s="481" t="e">
        <f t="shared" si="22"/>
        <v>#DIV/0!</v>
      </c>
      <c r="P73" s="481">
        <f t="shared" si="23"/>
        <v>0</v>
      </c>
      <c r="Q73" s="476"/>
      <c r="R73" s="476" t="s">
        <v>146</v>
      </c>
      <c r="S73" s="476"/>
      <c r="T73" s="476" t="s">
        <v>147</v>
      </c>
      <c r="U73" s="476"/>
      <c r="V73" s="476" t="s">
        <v>597</v>
      </c>
      <c r="W73" s="476"/>
      <c r="X73" s="476" t="s">
        <v>148</v>
      </c>
      <c r="Y73" s="476"/>
      <c r="Z73" s="476" t="s">
        <v>150</v>
      </c>
      <c r="AA73" s="476"/>
      <c r="AB73" s="476" t="s">
        <v>570</v>
      </c>
      <c r="AC73" s="476"/>
      <c r="AD73" s="476" t="s">
        <v>122</v>
      </c>
      <c r="AE73" s="476"/>
      <c r="AF73" s="476" t="s">
        <v>123</v>
      </c>
      <c r="AG73" s="476"/>
      <c r="AH73" s="476"/>
      <c r="AI73" s="476" t="s">
        <v>695</v>
      </c>
      <c r="AJ73" s="476">
        <v>1</v>
      </c>
      <c r="AK73" s="476" t="s">
        <v>598</v>
      </c>
      <c r="AL73" s="476"/>
      <c r="AM73" s="476"/>
      <c r="AN73" s="476">
        <v>0.02</v>
      </c>
      <c r="AO73" s="476">
        <v>0.03</v>
      </c>
      <c r="AP73" s="476">
        <v>0.2</v>
      </c>
      <c r="AQ73" s="476">
        <v>0.3</v>
      </c>
      <c r="AR73" s="476">
        <v>0.1</v>
      </c>
      <c r="AS73" s="476">
        <v>0.1</v>
      </c>
      <c r="AT73" s="476">
        <v>0.15</v>
      </c>
      <c r="AU73" s="476">
        <v>0.1</v>
      </c>
      <c r="AV73" s="476">
        <v>401</v>
      </c>
      <c r="AW73" s="476" t="s">
        <v>599</v>
      </c>
      <c r="AX73" s="476" t="s">
        <v>599</v>
      </c>
      <c r="AY73" s="476" t="s">
        <v>599</v>
      </c>
      <c r="AZ73" s="476"/>
      <c r="BA73" s="476"/>
      <c r="BB73" s="476"/>
      <c r="BC73" s="476"/>
      <c r="BD73" s="474" t="e">
        <f>#REF!*#REF!+#REF!*#REF!+#REF!*#REF!+#REF!*#REF!+#REF!*#REF!</f>
        <v>#REF!</v>
      </c>
      <c r="BE73" s="474" t="e">
        <f>#REF!*#REF!*#REF!+#REF!*#REF!*#REF!+#REF!*#REF!*#REF!+#REF!*#REF!*#REF!+#REF!*#REF!*#REF!</f>
        <v>#REF!</v>
      </c>
      <c r="BF73" s="474" t="e">
        <f t="shared" si="24"/>
        <v>#REF!</v>
      </c>
      <c r="BG73" s="474" t="e">
        <f>#REF!*#REF!*#REF!</f>
        <v>#REF!</v>
      </c>
      <c r="BH73" s="474" t="e">
        <f>#REF!*#REF!*#REF!</f>
        <v>#REF!</v>
      </c>
      <c r="BI73" s="474" t="e">
        <f>#REF!*#REF!*#REF!</f>
        <v>#REF!</v>
      </c>
      <c r="BJ73" s="474" t="e">
        <f t="shared" si="25"/>
        <v>#REF!</v>
      </c>
      <c r="BK73" s="474" t="e">
        <f t="shared" si="26"/>
        <v>#REF!</v>
      </c>
      <c r="BL73" s="474" t="e">
        <f>#REF!*#REF!</f>
        <v>#REF!</v>
      </c>
      <c r="BM73" s="474" t="e">
        <f t="shared" si="27"/>
        <v>#REF!</v>
      </c>
      <c r="BN73" s="474" t="e">
        <f>#REF!*#REF!+#REF!*#REF!+#REF!*#REF!+#REF!*#REF!+#REF!*#REF!</f>
        <v>#REF!</v>
      </c>
      <c r="BO73" s="474" t="e">
        <f>#REF!*#REF!*#REF!+#REF!*#REF!*#REF!+#REF!*#REF!*#REF!+#REF!*#REF!*#REF!+#REF!*#REF!*#REF!</f>
        <v>#REF!</v>
      </c>
      <c r="BP73" s="475" t="e">
        <f t="shared" si="28"/>
        <v>#REF!</v>
      </c>
    </row>
    <row r="74" spans="1:68" s="471" customFormat="1" ht="21" customHeight="1" x14ac:dyDescent="0.35">
      <c r="A74" s="476">
        <v>72</v>
      </c>
      <c r="B74" s="476" t="s">
        <v>780</v>
      </c>
      <c r="C74" s="484">
        <v>0</v>
      </c>
      <c r="D74" s="476" t="s">
        <v>781</v>
      </c>
      <c r="E74" s="476"/>
      <c r="F74" s="483" t="s">
        <v>616</v>
      </c>
      <c r="G74" s="476" t="s">
        <v>782</v>
      </c>
      <c r="H74" s="476" t="s">
        <v>783</v>
      </c>
      <c r="I74" s="476" t="s">
        <v>784</v>
      </c>
      <c r="J74" s="476" t="s">
        <v>675</v>
      </c>
      <c r="K74" s="476">
        <v>20</v>
      </c>
      <c r="L74" s="476"/>
      <c r="M74" s="476" t="s">
        <v>76</v>
      </c>
      <c r="N74" s="476" t="s">
        <v>596</v>
      </c>
      <c r="O74" s="481" t="e">
        <f t="shared" si="22"/>
        <v>#DIV/0!</v>
      </c>
      <c r="P74" s="481">
        <f t="shared" si="23"/>
        <v>0</v>
      </c>
      <c r="Q74" s="476"/>
      <c r="R74" s="476" t="s">
        <v>146</v>
      </c>
      <c r="S74" s="476"/>
      <c r="T74" s="476" t="s">
        <v>147</v>
      </c>
      <c r="U74" s="476"/>
      <c r="V74" s="476" t="s">
        <v>597</v>
      </c>
      <c r="W74" s="476"/>
      <c r="X74" s="476" t="s">
        <v>148</v>
      </c>
      <c r="Y74" s="476"/>
      <c r="Z74" s="476" t="s">
        <v>150</v>
      </c>
      <c r="AA74" s="476"/>
      <c r="AB74" s="476" t="s">
        <v>570</v>
      </c>
      <c r="AC74" s="476"/>
      <c r="AD74" s="476" t="s">
        <v>122</v>
      </c>
      <c r="AE74" s="476"/>
      <c r="AF74" s="476" t="s">
        <v>123</v>
      </c>
      <c r="AG74" s="476"/>
      <c r="AH74" s="476"/>
      <c r="AI74" s="476" t="s">
        <v>614</v>
      </c>
      <c r="AJ74" s="476">
        <v>1</v>
      </c>
      <c r="AK74" s="476" t="s">
        <v>602</v>
      </c>
      <c r="AL74" s="476"/>
      <c r="AM74" s="476"/>
      <c r="AN74" s="476">
        <v>0.02</v>
      </c>
      <c r="AO74" s="476">
        <v>0.03</v>
      </c>
      <c r="AP74" s="476">
        <v>0.2</v>
      </c>
      <c r="AQ74" s="476">
        <v>0.3</v>
      </c>
      <c r="AR74" s="476">
        <v>0.1</v>
      </c>
      <c r="AS74" s="476">
        <v>0.1</v>
      </c>
      <c r="AT74" s="476">
        <v>0.15</v>
      </c>
      <c r="AU74" s="476">
        <v>0.1</v>
      </c>
      <c r="AV74" s="476">
        <v>401</v>
      </c>
      <c r="AW74" s="476" t="s">
        <v>599</v>
      </c>
      <c r="AX74" s="476" t="s">
        <v>599</v>
      </c>
      <c r="AY74" s="476" t="s">
        <v>599</v>
      </c>
      <c r="AZ74" s="476"/>
      <c r="BA74" s="476"/>
      <c r="BB74" s="476"/>
      <c r="BC74" s="476"/>
      <c r="BD74" s="474" t="e">
        <f>#REF!*#REF!+#REF!*#REF!+#REF!*#REF!+#REF!*#REF!+#REF!*#REF!</f>
        <v>#REF!</v>
      </c>
      <c r="BE74" s="474" t="e">
        <f>#REF!*#REF!*#REF!+#REF!*#REF!*#REF!+#REF!*#REF!*#REF!+#REF!*#REF!*#REF!+#REF!*#REF!*#REF!</f>
        <v>#REF!</v>
      </c>
      <c r="BF74" s="474" t="e">
        <f t="shared" si="24"/>
        <v>#REF!</v>
      </c>
      <c r="BG74" s="474" t="e">
        <f>#REF!*#REF!*#REF!</f>
        <v>#REF!</v>
      </c>
      <c r="BH74" s="474" t="e">
        <f>#REF!*#REF!*#REF!</f>
        <v>#REF!</v>
      </c>
      <c r="BI74" s="474" t="e">
        <f>#REF!*#REF!*#REF!</f>
        <v>#REF!</v>
      </c>
      <c r="BJ74" s="474" t="e">
        <f t="shared" si="25"/>
        <v>#REF!</v>
      </c>
      <c r="BK74" s="474" t="e">
        <f t="shared" si="26"/>
        <v>#REF!</v>
      </c>
      <c r="BL74" s="474" t="e">
        <f>#REF!*#REF!</f>
        <v>#REF!</v>
      </c>
      <c r="BM74" s="474" t="e">
        <f t="shared" si="27"/>
        <v>#REF!</v>
      </c>
      <c r="BN74" s="474" t="e">
        <f>#REF!*#REF!+#REF!*#REF!+#REF!*#REF!+#REF!*#REF!+#REF!*#REF!</f>
        <v>#REF!</v>
      </c>
      <c r="BO74" s="474" t="e">
        <f>#REF!*#REF!*#REF!+#REF!*#REF!*#REF!+#REF!*#REF!*#REF!+#REF!*#REF!*#REF!+#REF!*#REF!*#REF!</f>
        <v>#REF!</v>
      </c>
      <c r="BP74" s="475" t="e">
        <f t="shared" si="28"/>
        <v>#REF!</v>
      </c>
    </row>
    <row r="75" spans="1:68" s="471" customFormat="1" ht="21" customHeight="1" x14ac:dyDescent="0.35">
      <c r="A75" s="476">
        <v>73</v>
      </c>
      <c r="B75" s="476" t="s">
        <v>785</v>
      </c>
      <c r="C75" s="484">
        <v>1</v>
      </c>
      <c r="D75" s="476" t="s">
        <v>786</v>
      </c>
      <c r="E75" s="476"/>
      <c r="F75" s="483" t="s">
        <v>616</v>
      </c>
      <c r="G75" s="476" t="s">
        <v>537</v>
      </c>
      <c r="H75" s="476" t="s">
        <v>537</v>
      </c>
      <c r="I75" s="476" t="s">
        <v>787</v>
      </c>
      <c r="J75" s="476" t="s">
        <v>618</v>
      </c>
      <c r="K75" s="476">
        <v>28</v>
      </c>
      <c r="L75" s="476"/>
      <c r="M75" s="476" t="s">
        <v>76</v>
      </c>
      <c r="N75" s="476" t="s">
        <v>596</v>
      </c>
      <c r="O75" s="481" t="e">
        <f t="shared" si="22"/>
        <v>#DIV/0!</v>
      </c>
      <c r="P75" s="481">
        <f t="shared" si="23"/>
        <v>0</v>
      </c>
      <c r="Q75" s="476"/>
      <c r="R75" s="476" t="s">
        <v>146</v>
      </c>
      <c r="S75" s="476"/>
      <c r="T75" s="476" t="s">
        <v>147</v>
      </c>
      <c r="U75" s="476"/>
      <c r="V75" s="476" t="s">
        <v>597</v>
      </c>
      <c r="W75" s="476"/>
      <c r="X75" s="476" t="s">
        <v>148</v>
      </c>
      <c r="Y75" s="476"/>
      <c r="Z75" s="476" t="s">
        <v>150</v>
      </c>
      <c r="AA75" s="476"/>
      <c r="AB75" s="476" t="s">
        <v>570</v>
      </c>
      <c r="AC75" s="476"/>
      <c r="AD75" s="476" t="s">
        <v>122</v>
      </c>
      <c r="AE75" s="476"/>
      <c r="AF75" s="476" t="s">
        <v>123</v>
      </c>
      <c r="AG75" s="476"/>
      <c r="AH75" s="476"/>
      <c r="AI75" s="476"/>
      <c r="AJ75" s="476">
        <v>1</v>
      </c>
      <c r="AK75" s="476" t="s">
        <v>605</v>
      </c>
      <c r="AL75" s="476"/>
      <c r="AM75" s="476"/>
      <c r="AN75" s="476">
        <v>0.02</v>
      </c>
      <c r="AO75" s="476">
        <v>0.03</v>
      </c>
      <c r="AP75" s="476">
        <v>0.2</v>
      </c>
      <c r="AQ75" s="476">
        <v>0.3</v>
      </c>
      <c r="AR75" s="476">
        <v>0.1</v>
      </c>
      <c r="AS75" s="476">
        <v>0.1</v>
      </c>
      <c r="AT75" s="476">
        <v>0.15</v>
      </c>
      <c r="AU75" s="476">
        <v>0.1</v>
      </c>
      <c r="AV75" s="476">
        <v>120</v>
      </c>
      <c r="AW75" s="476" t="s">
        <v>599</v>
      </c>
      <c r="AX75" s="476" t="s">
        <v>599</v>
      </c>
      <c r="AY75" s="476" t="s">
        <v>599</v>
      </c>
      <c r="AZ75" s="476"/>
      <c r="BA75" s="476"/>
      <c r="BB75" s="476"/>
      <c r="BC75" s="476"/>
      <c r="BD75" s="474" t="e">
        <f>#REF!*#REF!+#REF!*#REF!+#REF!*#REF!+#REF!*#REF!+#REF!*#REF!</f>
        <v>#REF!</v>
      </c>
      <c r="BE75" s="474" t="e">
        <f>#REF!*#REF!*#REF!+#REF!*#REF!*#REF!+#REF!*#REF!*#REF!+#REF!*#REF!*#REF!+#REF!*#REF!*#REF!</f>
        <v>#REF!</v>
      </c>
      <c r="BF75" s="474" t="e">
        <f t="shared" si="24"/>
        <v>#REF!</v>
      </c>
      <c r="BG75" s="474" t="e">
        <f>#REF!*#REF!*#REF!</f>
        <v>#REF!</v>
      </c>
      <c r="BH75" s="474" t="e">
        <f>#REF!*#REF!*#REF!</f>
        <v>#REF!</v>
      </c>
      <c r="BI75" s="474" t="e">
        <f>#REF!*#REF!*#REF!</f>
        <v>#REF!</v>
      </c>
      <c r="BJ75" s="474" t="e">
        <f t="shared" si="25"/>
        <v>#REF!</v>
      </c>
      <c r="BK75" s="474" t="e">
        <f t="shared" si="26"/>
        <v>#REF!</v>
      </c>
      <c r="BL75" s="474" t="e">
        <f>#REF!*#REF!</f>
        <v>#REF!</v>
      </c>
      <c r="BM75" s="474" t="e">
        <f t="shared" si="27"/>
        <v>#REF!</v>
      </c>
      <c r="BN75" s="474" t="e">
        <f>#REF!*#REF!+#REF!*#REF!+#REF!*#REF!+#REF!*#REF!+#REF!*#REF!</f>
        <v>#REF!</v>
      </c>
      <c r="BO75" s="474" t="e">
        <f>#REF!*#REF!*#REF!+#REF!*#REF!*#REF!+#REF!*#REF!*#REF!+#REF!*#REF!*#REF!+#REF!*#REF!*#REF!</f>
        <v>#REF!</v>
      </c>
      <c r="BP75" s="475" t="e">
        <f t="shared" si="28"/>
        <v>#REF!</v>
      </c>
    </row>
    <row r="76" spans="1:68" s="471" customFormat="1" ht="21" customHeight="1" x14ac:dyDescent="0.35">
      <c r="A76" s="476">
        <v>74</v>
      </c>
      <c r="B76" s="476" t="s">
        <v>785</v>
      </c>
      <c r="C76" s="484">
        <v>1</v>
      </c>
      <c r="D76" s="476" t="s">
        <v>786</v>
      </c>
      <c r="E76" s="476"/>
      <c r="F76" s="483" t="s">
        <v>616</v>
      </c>
      <c r="G76" s="476" t="s">
        <v>537</v>
      </c>
      <c r="H76" s="476" t="s">
        <v>537</v>
      </c>
      <c r="I76" s="476" t="s">
        <v>788</v>
      </c>
      <c r="J76" s="476" t="s">
        <v>675</v>
      </c>
      <c r="K76" s="476">
        <v>620</v>
      </c>
      <c r="L76" s="476"/>
      <c r="M76" s="476" t="s">
        <v>76</v>
      </c>
      <c r="N76" s="476" t="s">
        <v>596</v>
      </c>
      <c r="O76" s="481" t="e">
        <f t="shared" si="22"/>
        <v>#DIV/0!</v>
      </c>
      <c r="P76" s="481">
        <f t="shared" si="23"/>
        <v>0</v>
      </c>
      <c r="Q76" s="476"/>
      <c r="R76" s="476" t="s">
        <v>146</v>
      </c>
      <c r="S76" s="476"/>
      <c r="T76" s="476" t="s">
        <v>147</v>
      </c>
      <c r="U76" s="476"/>
      <c r="V76" s="476" t="s">
        <v>597</v>
      </c>
      <c r="W76" s="476"/>
      <c r="X76" s="476" t="s">
        <v>148</v>
      </c>
      <c r="Y76" s="476"/>
      <c r="Z76" s="476" t="s">
        <v>150</v>
      </c>
      <c r="AA76" s="476"/>
      <c r="AB76" s="476" t="s">
        <v>570</v>
      </c>
      <c r="AC76" s="476"/>
      <c r="AD76" s="476" t="s">
        <v>122</v>
      </c>
      <c r="AE76" s="476"/>
      <c r="AF76" s="476" t="s">
        <v>123</v>
      </c>
      <c r="AG76" s="476"/>
      <c r="AH76" s="476"/>
      <c r="AI76" s="476"/>
      <c r="AJ76" s="476">
        <v>1</v>
      </c>
      <c r="AK76" s="476" t="s">
        <v>608</v>
      </c>
      <c r="AL76" s="476"/>
      <c r="AM76" s="476"/>
      <c r="AN76" s="476">
        <v>0.02</v>
      </c>
      <c r="AO76" s="476">
        <v>0.03</v>
      </c>
      <c r="AP76" s="476">
        <v>0.2</v>
      </c>
      <c r="AQ76" s="476">
        <v>0.3</v>
      </c>
      <c r="AR76" s="476">
        <v>0.1</v>
      </c>
      <c r="AS76" s="476">
        <v>0.1</v>
      </c>
      <c r="AT76" s="476">
        <v>0.15</v>
      </c>
      <c r="AU76" s="476">
        <v>0.1</v>
      </c>
      <c r="AV76" s="476">
        <v>120</v>
      </c>
      <c r="AW76" s="476" t="s">
        <v>599</v>
      </c>
      <c r="AX76" s="476" t="s">
        <v>599</v>
      </c>
      <c r="AY76" s="476" t="s">
        <v>599</v>
      </c>
      <c r="AZ76" s="476"/>
      <c r="BA76" s="476"/>
      <c r="BB76" s="476"/>
      <c r="BC76" s="476"/>
      <c r="BD76" s="474" t="e">
        <f>#REF!*#REF!+#REF!*#REF!+#REF!*#REF!+#REF!*#REF!+#REF!*#REF!</f>
        <v>#REF!</v>
      </c>
      <c r="BE76" s="474" t="e">
        <f>#REF!*#REF!*#REF!+#REF!*#REF!*#REF!+#REF!*#REF!*#REF!+#REF!*#REF!*#REF!+#REF!*#REF!*#REF!</f>
        <v>#REF!</v>
      </c>
      <c r="BF76" s="474" t="e">
        <f t="shared" si="24"/>
        <v>#REF!</v>
      </c>
      <c r="BG76" s="474" t="e">
        <f>#REF!*#REF!*#REF!</f>
        <v>#REF!</v>
      </c>
      <c r="BH76" s="474" t="e">
        <f>#REF!*#REF!*#REF!</f>
        <v>#REF!</v>
      </c>
      <c r="BI76" s="474" t="e">
        <f>#REF!*#REF!*#REF!</f>
        <v>#REF!</v>
      </c>
      <c r="BJ76" s="474" t="e">
        <f t="shared" si="25"/>
        <v>#REF!</v>
      </c>
      <c r="BK76" s="474" t="e">
        <f t="shared" si="26"/>
        <v>#REF!</v>
      </c>
      <c r="BL76" s="474" t="e">
        <f>#REF!*#REF!</f>
        <v>#REF!</v>
      </c>
      <c r="BM76" s="474" t="e">
        <f t="shared" si="27"/>
        <v>#REF!</v>
      </c>
      <c r="BN76" s="474" t="e">
        <f>#REF!*#REF!+#REF!*#REF!+#REF!*#REF!+#REF!*#REF!+#REF!*#REF!</f>
        <v>#REF!</v>
      </c>
      <c r="BO76" s="474" t="e">
        <f>#REF!*#REF!*#REF!+#REF!*#REF!*#REF!+#REF!*#REF!*#REF!+#REF!*#REF!*#REF!+#REF!*#REF!*#REF!</f>
        <v>#REF!</v>
      </c>
      <c r="BP76" s="475" t="e">
        <f t="shared" si="28"/>
        <v>#REF!</v>
      </c>
    </row>
    <row r="77" spans="1:68" s="471" customFormat="1" ht="21" customHeight="1" x14ac:dyDescent="0.35">
      <c r="A77" s="476">
        <v>75</v>
      </c>
      <c r="B77" s="476" t="s">
        <v>789</v>
      </c>
      <c r="C77" s="484">
        <v>1</v>
      </c>
      <c r="D77" s="476" t="s">
        <v>786</v>
      </c>
      <c r="E77" s="476"/>
      <c r="F77" s="483" t="s">
        <v>616</v>
      </c>
      <c r="G77" s="476" t="s">
        <v>537</v>
      </c>
      <c r="H77" s="476" t="s">
        <v>537</v>
      </c>
      <c r="I77" s="476" t="s">
        <v>790</v>
      </c>
      <c r="J77" s="476" t="s">
        <v>618</v>
      </c>
      <c r="K77" s="476">
        <v>28</v>
      </c>
      <c r="L77" s="476"/>
      <c r="M77" s="476" t="s">
        <v>76</v>
      </c>
      <c r="N77" s="476" t="s">
        <v>596</v>
      </c>
      <c r="O77" s="481" t="e">
        <f t="shared" si="22"/>
        <v>#DIV/0!</v>
      </c>
      <c r="P77" s="481">
        <f t="shared" si="23"/>
        <v>0</v>
      </c>
      <c r="Q77" s="476"/>
      <c r="R77" s="476" t="s">
        <v>146</v>
      </c>
      <c r="S77" s="476"/>
      <c r="T77" s="476" t="s">
        <v>147</v>
      </c>
      <c r="U77" s="476"/>
      <c r="V77" s="476" t="s">
        <v>597</v>
      </c>
      <c r="W77" s="476"/>
      <c r="X77" s="476" t="s">
        <v>148</v>
      </c>
      <c r="Y77" s="476"/>
      <c r="Z77" s="476" t="s">
        <v>150</v>
      </c>
      <c r="AA77" s="476"/>
      <c r="AB77" s="476" t="s">
        <v>570</v>
      </c>
      <c r="AC77" s="476"/>
      <c r="AD77" s="476" t="s">
        <v>122</v>
      </c>
      <c r="AE77" s="476"/>
      <c r="AF77" s="476" t="s">
        <v>123</v>
      </c>
      <c r="AG77" s="476"/>
      <c r="AH77" s="476"/>
      <c r="AI77" s="476"/>
      <c r="AJ77" s="476">
        <v>1</v>
      </c>
      <c r="AK77" s="476" t="s">
        <v>615</v>
      </c>
      <c r="AL77" s="476"/>
      <c r="AM77" s="476"/>
      <c r="AN77" s="476">
        <v>0.02</v>
      </c>
      <c r="AO77" s="476">
        <v>0.03</v>
      </c>
      <c r="AP77" s="476">
        <v>0.2</v>
      </c>
      <c r="AQ77" s="476">
        <v>0.3</v>
      </c>
      <c r="AR77" s="476">
        <v>0.1</v>
      </c>
      <c r="AS77" s="476">
        <v>0.1</v>
      </c>
      <c r="AT77" s="476">
        <v>0.15</v>
      </c>
      <c r="AU77" s="476">
        <v>0.1</v>
      </c>
      <c r="AV77" s="476">
        <v>120</v>
      </c>
      <c r="AW77" s="476" t="s">
        <v>599</v>
      </c>
      <c r="AX77" s="476" t="s">
        <v>599</v>
      </c>
      <c r="AY77" s="476" t="s">
        <v>599</v>
      </c>
      <c r="AZ77" s="476"/>
      <c r="BA77" s="476"/>
      <c r="BB77" s="476"/>
      <c r="BC77" s="476"/>
      <c r="BD77" s="474" t="e">
        <f>#REF!*#REF!+#REF!*#REF!+#REF!*#REF!+#REF!*#REF!+#REF!*#REF!</f>
        <v>#REF!</v>
      </c>
      <c r="BE77" s="474" t="e">
        <f>#REF!*#REF!*#REF!+#REF!*#REF!*#REF!+#REF!*#REF!*#REF!+#REF!*#REF!*#REF!+#REF!*#REF!*#REF!</f>
        <v>#REF!</v>
      </c>
      <c r="BF77" s="474" t="e">
        <f t="shared" si="24"/>
        <v>#REF!</v>
      </c>
      <c r="BG77" s="474" t="e">
        <f>#REF!*#REF!*#REF!</f>
        <v>#REF!</v>
      </c>
      <c r="BH77" s="474" t="e">
        <f>#REF!*#REF!*#REF!</f>
        <v>#REF!</v>
      </c>
      <c r="BI77" s="474" t="e">
        <f>#REF!*#REF!*#REF!</f>
        <v>#REF!</v>
      </c>
      <c r="BJ77" s="474" t="e">
        <f t="shared" si="25"/>
        <v>#REF!</v>
      </c>
      <c r="BK77" s="474" t="e">
        <f t="shared" si="26"/>
        <v>#REF!</v>
      </c>
      <c r="BL77" s="474" t="e">
        <f>#REF!*#REF!</f>
        <v>#REF!</v>
      </c>
      <c r="BM77" s="474" t="e">
        <f t="shared" si="27"/>
        <v>#REF!</v>
      </c>
      <c r="BN77" s="474" t="e">
        <f>#REF!*#REF!+#REF!*#REF!+#REF!*#REF!+#REF!*#REF!+#REF!*#REF!</f>
        <v>#REF!</v>
      </c>
      <c r="BO77" s="474" t="e">
        <f>#REF!*#REF!*#REF!+#REF!*#REF!*#REF!+#REF!*#REF!*#REF!+#REF!*#REF!*#REF!+#REF!*#REF!*#REF!</f>
        <v>#REF!</v>
      </c>
      <c r="BP77" s="475" t="e">
        <f t="shared" si="28"/>
        <v>#REF!</v>
      </c>
    </row>
    <row r="78" spans="1:68" s="471" customFormat="1" ht="21" customHeight="1" x14ac:dyDescent="0.35">
      <c r="A78" s="476">
        <v>76</v>
      </c>
      <c r="B78" s="476" t="s">
        <v>789</v>
      </c>
      <c r="C78" s="484">
        <v>1</v>
      </c>
      <c r="D78" s="476" t="s">
        <v>786</v>
      </c>
      <c r="E78" s="476"/>
      <c r="F78" s="483" t="s">
        <v>616</v>
      </c>
      <c r="G78" s="476" t="s">
        <v>537</v>
      </c>
      <c r="H78" s="476" t="s">
        <v>537</v>
      </c>
      <c r="I78" s="476" t="s">
        <v>791</v>
      </c>
      <c r="J78" s="476" t="s">
        <v>728</v>
      </c>
      <c r="K78" s="476">
        <v>635</v>
      </c>
      <c r="L78" s="476"/>
      <c r="M78" s="476" t="s">
        <v>76</v>
      </c>
      <c r="N78" s="476" t="s">
        <v>596</v>
      </c>
      <c r="O78" s="481" t="e">
        <f t="shared" si="22"/>
        <v>#DIV/0!</v>
      </c>
      <c r="P78" s="481">
        <f t="shared" si="23"/>
        <v>0</v>
      </c>
      <c r="Q78" s="476"/>
      <c r="R78" s="476" t="s">
        <v>146</v>
      </c>
      <c r="S78" s="476"/>
      <c r="T78" s="476" t="s">
        <v>147</v>
      </c>
      <c r="U78" s="476"/>
      <c r="V78" s="476" t="s">
        <v>597</v>
      </c>
      <c r="W78" s="476"/>
      <c r="X78" s="476" t="s">
        <v>148</v>
      </c>
      <c r="Y78" s="476"/>
      <c r="Z78" s="476" t="s">
        <v>150</v>
      </c>
      <c r="AA78" s="476"/>
      <c r="AB78" s="476" t="s">
        <v>570</v>
      </c>
      <c r="AC78" s="476"/>
      <c r="AD78" s="476" t="s">
        <v>122</v>
      </c>
      <c r="AE78" s="476"/>
      <c r="AF78" s="476" t="s">
        <v>123</v>
      </c>
      <c r="AG78" s="476"/>
      <c r="AH78" s="476"/>
      <c r="AI78" s="476"/>
      <c r="AJ78" s="476">
        <v>1</v>
      </c>
      <c r="AK78" s="476" t="s">
        <v>598</v>
      </c>
      <c r="AL78" s="476"/>
      <c r="AM78" s="476"/>
      <c r="AN78" s="476">
        <v>0.02</v>
      </c>
      <c r="AO78" s="476">
        <v>0.03</v>
      </c>
      <c r="AP78" s="476">
        <v>0.2</v>
      </c>
      <c r="AQ78" s="476">
        <v>0.3</v>
      </c>
      <c r="AR78" s="476">
        <v>0.1</v>
      </c>
      <c r="AS78" s="476">
        <v>0.1</v>
      </c>
      <c r="AT78" s="476">
        <v>0.15</v>
      </c>
      <c r="AU78" s="476">
        <v>0.1</v>
      </c>
      <c r="AV78" s="476">
        <v>120</v>
      </c>
      <c r="AW78" s="476" t="s">
        <v>599</v>
      </c>
      <c r="AX78" s="476" t="s">
        <v>599</v>
      </c>
      <c r="AY78" s="476" t="s">
        <v>599</v>
      </c>
      <c r="AZ78" s="476"/>
      <c r="BA78" s="476"/>
      <c r="BB78" s="476"/>
      <c r="BC78" s="476"/>
      <c r="BD78" s="474" t="e">
        <f>#REF!*#REF!+#REF!*#REF!+#REF!*#REF!+#REF!*#REF!+#REF!*#REF!</f>
        <v>#REF!</v>
      </c>
      <c r="BE78" s="474" t="e">
        <f>#REF!*#REF!*#REF!+#REF!*#REF!*#REF!+#REF!*#REF!*#REF!+#REF!*#REF!*#REF!+#REF!*#REF!*#REF!</f>
        <v>#REF!</v>
      </c>
      <c r="BF78" s="474" t="e">
        <f t="shared" si="24"/>
        <v>#REF!</v>
      </c>
      <c r="BG78" s="474" t="e">
        <f>#REF!*#REF!*#REF!</f>
        <v>#REF!</v>
      </c>
      <c r="BH78" s="474" t="e">
        <f>#REF!*#REF!*#REF!</f>
        <v>#REF!</v>
      </c>
      <c r="BI78" s="474" t="e">
        <f>#REF!*#REF!*#REF!</f>
        <v>#REF!</v>
      </c>
      <c r="BJ78" s="474" t="e">
        <f t="shared" si="25"/>
        <v>#REF!</v>
      </c>
      <c r="BK78" s="474" t="e">
        <f t="shared" si="26"/>
        <v>#REF!</v>
      </c>
      <c r="BL78" s="474" t="e">
        <f>#REF!*#REF!</f>
        <v>#REF!</v>
      </c>
      <c r="BM78" s="474" t="e">
        <f t="shared" si="27"/>
        <v>#REF!</v>
      </c>
      <c r="BN78" s="474" t="e">
        <f>#REF!*#REF!+#REF!*#REF!+#REF!*#REF!+#REF!*#REF!+#REF!*#REF!</f>
        <v>#REF!</v>
      </c>
      <c r="BO78" s="474" t="e">
        <f>#REF!*#REF!*#REF!+#REF!*#REF!*#REF!+#REF!*#REF!*#REF!+#REF!*#REF!*#REF!+#REF!*#REF!*#REF!</f>
        <v>#REF!</v>
      </c>
      <c r="BP78" s="475" t="e">
        <f t="shared" si="28"/>
        <v>#REF!</v>
      </c>
    </row>
    <row r="79" spans="1:68" s="471" customFormat="1" ht="21" customHeight="1" x14ac:dyDescent="0.35">
      <c r="A79" s="476">
        <v>77</v>
      </c>
      <c r="B79" s="476" t="s">
        <v>792</v>
      </c>
      <c r="C79" s="484">
        <v>0</v>
      </c>
      <c r="D79" s="476" t="s">
        <v>640</v>
      </c>
      <c r="E79" s="476"/>
      <c r="F79" s="483" t="s">
        <v>641</v>
      </c>
      <c r="G79" s="476" t="s">
        <v>642</v>
      </c>
      <c r="H79" s="476" t="s">
        <v>643</v>
      </c>
      <c r="I79" s="476" t="s">
        <v>793</v>
      </c>
      <c r="J79" s="476" t="s">
        <v>595</v>
      </c>
      <c r="K79" s="476">
        <v>35</v>
      </c>
      <c r="L79" s="476"/>
      <c r="M79" s="476" t="s">
        <v>76</v>
      </c>
      <c r="N79" s="476" t="s">
        <v>645</v>
      </c>
      <c r="O79" s="481" t="e">
        <f t="shared" si="22"/>
        <v>#DIV/0!</v>
      </c>
      <c r="P79" s="481">
        <f t="shared" si="23"/>
        <v>0</v>
      </c>
      <c r="Q79" s="476"/>
      <c r="R79" s="476" t="s">
        <v>146</v>
      </c>
      <c r="S79" s="476"/>
      <c r="T79" s="476" t="s">
        <v>147</v>
      </c>
      <c r="U79" s="476"/>
      <c r="V79" s="476" t="s">
        <v>597</v>
      </c>
      <c r="W79" s="476"/>
      <c r="X79" s="476" t="s">
        <v>148</v>
      </c>
      <c r="Y79" s="476"/>
      <c r="Z79" s="476" t="s">
        <v>646</v>
      </c>
      <c r="AA79" s="476"/>
      <c r="AB79" s="476" t="s">
        <v>647</v>
      </c>
      <c r="AC79" s="476"/>
      <c r="AD79" s="476" t="s">
        <v>122</v>
      </c>
      <c r="AE79" s="476"/>
      <c r="AF79" s="476" t="s">
        <v>123</v>
      </c>
      <c r="AG79" s="476"/>
      <c r="AH79" s="476"/>
      <c r="AI79" s="476" t="s">
        <v>648</v>
      </c>
      <c r="AJ79" s="476">
        <v>1</v>
      </c>
      <c r="AK79" s="476" t="s">
        <v>602</v>
      </c>
      <c r="AL79" s="476"/>
      <c r="AM79" s="476"/>
      <c r="AN79" s="476">
        <v>0.02</v>
      </c>
      <c r="AO79" s="476">
        <v>0.03</v>
      </c>
      <c r="AP79" s="476">
        <v>0.2</v>
      </c>
      <c r="AQ79" s="476">
        <v>0.3</v>
      </c>
      <c r="AR79" s="476">
        <v>0.1</v>
      </c>
      <c r="AS79" s="476">
        <v>0.1</v>
      </c>
      <c r="AT79" s="476">
        <v>0.15</v>
      </c>
      <c r="AU79" s="476">
        <v>0.1</v>
      </c>
      <c r="AV79" s="476">
        <v>401</v>
      </c>
      <c r="AW79" s="476" t="s">
        <v>649</v>
      </c>
      <c r="AX79" s="476" t="s">
        <v>599</v>
      </c>
      <c r="AY79" s="476" t="s">
        <v>599</v>
      </c>
      <c r="AZ79" s="476"/>
      <c r="BA79" s="476"/>
      <c r="BB79" s="476"/>
      <c r="BC79" s="476"/>
      <c r="BD79" s="474" t="e">
        <f>#REF!*#REF!+#REF!*#REF!+#REF!*#REF!+#REF!*#REF!+#REF!*#REF!</f>
        <v>#REF!</v>
      </c>
      <c r="BE79" s="474" t="e">
        <f>#REF!*#REF!*#REF!+#REF!*#REF!*#REF!+#REF!*#REF!*#REF!+#REF!*#REF!*#REF!+#REF!*#REF!*#REF!</f>
        <v>#REF!</v>
      </c>
      <c r="BF79" s="474" t="e">
        <f t="shared" si="24"/>
        <v>#REF!</v>
      </c>
      <c r="BG79" s="474" t="e">
        <f>#REF!*#REF!*#REF!</f>
        <v>#REF!</v>
      </c>
      <c r="BH79" s="474" t="e">
        <f>#REF!*#REF!*#REF!</f>
        <v>#REF!</v>
      </c>
      <c r="BI79" s="474" t="e">
        <f>#REF!*#REF!*#REF!</f>
        <v>#REF!</v>
      </c>
      <c r="BJ79" s="474" t="e">
        <f t="shared" si="25"/>
        <v>#REF!</v>
      </c>
      <c r="BK79" s="474" t="e">
        <f t="shared" si="26"/>
        <v>#REF!</v>
      </c>
      <c r="BL79" s="474" t="e">
        <f>#REF!*#REF!</f>
        <v>#REF!</v>
      </c>
      <c r="BM79" s="474" t="e">
        <f t="shared" si="27"/>
        <v>#REF!</v>
      </c>
      <c r="BN79" s="474" t="e">
        <f>#REF!*#REF!+#REF!*#REF!+#REF!*#REF!+#REF!*#REF!+#REF!*#REF!</f>
        <v>#REF!</v>
      </c>
      <c r="BO79" s="474" t="e">
        <f>#REF!*#REF!*#REF!+#REF!*#REF!*#REF!+#REF!*#REF!*#REF!+#REF!*#REF!*#REF!+#REF!*#REF!*#REF!</f>
        <v>#REF!</v>
      </c>
      <c r="BP79" s="475" t="e">
        <f t="shared" si="28"/>
        <v>#REF!</v>
      </c>
    </row>
    <row r="80" spans="1:68" s="471" customFormat="1" ht="21" customHeight="1" x14ac:dyDescent="0.35">
      <c r="A80" s="476">
        <v>78</v>
      </c>
      <c r="B80" s="476" t="s">
        <v>794</v>
      </c>
      <c r="C80" s="484">
        <v>0</v>
      </c>
      <c r="D80" s="476" t="s">
        <v>640</v>
      </c>
      <c r="E80" s="476"/>
      <c r="F80" s="483" t="s">
        <v>641</v>
      </c>
      <c r="G80" s="476" t="s">
        <v>642</v>
      </c>
      <c r="H80" s="476" t="s">
        <v>643</v>
      </c>
      <c r="I80" s="476" t="s">
        <v>795</v>
      </c>
      <c r="J80" s="476" t="s">
        <v>595</v>
      </c>
      <c r="K80" s="476">
        <v>25</v>
      </c>
      <c r="L80" s="476"/>
      <c r="M80" s="476" t="s">
        <v>76</v>
      </c>
      <c r="N80" s="476" t="s">
        <v>645</v>
      </c>
      <c r="O80" s="481" t="e">
        <f t="shared" si="22"/>
        <v>#DIV/0!</v>
      </c>
      <c r="P80" s="481">
        <f t="shared" si="23"/>
        <v>0</v>
      </c>
      <c r="Q80" s="476"/>
      <c r="R80" s="476" t="s">
        <v>146</v>
      </c>
      <c r="S80" s="476"/>
      <c r="T80" s="476" t="s">
        <v>147</v>
      </c>
      <c r="U80" s="476"/>
      <c r="V80" s="476" t="s">
        <v>597</v>
      </c>
      <c r="W80" s="476"/>
      <c r="X80" s="476" t="s">
        <v>148</v>
      </c>
      <c r="Y80" s="476"/>
      <c r="Z80" s="476" t="s">
        <v>646</v>
      </c>
      <c r="AA80" s="476"/>
      <c r="AB80" s="476" t="s">
        <v>647</v>
      </c>
      <c r="AC80" s="476"/>
      <c r="AD80" s="476" t="s">
        <v>122</v>
      </c>
      <c r="AE80" s="476"/>
      <c r="AF80" s="476" t="s">
        <v>123</v>
      </c>
      <c r="AG80" s="476"/>
      <c r="AH80" s="476"/>
      <c r="AI80" s="476" t="s">
        <v>648</v>
      </c>
      <c r="AJ80" s="476">
        <v>1</v>
      </c>
      <c r="AK80" s="476" t="s">
        <v>605</v>
      </c>
      <c r="AL80" s="476"/>
      <c r="AM80" s="476"/>
      <c r="AN80" s="476">
        <v>0.02</v>
      </c>
      <c r="AO80" s="476">
        <v>0.03</v>
      </c>
      <c r="AP80" s="476">
        <v>0.2</v>
      </c>
      <c r="AQ80" s="476">
        <v>0.3</v>
      </c>
      <c r="AR80" s="476">
        <v>0.1</v>
      </c>
      <c r="AS80" s="476">
        <v>0.1</v>
      </c>
      <c r="AT80" s="476">
        <v>0.15</v>
      </c>
      <c r="AU80" s="476">
        <v>0.1</v>
      </c>
      <c r="AV80" s="476">
        <v>401</v>
      </c>
      <c r="AW80" s="476" t="s">
        <v>649</v>
      </c>
      <c r="AX80" s="476" t="s">
        <v>599</v>
      </c>
      <c r="AY80" s="476" t="s">
        <v>599</v>
      </c>
      <c r="AZ80" s="476"/>
      <c r="BA80" s="476"/>
      <c r="BB80" s="476"/>
      <c r="BC80" s="476"/>
      <c r="BD80" s="474" t="e">
        <f>#REF!*#REF!+#REF!*#REF!+#REF!*#REF!+#REF!*#REF!+#REF!*#REF!</f>
        <v>#REF!</v>
      </c>
      <c r="BE80" s="474" t="e">
        <f>#REF!*#REF!*#REF!+#REF!*#REF!*#REF!+#REF!*#REF!*#REF!+#REF!*#REF!*#REF!+#REF!*#REF!*#REF!</f>
        <v>#REF!</v>
      </c>
      <c r="BF80" s="474" t="e">
        <f t="shared" si="24"/>
        <v>#REF!</v>
      </c>
      <c r="BG80" s="474" t="e">
        <f>#REF!*#REF!*#REF!</f>
        <v>#REF!</v>
      </c>
      <c r="BH80" s="474" t="e">
        <f>#REF!*#REF!*#REF!</f>
        <v>#REF!</v>
      </c>
      <c r="BI80" s="474" t="e">
        <f>#REF!*#REF!*#REF!</f>
        <v>#REF!</v>
      </c>
      <c r="BJ80" s="474" t="e">
        <f t="shared" si="25"/>
        <v>#REF!</v>
      </c>
      <c r="BK80" s="474" t="e">
        <f t="shared" si="26"/>
        <v>#REF!</v>
      </c>
      <c r="BL80" s="474" t="e">
        <f>#REF!*#REF!</f>
        <v>#REF!</v>
      </c>
      <c r="BM80" s="474" t="e">
        <f t="shared" si="27"/>
        <v>#REF!</v>
      </c>
      <c r="BN80" s="474" t="e">
        <f>#REF!*#REF!+#REF!*#REF!+#REF!*#REF!+#REF!*#REF!+#REF!*#REF!</f>
        <v>#REF!</v>
      </c>
      <c r="BO80" s="474" t="e">
        <f>#REF!*#REF!*#REF!+#REF!*#REF!*#REF!+#REF!*#REF!*#REF!+#REF!*#REF!*#REF!+#REF!*#REF!*#REF!</f>
        <v>#REF!</v>
      </c>
      <c r="BP80" s="475" t="e">
        <f t="shared" si="28"/>
        <v>#REF!</v>
      </c>
    </row>
    <row r="81" spans="1:68" s="471" customFormat="1" ht="21" customHeight="1" x14ac:dyDescent="0.35">
      <c r="A81" s="476">
        <v>79</v>
      </c>
      <c r="B81" s="476" t="s">
        <v>796</v>
      </c>
      <c r="C81" s="484">
        <v>0</v>
      </c>
      <c r="D81" s="476" t="s">
        <v>690</v>
      </c>
      <c r="E81" s="476"/>
      <c r="F81" s="483" t="s">
        <v>616</v>
      </c>
      <c r="G81" s="476" t="s">
        <v>691</v>
      </c>
      <c r="H81" s="476" t="s">
        <v>692</v>
      </c>
      <c r="I81" s="476" t="s">
        <v>797</v>
      </c>
      <c r="J81" s="476" t="s">
        <v>694</v>
      </c>
      <c r="K81" s="476">
        <v>111</v>
      </c>
      <c r="L81" s="476"/>
      <c r="M81" s="476" t="s">
        <v>76</v>
      </c>
      <c r="N81" s="476" t="s">
        <v>596</v>
      </c>
      <c r="O81" s="481" t="e">
        <f t="shared" si="22"/>
        <v>#DIV/0!</v>
      </c>
      <c r="P81" s="481">
        <f t="shared" si="23"/>
        <v>0</v>
      </c>
      <c r="Q81" s="476"/>
      <c r="R81" s="476" t="s">
        <v>146</v>
      </c>
      <c r="S81" s="476"/>
      <c r="T81" s="476" t="s">
        <v>147</v>
      </c>
      <c r="U81" s="476"/>
      <c r="V81" s="476" t="s">
        <v>597</v>
      </c>
      <c r="W81" s="476"/>
      <c r="X81" s="476" t="s">
        <v>148</v>
      </c>
      <c r="Y81" s="476"/>
      <c r="Z81" s="476" t="s">
        <v>150</v>
      </c>
      <c r="AA81" s="476"/>
      <c r="AB81" s="476" t="s">
        <v>570</v>
      </c>
      <c r="AC81" s="476"/>
      <c r="AD81" s="476" t="s">
        <v>122</v>
      </c>
      <c r="AE81" s="476"/>
      <c r="AF81" s="476" t="s">
        <v>123</v>
      </c>
      <c r="AG81" s="476"/>
      <c r="AH81" s="476"/>
      <c r="AI81" s="476" t="s">
        <v>695</v>
      </c>
      <c r="AJ81" s="476">
        <v>1</v>
      </c>
      <c r="AK81" s="476" t="s">
        <v>608</v>
      </c>
      <c r="AL81" s="476"/>
      <c r="AM81" s="476"/>
      <c r="AN81" s="476">
        <v>0.02</v>
      </c>
      <c r="AO81" s="476">
        <v>0.03</v>
      </c>
      <c r="AP81" s="476">
        <v>0.2</v>
      </c>
      <c r="AQ81" s="476">
        <v>0.3</v>
      </c>
      <c r="AR81" s="476">
        <v>0.1</v>
      </c>
      <c r="AS81" s="476">
        <v>0.1</v>
      </c>
      <c r="AT81" s="476">
        <v>0.15</v>
      </c>
      <c r="AU81" s="476">
        <v>0.1</v>
      </c>
      <c r="AV81" s="476">
        <v>401</v>
      </c>
      <c r="AW81" s="476" t="s">
        <v>599</v>
      </c>
      <c r="AX81" s="476" t="s">
        <v>599</v>
      </c>
      <c r="AY81" s="476" t="s">
        <v>599</v>
      </c>
      <c r="AZ81" s="476"/>
      <c r="BA81" s="476"/>
      <c r="BB81" s="476"/>
      <c r="BC81" s="476"/>
      <c r="BD81" s="474" t="e">
        <f>#REF!*#REF!+#REF!*#REF!+#REF!*#REF!+#REF!*#REF!+#REF!*#REF!</f>
        <v>#REF!</v>
      </c>
      <c r="BE81" s="474" t="e">
        <f>#REF!*#REF!*#REF!+#REF!*#REF!*#REF!+#REF!*#REF!*#REF!+#REF!*#REF!*#REF!+#REF!*#REF!*#REF!</f>
        <v>#REF!</v>
      </c>
      <c r="BF81" s="474" t="e">
        <f t="shared" si="24"/>
        <v>#REF!</v>
      </c>
      <c r="BG81" s="474" t="e">
        <f>#REF!*#REF!*#REF!</f>
        <v>#REF!</v>
      </c>
      <c r="BH81" s="474" t="e">
        <f>#REF!*#REF!*#REF!</f>
        <v>#REF!</v>
      </c>
      <c r="BI81" s="474" t="e">
        <f>#REF!*#REF!*#REF!</f>
        <v>#REF!</v>
      </c>
      <c r="BJ81" s="474" t="e">
        <f t="shared" si="25"/>
        <v>#REF!</v>
      </c>
      <c r="BK81" s="474" t="e">
        <f t="shared" si="26"/>
        <v>#REF!</v>
      </c>
      <c r="BL81" s="474" t="e">
        <f>#REF!*#REF!</f>
        <v>#REF!</v>
      </c>
      <c r="BM81" s="474" t="e">
        <f t="shared" si="27"/>
        <v>#REF!</v>
      </c>
      <c r="BN81" s="474" t="e">
        <f>#REF!*#REF!+#REF!*#REF!+#REF!*#REF!+#REF!*#REF!+#REF!*#REF!</f>
        <v>#REF!</v>
      </c>
      <c r="BO81" s="474" t="e">
        <f>#REF!*#REF!*#REF!+#REF!*#REF!*#REF!+#REF!*#REF!*#REF!+#REF!*#REF!*#REF!+#REF!*#REF!*#REF!</f>
        <v>#REF!</v>
      </c>
      <c r="BP81" s="475" t="e">
        <f t="shared" si="28"/>
        <v>#REF!</v>
      </c>
    </row>
    <row r="82" spans="1:68" s="471" customFormat="1" ht="21" customHeight="1" x14ac:dyDescent="0.35">
      <c r="A82" s="476">
        <v>80</v>
      </c>
      <c r="B82" s="476" t="s">
        <v>798</v>
      </c>
      <c r="C82" s="484">
        <v>0</v>
      </c>
      <c r="D82" s="476" t="s">
        <v>690</v>
      </c>
      <c r="E82" s="476"/>
      <c r="F82" s="483" t="s">
        <v>616</v>
      </c>
      <c r="G82" s="476" t="s">
        <v>691</v>
      </c>
      <c r="H82" s="476" t="s">
        <v>692</v>
      </c>
      <c r="I82" s="476" t="s">
        <v>799</v>
      </c>
      <c r="J82" s="485" t="s">
        <v>694</v>
      </c>
      <c r="K82" s="476">
        <v>26</v>
      </c>
      <c r="L82" s="476"/>
      <c r="M82" s="476" t="s">
        <v>76</v>
      </c>
      <c r="N82" s="476" t="s">
        <v>596</v>
      </c>
      <c r="O82" s="481" t="e">
        <f t="shared" ref="O82" si="29">P82/AM82</f>
        <v>#DIV/0!</v>
      </c>
      <c r="P82" s="481">
        <f t="shared" ref="P82" si="30">L82*Q82*AN82+L82*S82*AO82+L82*U82*AP82+L82*W82*AQ82+L82*Y82*AR82+L82*AA82*AS82+L82*AC82*AT82+L82*AE82*AU82</f>
        <v>0</v>
      </c>
      <c r="Q82" s="476"/>
      <c r="R82" s="476" t="s">
        <v>146</v>
      </c>
      <c r="S82" s="476"/>
      <c r="T82" s="476" t="s">
        <v>147</v>
      </c>
      <c r="U82" s="476"/>
      <c r="V82" s="476" t="s">
        <v>597</v>
      </c>
      <c r="W82" s="476"/>
      <c r="X82" s="476" t="s">
        <v>148</v>
      </c>
      <c r="Y82" s="476"/>
      <c r="Z82" s="476" t="s">
        <v>150</v>
      </c>
      <c r="AA82" s="476"/>
      <c r="AB82" s="476" t="s">
        <v>570</v>
      </c>
      <c r="AC82" s="476"/>
      <c r="AD82" s="476" t="s">
        <v>122</v>
      </c>
      <c r="AE82" s="476"/>
      <c r="AF82" s="476" t="s">
        <v>123</v>
      </c>
      <c r="AG82" s="476"/>
      <c r="AH82" s="476"/>
      <c r="AI82" s="476" t="s">
        <v>695</v>
      </c>
      <c r="AJ82" s="476">
        <v>1</v>
      </c>
      <c r="AK82" s="476" t="s">
        <v>608</v>
      </c>
      <c r="AL82" s="476"/>
      <c r="AM82" s="476"/>
      <c r="AN82" s="476">
        <v>0.02</v>
      </c>
      <c r="AO82" s="476">
        <v>0.03</v>
      </c>
      <c r="AP82" s="476">
        <v>0.2</v>
      </c>
      <c r="AQ82" s="476">
        <v>0.3</v>
      </c>
      <c r="AR82" s="476">
        <v>0.1</v>
      </c>
      <c r="AS82" s="476">
        <v>0.1</v>
      </c>
      <c r="AT82" s="476">
        <v>0.15</v>
      </c>
      <c r="AU82" s="476">
        <v>0.1</v>
      </c>
      <c r="AV82" s="476">
        <v>401</v>
      </c>
      <c r="AW82" s="476" t="s">
        <v>599</v>
      </c>
      <c r="AX82" s="476" t="s">
        <v>599</v>
      </c>
      <c r="AY82" s="476" t="s">
        <v>599</v>
      </c>
      <c r="AZ82" s="476"/>
      <c r="BA82" s="476"/>
      <c r="BB82" s="476"/>
      <c r="BC82" s="476"/>
      <c r="BD82" s="474" t="e">
        <f>#REF!*#REF!+#REF!*#REF!+#REF!*#REF!+#REF!*#REF!+#REF!*#REF!</f>
        <v>#REF!</v>
      </c>
      <c r="BE82" s="474" t="e">
        <f>#REF!*#REF!*#REF!+#REF!*#REF!*#REF!+#REF!*#REF!*#REF!+#REF!*#REF!*#REF!+#REF!*#REF!*#REF!</f>
        <v>#REF!</v>
      </c>
      <c r="BF82" s="474" t="e">
        <f t="shared" si="24"/>
        <v>#REF!</v>
      </c>
      <c r="BG82" s="474" t="e">
        <f>#REF!*#REF!*#REF!</f>
        <v>#REF!</v>
      </c>
      <c r="BH82" s="474" t="e">
        <f>#REF!*#REF!*#REF!</f>
        <v>#REF!</v>
      </c>
      <c r="BI82" s="474" t="e">
        <f>#REF!*#REF!*#REF!</f>
        <v>#REF!</v>
      </c>
      <c r="BJ82" s="474" t="e">
        <f t="shared" si="25"/>
        <v>#REF!</v>
      </c>
      <c r="BK82" s="474" t="e">
        <f t="shared" si="26"/>
        <v>#REF!</v>
      </c>
      <c r="BL82" s="474" t="e">
        <f>#REF!*#REF!</f>
        <v>#REF!</v>
      </c>
      <c r="BM82" s="474" t="e">
        <f t="shared" si="27"/>
        <v>#REF!</v>
      </c>
      <c r="BN82" s="474" t="e">
        <f>#REF!*#REF!+#REF!*#REF!+#REF!*#REF!+#REF!*#REF!+#REF!*#REF!</f>
        <v>#REF!</v>
      </c>
      <c r="BO82" s="474" t="e">
        <f>#REF!*#REF!*#REF!+#REF!*#REF!*#REF!+#REF!*#REF!*#REF!+#REF!*#REF!*#REF!+#REF!*#REF!*#REF!</f>
        <v>#REF!</v>
      </c>
      <c r="BP82" s="475" t="e">
        <f t="shared" si="28"/>
        <v>#REF!</v>
      </c>
    </row>
  </sheetData>
  <sheetProtection formatCells="0" formatColumns="0" autoFilter="0"/>
  <autoFilter ref="A2:BP2" xr:uid="{00000000-0001-0000-0000-000000000000}"/>
  <sortState xmlns:xlrd2="http://schemas.microsoft.com/office/spreadsheetml/2017/richdata2" ref="A3:BP82">
    <sortCondition ref="B3:B82"/>
    <sortCondition ref="I3:I82"/>
  </sortState>
  <dataConsolidate/>
  <customSheetViews>
    <customSheetView guid="{D05407CA-A4E5-464E-9CB8-5A451EF2790E}" scale="85" showPageBreaks="1" zeroValues="0" printArea="1" showAutoFilter="1" hiddenColumns="1">
      <pane xSplit="9" ySplit="757" topLeftCell="J760" activePane="bottomRight" state="frozen"/>
      <selection pane="bottomRight" activeCell="A4" sqref="A4"/>
      <pageMargins left="0.25" right="0" top="0.83" bottom="0.33" header="0.26" footer="0.16"/>
      <printOptions horizontalCentered="1" verticalCentered="1"/>
      <pageSetup scale="70" orientation="landscape" r:id="rId1"/>
      <headerFooter alignWithMargins="0">
        <oddHeader>&amp;C&amp;"Bookman Old Style,Bold Italic"&amp;22Pipe Audit C1478
&amp;12Week Ending 7/07/2012</oddHeader>
        <oddFooter>&amp;L&amp;"Bookman Old Style,Regular"&amp;8&amp;F&amp;C&amp;"Bookman Old Style,Regular"&amp;8&amp;P of &amp;N&amp;R&amp;"Bookman Old Style,Regular"&amp;8Run Date: &amp;D @ &amp;T</oddFooter>
      </headerFooter>
      <autoFilter ref="B1:BQ1" xr:uid="{3BF06F08-C1C9-4D42-9C8E-C5404C6A81E2}"/>
    </customSheetView>
    <customSheetView guid="{5F969C1A-C5D2-43FD-A92E-4F6253B0E58B}" scale="85" zeroValues="0" printArea="1" hiddenColumns="1" showRuler="0">
      <pane xSplit="9" ySplit="3" topLeftCell="AX4" activePane="bottomRight" state="frozen"/>
      <selection pane="bottomRight" activeCell="AY3" sqref="AY3"/>
      <pageMargins left="0.25" right="0" top="0.83" bottom="0.33" header="0.26" footer="0.16"/>
      <printOptions horizontalCentered="1" verticalCentered="1"/>
      <pageSetup scale="70" orientation="landscape" r:id="rId2"/>
      <headerFooter alignWithMargins="0">
        <oddHeader>&amp;C&amp;"Bookman Old Style,Bold Italic"&amp;22Pipe Audit C1478
&amp;12Week Ending 7/07/2012</oddHeader>
        <oddFooter>&amp;L&amp;"Bookman Old Style,Regular"&amp;8&amp;F&amp;C&amp;"Bookman Old Style,Regular"&amp;8&amp;P of &amp;N&amp;R&amp;"Bookman Old Style,Regular"&amp;8Run Date: &amp;D @ &amp;T</oddFooter>
      </headerFooter>
    </customSheetView>
  </customSheetViews>
  <phoneticPr fontId="52" type="noConversion"/>
  <printOptions horizontalCentered="1"/>
  <pageMargins left="0.25" right="0.25" top="0.75" bottom="0.5" header="0.3" footer="0.3"/>
  <pageSetup scale="22" fitToHeight="0" orientation="landscape" r:id="rId3"/>
  <headerFooter alignWithMargins="0">
    <oddHeader xml:space="preserve">&amp;C&amp;16&amp;F
WEEK ENDING 
05.14.2022&amp;14
&amp;12
&amp;R&amp;14
</oddHeader>
    <oddFooter>&amp;L&amp;16P089 JOEL RUBY&amp;C&amp;"Bookman Old Style,Regular"&amp;P of &amp;N&amp;R&amp;"Bookman Old Style,Regular"Run Date: &amp;D @ &amp;T</oddFooter>
  </headerFooter>
  <colBreaks count="1" manualBreakCount="1">
    <brk id="5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>
    <tabColor indexed="10"/>
    <pageSetUpPr fitToPage="1"/>
  </sheetPr>
  <dimension ref="A1:W50"/>
  <sheetViews>
    <sheetView showZeros="0" zoomScale="81" zoomScaleNormal="81" workbookViewId="0">
      <pane xSplit="4" ySplit="4" topLeftCell="E5" activePane="bottomRight" state="frozen"/>
      <selection pane="topRight" activeCell="D1" sqref="D1"/>
      <selection pane="bottomLeft" activeCell="A5" sqref="A5"/>
      <selection pane="bottomRight" activeCell="A32" sqref="A32"/>
    </sheetView>
  </sheetViews>
  <sheetFormatPr defaultRowHeight="12.5" x14ac:dyDescent="0.25"/>
  <cols>
    <col min="1" max="1" width="49" customWidth="1"/>
    <col min="2" max="2" width="10.1796875" customWidth="1"/>
    <col min="3" max="3" width="7.6328125" bestFit="1" customWidth="1"/>
    <col min="4" max="4" width="8.1796875" bestFit="1" customWidth="1"/>
    <col min="5" max="5" width="14.6328125" customWidth="1"/>
    <col min="6" max="6" width="15.08984375" bestFit="1" customWidth="1"/>
    <col min="7" max="7" width="19.36328125" customWidth="1"/>
    <col min="8" max="8" width="16" bestFit="1" customWidth="1"/>
    <col min="9" max="9" width="12.90625" style="13" bestFit="1" customWidth="1"/>
    <col min="10" max="10" width="14.08984375" bestFit="1" customWidth="1"/>
    <col min="11" max="11" width="15.08984375" style="2" bestFit="1" customWidth="1"/>
    <col min="12" max="12" width="14.453125" style="2" bestFit="1" customWidth="1"/>
    <col min="13" max="13" width="9.90625" bestFit="1" customWidth="1"/>
    <col min="14" max="14" width="27.36328125" bestFit="1" customWidth="1"/>
    <col min="15" max="15" width="2.08984375" bestFit="1" customWidth="1"/>
    <col min="17" max="17" width="1.453125" bestFit="1" customWidth="1"/>
    <col min="18" max="18" width="10.08984375" bestFit="1" customWidth="1"/>
    <col min="19" max="19" width="17.6328125" bestFit="1" customWidth="1"/>
  </cols>
  <sheetData>
    <row r="1" spans="1:23" ht="41.25" customHeight="1" thickBot="1" x14ac:dyDescent="0.45">
      <c r="A1" s="145"/>
      <c r="B1" s="170"/>
      <c r="C1" s="171"/>
      <c r="D1" s="171"/>
      <c r="E1" s="486" t="s">
        <v>568</v>
      </c>
      <c r="F1" s="486"/>
      <c r="G1" s="486"/>
      <c r="H1" s="486"/>
      <c r="I1" s="486"/>
      <c r="J1" s="487"/>
      <c r="K1" s="472"/>
      <c r="L1" s="79"/>
    </row>
    <row r="2" spans="1:23" ht="12.75" customHeight="1" x14ac:dyDescent="0.25">
      <c r="A2" s="488" t="s">
        <v>800</v>
      </c>
      <c r="B2" s="490"/>
      <c r="C2" s="432"/>
      <c r="D2" s="3" t="s">
        <v>55</v>
      </c>
      <c r="E2" s="4" t="s">
        <v>56</v>
      </c>
      <c r="F2" s="494" t="s">
        <v>57</v>
      </c>
      <c r="G2" s="492" t="s">
        <v>58</v>
      </c>
      <c r="H2" s="496" t="s">
        <v>59</v>
      </c>
      <c r="I2" s="497" t="s">
        <v>56</v>
      </c>
      <c r="J2" s="498" t="s">
        <v>60</v>
      </c>
      <c r="K2" s="500" t="s">
        <v>53</v>
      </c>
      <c r="L2" s="501"/>
      <c r="M2" s="490"/>
    </row>
    <row r="3" spans="1:23" ht="24.75" customHeight="1" thickBot="1" x14ac:dyDescent="0.3">
      <c r="A3" s="489"/>
      <c r="B3" s="491"/>
      <c r="C3" s="432"/>
      <c r="D3" s="3" t="s">
        <v>42</v>
      </c>
      <c r="E3" s="4" t="s">
        <v>43</v>
      </c>
      <c r="F3" s="495"/>
      <c r="G3" s="493"/>
      <c r="H3" s="496"/>
      <c r="I3" s="497" t="s">
        <v>56</v>
      </c>
      <c r="J3" s="499" t="s">
        <v>60</v>
      </c>
      <c r="K3" s="502"/>
      <c r="L3" s="503"/>
      <c r="M3" s="491"/>
    </row>
    <row r="4" spans="1:23" ht="30.75" customHeight="1" thickBot="1" x14ac:dyDescent="0.35">
      <c r="A4" s="238"/>
      <c r="B4" s="239"/>
      <c r="C4" s="18"/>
      <c r="D4" s="18"/>
      <c r="E4" s="18"/>
      <c r="F4" s="18"/>
      <c r="G4" s="18"/>
      <c r="H4" s="18"/>
      <c r="I4" s="19"/>
      <c r="J4" s="20"/>
      <c r="K4" s="21"/>
      <c r="L4" s="68"/>
      <c r="M4" s="18"/>
    </row>
    <row r="5" spans="1:23" ht="21.75" customHeight="1" thickTop="1" x14ac:dyDescent="0.4">
      <c r="A5" s="241" t="s">
        <v>44</v>
      </c>
      <c r="B5" s="242">
        <v>8111</v>
      </c>
      <c r="C5" s="431" t="s">
        <v>539</v>
      </c>
      <c r="D5" s="237" t="e">
        <f t="shared" ref="D5:D20" si="0">F5/E5</f>
        <v>#DIV/0!</v>
      </c>
      <c r="E5" s="17">
        <f>SUMIF('Pipe Audit'!$F$3:$F$82,$B5,'Pipe Audit'!$K$3:$K$82)+SUMIF('Pipe Audit'!$F$3:$F$82,$C5,'Pipe Audit'!$K$3:$K$82)</f>
        <v>0</v>
      </c>
      <c r="F5" s="22">
        <f>SUMIF('Pipe Audit'!$F$3:$F$82,$B5,'Pipe Audit'!$L$3:$L$82)+SUMIF('Pipe Audit'!$F$3:$F$82,$C5,'Pipe Audit'!$L$3:$L$82)</f>
        <v>0</v>
      </c>
      <c r="G5" s="24">
        <f>SUMIF('Pipe Audit'!$F$3:$F$82,$B5,'Pipe Audit'!$O$3:$O$82)+SUMIF('Pipe Audit'!$F$3:$F$82,$C5,'Pipe Audit'!$O$3:$O$82)</f>
        <v>0</v>
      </c>
      <c r="H5" s="23">
        <f>SUMIF('Pipe Audit'!$F$3:$F$82,$B5,'Pipe Audit'!$P$3:$P$82)+SUMIF('Pipe Audit'!$F$3:$F$82,$C5,'Pipe Audit'!$P$3:$P$82)</f>
        <v>0</v>
      </c>
      <c r="I5" s="141">
        <v>0</v>
      </c>
      <c r="J5" s="29">
        <f t="shared" ref="J5:J22" si="1">SUM(H5-I5)</f>
        <v>0</v>
      </c>
      <c r="K5" s="174">
        <v>0</v>
      </c>
      <c r="L5" s="175">
        <f>SUM(H5-K5)</f>
        <v>0</v>
      </c>
      <c r="M5" s="16">
        <v>8111</v>
      </c>
      <c r="N5" s="74"/>
      <c r="P5" s="13"/>
      <c r="R5" s="13"/>
      <c r="S5" s="13"/>
      <c r="T5" s="13"/>
    </row>
    <row r="6" spans="1:23" ht="21.75" customHeight="1" x14ac:dyDescent="0.4">
      <c r="A6" s="5" t="s">
        <v>45</v>
      </c>
      <c r="B6" s="243">
        <v>8112</v>
      </c>
      <c r="C6" s="431" t="s">
        <v>540</v>
      </c>
      <c r="D6" s="237" t="e">
        <f t="shared" si="0"/>
        <v>#DIV/0!</v>
      </c>
      <c r="E6" s="17">
        <f>SUMIF('Pipe Audit'!$F$3:$F$82,$B6,'Pipe Audit'!$K$3:$K$82)+SUMIF('Pipe Audit'!$F$3:$F$82,$C6,'Pipe Audit'!$K$3:$K$82)</f>
        <v>0</v>
      </c>
      <c r="F6" s="22">
        <f>SUMIF('Pipe Audit'!$F$3:$F$82,$B6,'Pipe Audit'!$L$3:$L$82)+SUMIF('Pipe Audit'!$F$3:$F$82,$C6,'Pipe Audit'!$L$3:$L$82)</f>
        <v>0</v>
      </c>
      <c r="G6" s="24">
        <f>SUMIF('Pipe Audit'!$F$3:$F$82,$B6,'Pipe Audit'!$O$3:$O$82)+SUMIF('Pipe Audit'!$F$3:$F$82,$C6,'Pipe Audit'!$O$3:$O$82)</f>
        <v>0</v>
      </c>
      <c r="H6" s="23">
        <f>SUMIF('Pipe Audit'!$F$3:$F$82,$B6,'Pipe Audit'!$P$3:$P$82)+SUMIF('Pipe Audit'!$F$3:$F$82,$C6,'Pipe Audit'!$P$3:$P$82)</f>
        <v>0</v>
      </c>
      <c r="I6" s="141">
        <v>0</v>
      </c>
      <c r="J6" s="29">
        <f>SUM(H6-I6)</f>
        <v>0</v>
      </c>
      <c r="K6" s="174">
        <v>0</v>
      </c>
      <c r="L6" s="175">
        <f t="shared" ref="L6:L22" si="2">SUM(H6-K6)</f>
        <v>0</v>
      </c>
      <c r="M6" s="6">
        <v>8112</v>
      </c>
      <c r="N6" s="74"/>
      <c r="P6" s="13"/>
      <c r="R6" s="13"/>
      <c r="S6" s="13"/>
      <c r="T6" s="13"/>
    </row>
    <row r="7" spans="1:23" ht="21.75" customHeight="1" x14ac:dyDescent="0.4">
      <c r="A7" s="5" t="s">
        <v>46</v>
      </c>
      <c r="B7" s="243">
        <v>8113</v>
      </c>
      <c r="C7" s="431" t="s">
        <v>541</v>
      </c>
      <c r="D7" s="237" t="e">
        <f t="shared" si="0"/>
        <v>#DIV/0!</v>
      </c>
      <c r="E7" s="17">
        <f>SUMIF('Pipe Audit'!$F$3:$F$82,$B7,'Pipe Audit'!$K$3:$K$82)+SUMIF('Pipe Audit'!$F$3:$F$82,$C7,'Pipe Audit'!$K$3:$K$82)</f>
        <v>0</v>
      </c>
      <c r="F7" s="22">
        <f>SUMIF('Pipe Audit'!$F$3:$F$82,$B7,'Pipe Audit'!$L$3:$L$82)+SUMIF('Pipe Audit'!$F$3:$F$82,$C7,'Pipe Audit'!$L$3:$L$82)</f>
        <v>0</v>
      </c>
      <c r="G7" s="24">
        <f>SUMIF('Pipe Audit'!$F$3:$F$82,$B7,'Pipe Audit'!$O$3:$O$82)+SUMIF('Pipe Audit'!$F$3:$F$82,$C7,'Pipe Audit'!$O$3:$O$82)</f>
        <v>0</v>
      </c>
      <c r="H7" s="23">
        <f>SUMIF('Pipe Audit'!$F$3:$F$82,$B7,'Pipe Audit'!$P$3:$P$82)+SUMIF('Pipe Audit'!$F$3:$F$82,$C7,'Pipe Audit'!$P$3:$P$82)</f>
        <v>0</v>
      </c>
      <c r="I7" s="141">
        <v>0</v>
      </c>
      <c r="J7" s="29">
        <f t="shared" si="1"/>
        <v>0</v>
      </c>
      <c r="K7" s="174">
        <v>0</v>
      </c>
      <c r="L7" s="175">
        <f t="shared" si="2"/>
        <v>0</v>
      </c>
      <c r="M7" s="6">
        <v>8113</v>
      </c>
      <c r="N7" s="74"/>
      <c r="P7" s="13"/>
      <c r="R7" s="392"/>
      <c r="S7" s="13"/>
      <c r="T7" s="13"/>
    </row>
    <row r="8" spans="1:23" ht="21.75" customHeight="1" x14ac:dyDescent="0.4">
      <c r="A8" s="5" t="s">
        <v>47</v>
      </c>
      <c r="B8" s="243">
        <v>8121</v>
      </c>
      <c r="C8" s="431" t="s">
        <v>542</v>
      </c>
      <c r="D8" s="237" t="e">
        <f t="shared" si="0"/>
        <v>#DIV/0!</v>
      </c>
      <c r="E8" s="17">
        <f>SUMIF('Pipe Audit'!$F$3:$F$82,$B8,'Pipe Audit'!$K$3:$K$82)+SUMIF('Pipe Audit'!$F$3:$F$82,$C8,'Pipe Audit'!$K$3:$K$82)</f>
        <v>0</v>
      </c>
      <c r="F8" s="22">
        <f>SUMIF('Pipe Audit'!$F$3:$F$82,$B8,'Pipe Audit'!$L$3:$L$82)+SUMIF('Pipe Audit'!$F$3:$F$82,$C8,'Pipe Audit'!$L$3:$L$82)</f>
        <v>0</v>
      </c>
      <c r="G8" s="24">
        <f>SUMIF('Pipe Audit'!$F$3:$F$82,$B8,'Pipe Audit'!$O$3:$O$82)+SUMIF('Pipe Audit'!$F$3:$F$82,$C8,'Pipe Audit'!$O$3:$O$82)</f>
        <v>0</v>
      </c>
      <c r="H8" s="23">
        <f>SUMIF('Pipe Audit'!$F$3:$F$82,$B8,'Pipe Audit'!$P$3:$P$82)+SUMIF('Pipe Audit'!$F$3:$F$82,$C8,'Pipe Audit'!$P$3:$P$82)</f>
        <v>0</v>
      </c>
      <c r="I8" s="141">
        <v>0</v>
      </c>
      <c r="J8" s="29">
        <f t="shared" si="1"/>
        <v>0</v>
      </c>
      <c r="K8" s="174">
        <v>0</v>
      </c>
      <c r="L8" s="175">
        <f t="shared" si="2"/>
        <v>0</v>
      </c>
      <c r="M8" s="6">
        <v>8121</v>
      </c>
      <c r="N8" s="74"/>
      <c r="P8" s="13"/>
      <c r="R8" s="13"/>
    </row>
    <row r="9" spans="1:23" ht="21.75" customHeight="1" x14ac:dyDescent="0.4">
      <c r="A9" s="5" t="s">
        <v>48</v>
      </c>
      <c r="B9" s="243">
        <v>8122</v>
      </c>
      <c r="C9" s="243" t="s">
        <v>543</v>
      </c>
      <c r="D9" s="237" t="e">
        <f t="shared" si="0"/>
        <v>#DIV/0!</v>
      </c>
      <c r="E9" s="17">
        <f>SUMIF('Pipe Audit'!$F$3:$F$82,$B9,'Pipe Audit'!$K$3:$K$82)+SUMIF('Pipe Audit'!$F$3:$F$82,$C9,'Pipe Audit'!$K$3:$K$82)</f>
        <v>0</v>
      </c>
      <c r="F9" s="22">
        <f>SUMIF('Pipe Audit'!$F$3:$F$82,$B9,'Pipe Audit'!$L$3:$L$82)+SUMIF('Pipe Audit'!$F$3:$F$82,$C9,'Pipe Audit'!$L$3:$L$82)</f>
        <v>0</v>
      </c>
      <c r="G9" s="24">
        <f>SUMIF('Pipe Audit'!$F$3:$F$82,$B9,'Pipe Audit'!$O$3:$O$82)+SUMIF('Pipe Audit'!$F$3:$F$82,$C9,'Pipe Audit'!$O$3:$O$82)</f>
        <v>0</v>
      </c>
      <c r="H9" s="23">
        <f>SUMIF('Pipe Audit'!$F$3:$F$82,$B9,'Pipe Audit'!$P$3:$P$82)+SUMIF('Pipe Audit'!$F$3:$F$82,$C9,'Pipe Audit'!$P$3:$P$82)</f>
        <v>0</v>
      </c>
      <c r="I9" s="141">
        <v>0</v>
      </c>
      <c r="J9" s="29">
        <f t="shared" si="1"/>
        <v>0</v>
      </c>
      <c r="K9" s="174">
        <v>0</v>
      </c>
      <c r="L9" s="175">
        <f t="shared" si="2"/>
        <v>0</v>
      </c>
      <c r="M9" s="6">
        <v>8122</v>
      </c>
      <c r="N9" s="74"/>
      <c r="P9" s="13"/>
      <c r="R9" s="13"/>
      <c r="S9" s="13"/>
    </row>
    <row r="10" spans="1:23" ht="21.75" customHeight="1" x14ac:dyDescent="0.4">
      <c r="A10" s="5" t="s">
        <v>49</v>
      </c>
      <c r="B10" s="243">
        <v>8123</v>
      </c>
      <c r="C10" s="243" t="s">
        <v>544</v>
      </c>
      <c r="D10" s="237" t="e">
        <f t="shared" si="0"/>
        <v>#DIV/0!</v>
      </c>
      <c r="E10" s="17">
        <f>SUMIF('Pipe Audit'!$F$3:$F$82,$B10,'Pipe Audit'!$K$3:$K$82)+SUMIF('Pipe Audit'!$F$3:$F$82,$C10,'Pipe Audit'!$K$3:$K$82)</f>
        <v>0</v>
      </c>
      <c r="F10" s="22">
        <f>SUMIF('Pipe Audit'!$F$3:$F$82,$B10,'Pipe Audit'!$L$3:$L$82)+SUMIF('Pipe Audit'!$F$3:$F$82,$C10,'Pipe Audit'!$L$3:$L$82)</f>
        <v>0</v>
      </c>
      <c r="G10" s="24">
        <f>SUMIF('Pipe Audit'!$F$3:$F$82,$B10,'Pipe Audit'!$O$3:$O$82)+SUMIF('Pipe Audit'!$F$3:$F$82,$C10,'Pipe Audit'!$O$3:$O$82)</f>
        <v>0</v>
      </c>
      <c r="H10" s="23">
        <f>SUMIF('Pipe Audit'!$F$3:$F$82,$B10,'Pipe Audit'!$P$3:$P$82)+SUMIF('Pipe Audit'!$F$3:$F$82,$C10,'Pipe Audit'!$P$3:$P$82)</f>
        <v>0</v>
      </c>
      <c r="I10" s="141">
        <v>0</v>
      </c>
      <c r="J10" s="29">
        <f t="shared" si="1"/>
        <v>0</v>
      </c>
      <c r="K10" s="174">
        <v>0</v>
      </c>
      <c r="L10" s="175">
        <f t="shared" si="2"/>
        <v>0</v>
      </c>
      <c r="M10" s="6">
        <v>8123</v>
      </c>
      <c r="N10" s="74"/>
      <c r="P10" s="13"/>
      <c r="R10" s="13"/>
    </row>
    <row r="11" spans="1:23" ht="20.25" customHeight="1" x14ac:dyDescent="0.4">
      <c r="A11" s="5" t="s">
        <v>50</v>
      </c>
      <c r="B11" s="243">
        <v>8211</v>
      </c>
      <c r="C11" s="243" t="s">
        <v>545</v>
      </c>
      <c r="D11" s="237">
        <f t="shared" si="0"/>
        <v>0</v>
      </c>
      <c r="E11" s="17">
        <f>SUMIF('Pipe Audit'!$F$3:$F$82,$B11,'Pipe Audit'!$K$3:$K$82)+SUMIF('Pipe Audit'!$F$3:$F$82,$C11,'Pipe Audit'!$K$3:$K$82)</f>
        <v>1885</v>
      </c>
      <c r="F11" s="22">
        <f>SUMIF('Pipe Audit'!$F$3:$F$82,$B11,'Pipe Audit'!$L$3:$L$82)+SUMIF('Pipe Audit'!$F$3:$F$82,$C11,'Pipe Audit'!$L$3:$L$82)</f>
        <v>0</v>
      </c>
      <c r="G11" s="24" t="e">
        <f>SUMIF('Pipe Audit'!$F$3:$F$82,$B11,'Pipe Audit'!$O$3:$O$82)+SUMIF('Pipe Audit'!$F$3:$F$82,$C11,'Pipe Audit'!$O$3:$O$82)</f>
        <v>#DIV/0!</v>
      </c>
      <c r="H11" s="23">
        <f>SUMIF('Pipe Audit'!$F$3:$F$82,$B11,'Pipe Audit'!$P$3:$P$82)+SUMIF('Pipe Audit'!$F$3:$F$82,$C11,'Pipe Audit'!$P$3:$P$82)</f>
        <v>0</v>
      </c>
      <c r="I11" s="141">
        <v>0</v>
      </c>
      <c r="J11" s="29">
        <f t="shared" si="1"/>
        <v>0</v>
      </c>
      <c r="K11" s="174">
        <v>0</v>
      </c>
      <c r="L11" s="175">
        <f t="shared" si="2"/>
        <v>0</v>
      </c>
      <c r="M11" s="6">
        <v>8211</v>
      </c>
      <c r="N11" s="74"/>
      <c r="P11" s="13"/>
      <c r="R11" s="13"/>
      <c r="S11" s="13"/>
      <c r="T11" s="13"/>
    </row>
    <row r="12" spans="1:23" ht="21.75" customHeight="1" x14ac:dyDescent="0.4">
      <c r="A12" s="5" t="s">
        <v>51</v>
      </c>
      <c r="B12" s="243">
        <v>8212</v>
      </c>
      <c r="C12" s="243" t="s">
        <v>546</v>
      </c>
      <c r="D12" s="237">
        <f t="shared" si="0"/>
        <v>0</v>
      </c>
      <c r="E12" s="17">
        <f>SUMIF('Pipe Audit'!$F$3:$F$82,$B12,'Pipe Audit'!$K$3:$K$82)+SUMIF('Pipe Audit'!$F$3:$F$82,$C12,'Pipe Audit'!$K$3:$K$82)</f>
        <v>1795</v>
      </c>
      <c r="F12" s="22">
        <f>SUMIF('Pipe Audit'!$F$3:$F$82,$B12,'Pipe Audit'!$L$3:$L$82)+SUMIF('Pipe Audit'!$F$3:$F$82,$C12,'Pipe Audit'!$L$3:$L$82)</f>
        <v>0</v>
      </c>
      <c r="G12" s="24" t="e">
        <f>SUMIF('Pipe Audit'!$F$3:$F$82,$B12,'Pipe Audit'!$O$3:$O$82)+SUMIF('Pipe Audit'!$F$3:$F$82,$C12,'Pipe Audit'!$O$3:$O$82)</f>
        <v>#DIV/0!</v>
      </c>
      <c r="H12" s="23">
        <f>SUMIF('Pipe Audit'!$F$3:$F$82,$B12,'Pipe Audit'!$P$3:$P$82)+SUMIF('Pipe Audit'!$F$3:$F$82,$C12,'Pipe Audit'!$P$3:$P$82)</f>
        <v>0</v>
      </c>
      <c r="I12" s="141">
        <v>0</v>
      </c>
      <c r="J12" s="29">
        <f t="shared" si="1"/>
        <v>0</v>
      </c>
      <c r="K12" s="174">
        <v>0</v>
      </c>
      <c r="L12" s="175">
        <f t="shared" si="2"/>
        <v>0</v>
      </c>
      <c r="M12" s="6">
        <v>8212</v>
      </c>
      <c r="N12" s="74"/>
      <c r="P12" s="13"/>
      <c r="R12" s="13"/>
      <c r="S12" s="13"/>
      <c r="T12" s="13"/>
    </row>
    <row r="13" spans="1:23" ht="21.75" customHeight="1" x14ac:dyDescent="0.4">
      <c r="A13" s="5" t="s">
        <v>28</v>
      </c>
      <c r="B13" s="243">
        <v>8213</v>
      </c>
      <c r="C13" s="243" t="s">
        <v>547</v>
      </c>
      <c r="D13" s="237" t="e">
        <f t="shared" si="0"/>
        <v>#DIV/0!</v>
      </c>
      <c r="E13" s="17">
        <f>SUMIF('Pipe Audit'!$F$3:$F$82,$B13,'Pipe Audit'!$K$3:$K$82)+SUMIF('Pipe Audit'!$F$3:$F$82,$C13,'Pipe Audit'!$K$3:$K$82)</f>
        <v>0</v>
      </c>
      <c r="F13" s="22">
        <f>SUMIF('Pipe Audit'!$F$3:$F$82,$B13,'Pipe Audit'!$L$3:$L$82)+SUMIF('Pipe Audit'!$F$3:$F$82,$C13,'Pipe Audit'!$L$3:$L$82)</f>
        <v>0</v>
      </c>
      <c r="G13" s="24">
        <f>SUMIF('Pipe Audit'!$F$3:$F$82,$B13,'Pipe Audit'!$O$3:$O$82)+SUMIF('Pipe Audit'!$F$3:$F$82,$C13,'Pipe Audit'!$O$3:$O$82)</f>
        <v>0</v>
      </c>
      <c r="H13" s="23">
        <f>SUMIF('Pipe Audit'!$F$3:$F$82,$B13,'Pipe Audit'!$P$3:$P$82)+SUMIF('Pipe Audit'!$F$3:$F$82,$C13,'Pipe Audit'!$P$3:$P$82)</f>
        <v>0</v>
      </c>
      <c r="I13" s="141">
        <v>0</v>
      </c>
      <c r="J13" s="29">
        <f t="shared" si="1"/>
        <v>0</v>
      </c>
      <c r="K13" s="174">
        <v>0</v>
      </c>
      <c r="L13" s="175">
        <f t="shared" si="2"/>
        <v>0</v>
      </c>
      <c r="M13" s="6">
        <v>8213</v>
      </c>
      <c r="N13" s="74"/>
      <c r="P13" s="13"/>
      <c r="R13" s="13"/>
      <c r="S13" s="13"/>
      <c r="W13" s="335"/>
    </row>
    <row r="14" spans="1:23" ht="21.75" customHeight="1" x14ac:dyDescent="0.4">
      <c r="A14" s="5" t="s">
        <v>29</v>
      </c>
      <c r="B14" s="243">
        <v>8221</v>
      </c>
      <c r="C14" s="243" t="s">
        <v>548</v>
      </c>
      <c r="D14" s="237" t="e">
        <f t="shared" si="0"/>
        <v>#DIV/0!</v>
      </c>
      <c r="E14" s="17">
        <f>SUMIF('Pipe Audit'!$F$3:$F$82,$B14,'Pipe Audit'!$K$3:$K$82)+SUMIF('Pipe Audit'!$F$3:$F$82,$C14,'Pipe Audit'!$K$3:$K$82)</f>
        <v>0</v>
      </c>
      <c r="F14" s="22">
        <f>SUMIF('Pipe Audit'!$F$3:$F$82,$B14,'Pipe Audit'!$L$3:$L$82)+SUMIF('Pipe Audit'!$F$3:$F$82,$C14,'Pipe Audit'!$L$3:$L$82)</f>
        <v>0</v>
      </c>
      <c r="G14" s="24">
        <f>SUMIF('Pipe Audit'!$F$3:$F$82,$B14,'Pipe Audit'!$O$3:$O$82)+SUMIF('Pipe Audit'!$F$3:$F$82,$C14,'Pipe Audit'!$O$3:$O$82)</f>
        <v>0</v>
      </c>
      <c r="H14" s="23">
        <f>SUMIF('Pipe Audit'!$F$3:$F$82,$B14,'Pipe Audit'!$P$3:$P$82)+SUMIF('Pipe Audit'!$F$3:$F$82,$C14,'Pipe Audit'!$P$3:$P$82)</f>
        <v>0</v>
      </c>
      <c r="I14" s="141">
        <v>0</v>
      </c>
      <c r="J14" s="29">
        <f t="shared" si="1"/>
        <v>0</v>
      </c>
      <c r="K14" s="174">
        <v>0</v>
      </c>
      <c r="L14" s="175">
        <f t="shared" si="2"/>
        <v>0</v>
      </c>
      <c r="M14" s="6">
        <v>8221</v>
      </c>
      <c r="N14" s="74"/>
      <c r="P14" s="13"/>
      <c r="R14" s="13"/>
    </row>
    <row r="15" spans="1:23" ht="21.75" customHeight="1" x14ac:dyDescent="0.4">
      <c r="A15" s="5" t="s">
        <v>30</v>
      </c>
      <c r="B15" s="243">
        <v>8222</v>
      </c>
      <c r="C15" s="243" t="s">
        <v>549</v>
      </c>
      <c r="D15" s="237" t="e">
        <f t="shared" si="0"/>
        <v>#DIV/0!</v>
      </c>
      <c r="E15" s="17">
        <f>SUMIF('Pipe Audit'!$F$3:$F$82,$B15,'Pipe Audit'!$K$3:$K$82)+SUMIF('Pipe Audit'!$F$3:$F$82,$C15,'Pipe Audit'!$K$3:$K$82)</f>
        <v>0</v>
      </c>
      <c r="F15" s="22">
        <f>SUMIF('Pipe Audit'!$F$3:$F$82,$B15,'Pipe Audit'!$L$3:$L$82)+SUMIF('Pipe Audit'!$F$3:$F$82,$C15,'Pipe Audit'!$L$3:$L$82)</f>
        <v>0</v>
      </c>
      <c r="G15" s="24">
        <f>SUMIF('Pipe Audit'!$F$3:$F$82,$B15,'Pipe Audit'!$O$3:$O$82)+SUMIF('Pipe Audit'!$F$3:$F$82,$C15,'Pipe Audit'!$O$3:$O$82)</f>
        <v>0</v>
      </c>
      <c r="H15" s="23">
        <f>SUMIF('Pipe Audit'!$F$3:$F$82,$B15,'Pipe Audit'!$P$3:$P$82)+SUMIF('Pipe Audit'!$F$3:$F$82,$C15,'Pipe Audit'!$P$3:$P$82)</f>
        <v>0</v>
      </c>
      <c r="I15" s="141">
        <v>0</v>
      </c>
      <c r="J15" s="29">
        <f t="shared" si="1"/>
        <v>0</v>
      </c>
      <c r="K15" s="174">
        <v>0</v>
      </c>
      <c r="L15" s="175">
        <f>SUM(H15-K15)</f>
        <v>0</v>
      </c>
      <c r="M15" s="6">
        <v>8222</v>
      </c>
      <c r="N15" s="74"/>
      <c r="P15" s="13"/>
      <c r="Q15" s="75"/>
      <c r="R15" s="13"/>
      <c r="S15" s="13"/>
    </row>
    <row r="16" spans="1:23" ht="21.75" customHeight="1" x14ac:dyDescent="0.4">
      <c r="A16" s="5" t="s">
        <v>236</v>
      </c>
      <c r="B16" s="243">
        <v>8223</v>
      </c>
      <c r="C16" s="243" t="s">
        <v>550</v>
      </c>
      <c r="D16" s="237" t="e">
        <f t="shared" si="0"/>
        <v>#DIV/0!</v>
      </c>
      <c r="E16" s="17">
        <f>SUMIF('Pipe Audit'!$F$3:$F$82,$B16,'Pipe Audit'!$K$3:$K$82)+SUMIF('Pipe Audit'!$F$3:$F$82,$C16,'Pipe Audit'!$K$3:$K$82)</f>
        <v>0</v>
      </c>
      <c r="F16" s="22">
        <f>SUMIF('Pipe Audit'!$F$3:$F$82,$B16,'Pipe Audit'!$L$3:$L$82)+SUMIF('Pipe Audit'!$F$3:$F$82,$C16,'Pipe Audit'!$L$3:$L$82)</f>
        <v>0</v>
      </c>
      <c r="G16" s="24">
        <f>SUMIF('Pipe Audit'!$F$3:$F$82,$B16,'Pipe Audit'!$O$3:$O$82)+SUMIF('Pipe Audit'!$F$3:$F$82,$C16,'Pipe Audit'!$O$3:$O$82)</f>
        <v>0</v>
      </c>
      <c r="H16" s="23">
        <f>SUMIF('Pipe Audit'!$F$3:$F$82,$B16,'Pipe Audit'!$P$3:$P$82)+SUMIF('Pipe Audit'!$F$3:$F$82,$C16,'Pipe Audit'!$P$3:$P$82)</f>
        <v>0</v>
      </c>
      <c r="I16" s="141">
        <v>0</v>
      </c>
      <c r="J16" s="29">
        <f>SUM(H16-I16)</f>
        <v>0</v>
      </c>
      <c r="K16" s="174">
        <v>0</v>
      </c>
      <c r="L16" s="175">
        <f>SUM(H16-K16)</f>
        <v>0</v>
      </c>
      <c r="M16" s="6">
        <v>8223</v>
      </c>
      <c r="N16" s="74"/>
      <c r="P16" s="13"/>
      <c r="Q16" s="75"/>
      <c r="R16" s="13"/>
    </row>
    <row r="17" spans="1:19" ht="21.75" customHeight="1" x14ac:dyDescent="0.4">
      <c r="A17" s="5" t="s">
        <v>237</v>
      </c>
      <c r="B17" s="243">
        <v>8231</v>
      </c>
      <c r="C17" s="243" t="s">
        <v>551</v>
      </c>
      <c r="D17" s="237" t="e">
        <f t="shared" si="0"/>
        <v>#DIV/0!</v>
      </c>
      <c r="E17" s="17">
        <f>SUMIF('Pipe Audit'!$F$3:$F$82,$B17,'Pipe Audit'!$K$3:$K$82)+SUMIF('Pipe Audit'!$F$3:$F$82,$C17,'Pipe Audit'!$K$3:$K$82)</f>
        <v>0</v>
      </c>
      <c r="F17" s="22">
        <f>SUMIF('Pipe Audit'!$F$3:$F$82,$B17,'Pipe Audit'!$L$3:$L$82)+SUMIF('Pipe Audit'!$F$3:$F$82,$C17,'Pipe Audit'!$L$3:$L$82)</f>
        <v>0</v>
      </c>
      <c r="G17" s="24">
        <f>SUMIF('Pipe Audit'!$F$3:$F$82,$B17,'Pipe Audit'!$O$3:$O$82)+SUMIF('Pipe Audit'!$F$3:$F$82,$C17,'Pipe Audit'!$O$3:$O$82)</f>
        <v>0</v>
      </c>
      <c r="H17" s="23">
        <f>SUMIF('Pipe Audit'!$F$3:$F$82,$B17,'Pipe Audit'!$P$3:$P$82)+SUMIF('Pipe Audit'!$F$3:$F$82,$C17,'Pipe Audit'!$P$3:$P$82)</f>
        <v>0</v>
      </c>
      <c r="I17" s="141">
        <v>0</v>
      </c>
      <c r="J17" s="29">
        <f>SUM(H17-I17)</f>
        <v>0</v>
      </c>
      <c r="K17" s="174">
        <v>0</v>
      </c>
      <c r="L17" s="175">
        <f>SUM(H17-K17)</f>
        <v>0</v>
      </c>
      <c r="M17" s="6">
        <v>8231</v>
      </c>
      <c r="N17" s="74"/>
      <c r="P17" s="13"/>
      <c r="R17" s="13"/>
    </row>
    <row r="18" spans="1:19" ht="21.75" customHeight="1" x14ac:dyDescent="0.4">
      <c r="A18" s="5" t="s">
        <v>121</v>
      </c>
      <c r="B18" s="243">
        <v>8310</v>
      </c>
      <c r="C18" s="243" t="s">
        <v>552</v>
      </c>
      <c r="D18" s="237" t="e">
        <f t="shared" si="0"/>
        <v>#DIV/0!</v>
      </c>
      <c r="E18" s="17">
        <f>SUMIF('Pipe Audit'!$F$3:$F$82,$B18,'Pipe Audit'!$K$3:$K$82)+SUMIF('Pipe Audit'!$F$3:$F$82,$C18,'Pipe Audit'!$K$3:$K$82)</f>
        <v>0</v>
      </c>
      <c r="F18" s="22">
        <f>SUMIF('Pipe Audit'!$F$3:$F$82,$B18,'Pipe Audit'!$L$3:$L$82)+SUMIF('Pipe Audit'!$F$3:$F$82,$C18,'Pipe Audit'!$L$3:$L$82)</f>
        <v>0</v>
      </c>
      <c r="G18" s="24">
        <f>SUMIF('Pipe Audit'!$F$3:$F$82,$B18,'Pipe Audit'!$O$3:$O$82)+SUMIF('Pipe Audit'!$F$3:$F$82,$C18,'Pipe Audit'!$O$3:$O$82)</f>
        <v>0</v>
      </c>
      <c r="H18" s="23">
        <f>SUMIF('Pipe Audit'!$F$3:$F$82,$B18,'Pipe Audit'!$P$3:$P$82)+SUMIF('Pipe Audit'!$F$3:$F$82,$C18,'Pipe Audit'!$P$3:$P$82)</f>
        <v>0</v>
      </c>
      <c r="I18" s="141">
        <v>0</v>
      </c>
      <c r="J18" s="29">
        <f>SUM(H18-I18)</f>
        <v>0</v>
      </c>
      <c r="K18" s="174">
        <v>0</v>
      </c>
      <c r="L18" s="175">
        <f t="shared" si="2"/>
        <v>0</v>
      </c>
      <c r="M18" s="6">
        <v>8310</v>
      </c>
      <c r="N18" s="74"/>
      <c r="P18" s="13"/>
      <c r="R18" s="13"/>
    </row>
    <row r="19" spans="1:19" ht="21.75" customHeight="1" x14ac:dyDescent="0.4">
      <c r="A19" s="5" t="s">
        <v>31</v>
      </c>
      <c r="B19" s="243">
        <v>8312</v>
      </c>
      <c r="C19" s="243" t="s">
        <v>553</v>
      </c>
      <c r="D19" s="237" t="e">
        <f t="shared" si="0"/>
        <v>#DIV/0!</v>
      </c>
      <c r="E19" s="17">
        <f>SUMIF('Pipe Audit'!$F$3:$F$82,$B19,'Pipe Audit'!$K$3:$K$82)+SUMIF('Pipe Audit'!$F$3:$F$82,$C19,'Pipe Audit'!$K$3:$K$82)</f>
        <v>0</v>
      </c>
      <c r="F19" s="22">
        <f>SUMIF('Pipe Audit'!$F$3:$F$82,$B19,'Pipe Audit'!$L$3:$L$82)+SUMIF('Pipe Audit'!$F$3:$F$82,$C19,'Pipe Audit'!$L$3:$L$82)</f>
        <v>0</v>
      </c>
      <c r="G19" s="24">
        <f>SUMIF('Pipe Audit'!$F$3:$F$82,$B19,'Pipe Audit'!$O$3:$O$82)+SUMIF('Pipe Audit'!$F$3:$F$82,$C19,'Pipe Audit'!$O$3:$O$82)</f>
        <v>0</v>
      </c>
      <c r="H19" s="23">
        <f>SUMIF('Pipe Audit'!$F$3:$F$82,$B19,'Pipe Audit'!$P$3:$P$82)+SUMIF('Pipe Audit'!$F$3:$F$82,$C19,'Pipe Audit'!$P$3:$P$82)</f>
        <v>0</v>
      </c>
      <c r="I19" s="141">
        <v>0</v>
      </c>
      <c r="J19" s="29">
        <f t="shared" si="1"/>
        <v>0</v>
      </c>
      <c r="K19" s="174">
        <v>0</v>
      </c>
      <c r="L19" s="175">
        <f t="shared" si="2"/>
        <v>0</v>
      </c>
      <c r="M19" s="6">
        <v>8312</v>
      </c>
      <c r="N19" s="74"/>
      <c r="P19" s="13"/>
      <c r="R19" s="13"/>
    </row>
    <row r="20" spans="1:19" ht="21.75" customHeight="1" x14ac:dyDescent="0.4">
      <c r="A20" s="5" t="s">
        <v>32</v>
      </c>
      <c r="B20" s="243">
        <v>8313</v>
      </c>
      <c r="C20" s="243" t="s">
        <v>554</v>
      </c>
      <c r="D20" s="237" t="e">
        <f t="shared" si="0"/>
        <v>#DIV/0!</v>
      </c>
      <c r="E20" s="17">
        <f>SUMIF('Pipe Audit'!$F$3:$F$82,$B20,'Pipe Audit'!$K$3:$K$82)+SUMIF('Pipe Audit'!$F$3:$F$82,$C20,'Pipe Audit'!$K$3:$K$82)</f>
        <v>0</v>
      </c>
      <c r="F20" s="22">
        <f>SUMIF('Pipe Audit'!$F$3:$F$82,$B20,'Pipe Audit'!$L$3:$L$82)+SUMIF('Pipe Audit'!$F$3:$F$82,$C20,'Pipe Audit'!$L$3:$L$82)</f>
        <v>0</v>
      </c>
      <c r="G20" s="24">
        <f>SUMIF('Pipe Audit'!$F$3:$F$82,$B20,'Pipe Audit'!$O$3:$O$82)+SUMIF('Pipe Audit'!$F$3:$F$82,$C20,'Pipe Audit'!$O$3:$O$82)</f>
        <v>0</v>
      </c>
      <c r="H20" s="23">
        <f>SUMIF('Pipe Audit'!$F$3:$F$82,$B20,'Pipe Audit'!$P$3:$P$82)+SUMIF('Pipe Audit'!$F$3:$F$82,$C20,'Pipe Audit'!$P$3:$P$82)</f>
        <v>0</v>
      </c>
      <c r="I20" s="141">
        <v>0</v>
      </c>
      <c r="J20" s="29">
        <f t="shared" si="1"/>
        <v>0</v>
      </c>
      <c r="K20" s="174">
        <v>0</v>
      </c>
      <c r="L20" s="175">
        <f t="shared" si="2"/>
        <v>0</v>
      </c>
      <c r="M20" s="6">
        <v>8313</v>
      </c>
      <c r="N20" s="74"/>
      <c r="P20" s="13"/>
      <c r="R20" s="13"/>
    </row>
    <row r="21" spans="1:19" ht="21.75" customHeight="1" thickBot="1" x14ac:dyDescent="0.45">
      <c r="A21" s="244" t="s">
        <v>285</v>
      </c>
      <c r="B21" s="245">
        <v>8500</v>
      </c>
      <c r="C21" s="245" t="s">
        <v>555</v>
      </c>
      <c r="D21" s="237" t="e">
        <f>F21/E21</f>
        <v>#DIV/0!</v>
      </c>
      <c r="E21" s="17">
        <f>SUMIF('Pipe Audit'!$F$3:$F$82,$B21,'Pipe Audit'!$K$3:$K$82)+SUMIF('Pipe Audit'!$F$3:$F$82,$C21,'Pipe Audit'!$K$3:$K$82)</f>
        <v>0</v>
      </c>
      <c r="F21" s="22">
        <f>SUMIF('Pipe Audit'!$F$3:$F$82,$B21,'Pipe Audit'!$L$3:$L$82)+SUMIF('Pipe Audit'!$F$3:$F$82,$C21,'Pipe Audit'!$L$3:$L$82)</f>
        <v>0</v>
      </c>
      <c r="G21" s="24">
        <f>SUMIF('Pipe Audit'!$F$3:$F$82,$B21,'Pipe Audit'!$O$3:$O$82)+SUMIF('Pipe Audit'!$F$3:$F$82,$C21,'Pipe Audit'!$O$3:$O$82)</f>
        <v>0</v>
      </c>
      <c r="H21" s="23">
        <f>SUMIF('Pipe Audit'!$F$3:$F$82,$B21,'Pipe Audit'!$P$3:$P$82)+SUMIF('Pipe Audit'!$F$3:$F$82,$C21,'Pipe Audit'!$P$3:$P$82)</f>
        <v>0</v>
      </c>
      <c r="I21" s="141">
        <v>0</v>
      </c>
      <c r="J21" s="29">
        <f t="shared" si="1"/>
        <v>0</v>
      </c>
      <c r="K21" s="174">
        <v>0</v>
      </c>
      <c r="L21" s="176">
        <f t="shared" si="2"/>
        <v>0</v>
      </c>
      <c r="M21" s="6">
        <v>8500</v>
      </c>
      <c r="N21" s="74"/>
      <c r="P21" s="13"/>
    </row>
    <row r="22" spans="1:19" ht="21.75" customHeight="1" thickBot="1" x14ac:dyDescent="0.45">
      <c r="A22" s="240" t="s">
        <v>529</v>
      </c>
      <c r="B22" s="16">
        <v>8000</v>
      </c>
      <c r="C22" s="16">
        <v>8000</v>
      </c>
      <c r="D22" s="7"/>
      <c r="E22" s="17">
        <f>SUMIF('Pipe Audit'!$F$3:$F$82,$B22,'Pipe Audit'!$K$3:$K$82)</f>
        <v>0</v>
      </c>
      <c r="F22" s="22">
        <f>SUMIF('Pipe Audit'!$F$3:$F$82,$B22,'Pipe Audit'!$L$3:$L$82)</f>
        <v>0</v>
      </c>
      <c r="G22" s="24">
        <f>SUMIF('Pipe Audit'!$F$3:$F$82,$B22,'Pipe Audit'!$O$3:$O$82)</f>
        <v>0</v>
      </c>
      <c r="H22" s="23"/>
      <c r="I22" s="141"/>
      <c r="J22" s="29">
        <f t="shared" si="1"/>
        <v>0</v>
      </c>
      <c r="K22" s="174">
        <v>0</v>
      </c>
      <c r="L22" s="176">
        <f t="shared" si="2"/>
        <v>0</v>
      </c>
      <c r="M22" s="6"/>
      <c r="N22" s="74"/>
      <c r="P22" s="13"/>
      <c r="S22" s="336"/>
    </row>
    <row r="23" spans="1:19" ht="35.25" customHeight="1" thickBot="1" x14ac:dyDescent="0.45">
      <c r="A23" s="121" t="s">
        <v>33</v>
      </c>
      <c r="B23" s="122" t="s">
        <v>34</v>
      </c>
      <c r="C23" s="123"/>
      <c r="D23" s="123">
        <f>F23/E23</f>
        <v>0</v>
      </c>
      <c r="E23" s="124">
        <f>SUM(E5:E22)</f>
        <v>3680</v>
      </c>
      <c r="F23" s="70">
        <f>SUM(F5:F22)</f>
        <v>0</v>
      </c>
      <c r="G23" s="69" t="e">
        <f>SUM(G5:G22)</f>
        <v>#DIV/0!</v>
      </c>
      <c r="H23" s="77">
        <f>SUM(H5:H22)</f>
        <v>0</v>
      </c>
      <c r="I23" s="69">
        <v>0</v>
      </c>
      <c r="J23" s="70">
        <f t="shared" ref="J23" si="3">SUM(J5:J22)</f>
        <v>0</v>
      </c>
      <c r="K23" s="177">
        <v>0</v>
      </c>
      <c r="L23" s="177">
        <f>SUM(L5:L22)</f>
        <v>0</v>
      </c>
      <c r="M23" s="154" t="s">
        <v>139</v>
      </c>
      <c r="N23" s="155" t="s">
        <v>140</v>
      </c>
    </row>
    <row r="24" spans="1:19" ht="27" customHeight="1" thickBot="1" x14ac:dyDescent="0.3">
      <c r="A24" s="1"/>
      <c r="B24" s="2"/>
      <c r="C24" s="2"/>
      <c r="D24" s="2"/>
      <c r="F24" s="8"/>
      <c r="G24" s="8"/>
      <c r="H24" s="8"/>
      <c r="I24" s="8"/>
      <c r="J24" s="9"/>
      <c r="M24" s="156"/>
      <c r="N24" s="157">
        <f>L23-M24</f>
        <v>0</v>
      </c>
    </row>
    <row r="25" spans="1:19" ht="14" x14ac:dyDescent="0.3">
      <c r="A25" s="1"/>
      <c r="B25" s="129" t="s">
        <v>74</v>
      </c>
      <c r="C25" s="2"/>
      <c r="D25" s="2"/>
      <c r="E25" s="130"/>
      <c r="F25" s="27"/>
      <c r="G25" s="131"/>
      <c r="H25" s="8"/>
      <c r="I25" s="132"/>
      <c r="J25" s="9"/>
      <c r="K25" s="8"/>
      <c r="L25" s="8"/>
    </row>
    <row r="26" spans="1:19" ht="65.25" customHeight="1" x14ac:dyDescent="0.6">
      <c r="A26" s="1"/>
      <c r="B26" s="72" t="s">
        <v>141</v>
      </c>
      <c r="C26" s="71"/>
      <c r="D26" s="71"/>
      <c r="E26" s="158" t="e">
        <f>H23/F23</f>
        <v>#DIV/0!</v>
      </c>
      <c r="F26" s="159" t="e">
        <f>K23/F23</f>
        <v>#DIV/0!</v>
      </c>
      <c r="G26" s="160" t="e">
        <f>E26-F26</f>
        <v>#DIV/0!</v>
      </c>
      <c r="H26" s="25" t="s">
        <v>35</v>
      </c>
      <c r="I26" s="26" t="s">
        <v>17</v>
      </c>
      <c r="J26" s="10" t="s">
        <v>18</v>
      </c>
      <c r="K26" s="15" t="s">
        <v>67</v>
      </c>
      <c r="L26" s="11" t="s">
        <v>52</v>
      </c>
      <c r="N26" s="335"/>
    </row>
    <row r="27" spans="1:19" ht="51.75" customHeight="1" x14ac:dyDescent="0.5">
      <c r="A27" s="1"/>
      <c r="B27" s="73"/>
      <c r="C27" s="162"/>
      <c r="D27" s="162"/>
      <c r="E27" s="161" t="e">
        <f>H23/D27</f>
        <v>#DIV/0!</v>
      </c>
      <c r="F27" s="159" t="e">
        <f>K23/D27</f>
        <v>#DIV/0!</v>
      </c>
      <c r="G27" s="63" t="e">
        <f>E27-F27</f>
        <v>#DIV/0!</v>
      </c>
      <c r="H27" s="8"/>
      <c r="I27" s="8"/>
      <c r="J27" s="9"/>
      <c r="L27" s="12"/>
      <c r="R27" s="13"/>
    </row>
    <row r="28" spans="1:19" x14ac:dyDescent="0.25">
      <c r="B28" s="2"/>
      <c r="C28" s="2"/>
      <c r="D28" s="2"/>
      <c r="E28" s="2"/>
      <c r="F28" s="2"/>
      <c r="G28" s="2"/>
      <c r="H28" s="8"/>
      <c r="I28" s="8"/>
      <c r="J28" s="9"/>
    </row>
    <row r="29" spans="1:19" x14ac:dyDescent="0.25">
      <c r="B29" s="2"/>
      <c r="C29" s="2"/>
      <c r="D29" s="2"/>
      <c r="E29" s="2"/>
      <c r="F29" s="2"/>
      <c r="G29" s="2"/>
      <c r="H29" s="8"/>
      <c r="I29" s="8"/>
      <c r="J29" s="9"/>
    </row>
    <row r="30" spans="1:19" x14ac:dyDescent="0.25">
      <c r="B30" s="2"/>
      <c r="C30" s="2"/>
      <c r="D30" s="2"/>
      <c r="E30" s="2"/>
      <c r="F30" s="2"/>
      <c r="G30" s="2"/>
      <c r="H30" s="8"/>
      <c r="I30" s="8"/>
      <c r="J30" s="9"/>
    </row>
    <row r="31" spans="1:19" x14ac:dyDescent="0.25">
      <c r="H31" s="8"/>
      <c r="I31" s="8"/>
      <c r="J31" s="9"/>
    </row>
    <row r="32" spans="1:19" x14ac:dyDescent="0.25">
      <c r="B32" s="75" t="s">
        <v>103</v>
      </c>
      <c r="H32" s="8"/>
      <c r="I32" s="8"/>
      <c r="J32" s="9"/>
    </row>
    <row r="33" spans="5:10" x14ac:dyDescent="0.25">
      <c r="H33" s="8"/>
      <c r="I33" s="8"/>
      <c r="J33" s="9"/>
    </row>
    <row r="34" spans="5:10" x14ac:dyDescent="0.25">
      <c r="H34" s="8"/>
      <c r="I34" s="8"/>
      <c r="J34" s="9"/>
    </row>
    <row r="35" spans="5:10" x14ac:dyDescent="0.25">
      <c r="E35" s="75" t="s">
        <v>103</v>
      </c>
      <c r="H35" s="8"/>
    </row>
    <row r="36" spans="5:10" x14ac:dyDescent="0.25">
      <c r="H36" s="8"/>
    </row>
    <row r="37" spans="5:10" x14ac:dyDescent="0.25">
      <c r="H37" s="8"/>
    </row>
    <row r="38" spans="5:10" x14ac:dyDescent="0.25">
      <c r="H38" s="8"/>
    </row>
    <row r="39" spans="5:10" x14ac:dyDescent="0.25">
      <c r="H39" s="8"/>
    </row>
    <row r="40" spans="5:10" x14ac:dyDescent="0.25">
      <c r="H40" s="8"/>
    </row>
    <row r="41" spans="5:10" ht="12" customHeight="1" x14ac:dyDescent="0.25">
      <c r="H41" s="8"/>
    </row>
    <row r="42" spans="5:10" x14ac:dyDescent="0.25">
      <c r="H42" s="8"/>
    </row>
    <row r="43" spans="5:10" x14ac:dyDescent="0.25">
      <c r="H43" s="8"/>
    </row>
    <row r="44" spans="5:10" x14ac:dyDescent="0.25">
      <c r="H44" s="8"/>
    </row>
    <row r="45" spans="5:10" x14ac:dyDescent="0.25">
      <c r="H45" s="8"/>
    </row>
    <row r="46" spans="5:10" x14ac:dyDescent="0.25">
      <c r="H46" s="8"/>
    </row>
    <row r="47" spans="5:10" x14ac:dyDescent="0.25">
      <c r="H47" s="8"/>
    </row>
    <row r="48" spans="5:10" x14ac:dyDescent="0.25">
      <c r="H48" s="8"/>
    </row>
    <row r="49" spans="8:8" x14ac:dyDescent="0.25">
      <c r="H49" s="8"/>
    </row>
    <row r="50" spans="8:8" x14ac:dyDescent="0.25">
      <c r="H50" s="8"/>
    </row>
  </sheetData>
  <sortState xmlns:xlrd2="http://schemas.microsoft.com/office/spreadsheetml/2017/richdata2" ref="A5:Q21">
    <sortCondition ref="B5:B21"/>
  </sortState>
  <customSheetViews>
    <customSheetView guid="{D05407CA-A4E5-464E-9CB8-5A451EF2790E}" scale="90" showPageBreaks="1" zeroValues="0" printArea="1" hiddenColumns="1">
      <pageMargins left="0.75" right="0.75" top="1.65" bottom="1" header="0.44" footer="0.5"/>
      <printOptions horizontalCentered="1"/>
      <pageSetup scale="70" orientation="landscape" r:id="rId1"/>
      <headerFooter alignWithMargins="0">
        <oddHeader>&amp;C&amp;"Arial,Bold"&amp;28DAILYEARNED HOUR REPORTFOR WEEK ENDING &amp;R&amp;D&amp;T</oddHeader>
      </headerFooter>
    </customSheetView>
    <customSheetView guid="{5F969C1A-C5D2-43FD-A92E-4F6253B0E58B}" scale="90" zeroValues="0" printArea="1" hiddenColumns="1" showRuler="0">
      <selection activeCell="B26" sqref="B26"/>
      <pageMargins left="0.75" right="0.75" top="1.65" bottom="1" header="0.44" footer="0.5"/>
      <printOptions horizontalCentered="1"/>
      <pageSetup scale="70" orientation="landscape" r:id="rId2"/>
      <headerFooter alignWithMargins="0">
        <oddHeader>&amp;C&amp;"Arial,Bold"&amp;28DAILYEARNED HOUR REPORTFOR WEEK ENDING &amp;R&amp;D&amp;T</oddHeader>
      </headerFooter>
    </customSheetView>
  </customSheetViews>
  <mergeCells count="10">
    <mergeCell ref="M2:M3"/>
    <mergeCell ref="H2:H3"/>
    <mergeCell ref="I2:I3"/>
    <mergeCell ref="J2:J3"/>
    <mergeCell ref="K2:L3"/>
    <mergeCell ref="E1:J1"/>
    <mergeCell ref="A2:A3"/>
    <mergeCell ref="B2:B3"/>
    <mergeCell ref="G2:G3"/>
    <mergeCell ref="F2:F3"/>
  </mergeCells>
  <phoneticPr fontId="52" type="noConversion"/>
  <printOptions horizontalCentered="1" verticalCentered="1"/>
  <pageMargins left="1" right="1" top="1" bottom="1" header="0.5" footer="0.5"/>
  <pageSetup scale="59" orientation="landscape" r:id="rId3"/>
  <headerFooter alignWithMargins="0">
    <oddHeader>&amp;C&amp;"Arial,Bold"&amp;14DAILY EARNED HOUR 
WEEK ENDING 
&amp;R&amp;"Arial,Bold"&amp;12&amp;D @ &amp;T</oddHeader>
  </headerFooter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>
    <tabColor indexed="53"/>
    <pageSetUpPr fitToPage="1"/>
  </sheetPr>
  <dimension ref="A1:AE32"/>
  <sheetViews>
    <sheetView showZeros="0" zoomScale="57" zoomScaleNormal="57" zoomScaleSheetLayoutView="70"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F49" sqref="F49"/>
    </sheetView>
  </sheetViews>
  <sheetFormatPr defaultColWidth="9.08984375" defaultRowHeight="15.5" x14ac:dyDescent="0.35"/>
  <cols>
    <col min="1" max="1" width="10.6328125" style="30" customWidth="1"/>
    <col min="2" max="2" width="13" style="30" bestFit="1" customWidth="1"/>
    <col min="3" max="3" width="13.54296875" style="30" bestFit="1" customWidth="1"/>
    <col min="4" max="4" width="11.453125" style="43" bestFit="1" customWidth="1"/>
    <col min="5" max="5" width="13.453125" style="43" bestFit="1" customWidth="1"/>
    <col min="6" max="6" width="11.08984375" style="43" bestFit="1" customWidth="1"/>
    <col min="7" max="7" width="12" style="46" bestFit="1" customWidth="1"/>
    <col min="8" max="8" width="15.90625" style="43" bestFit="1" customWidth="1"/>
    <col min="9" max="9" width="11.6328125" style="43" bestFit="1" customWidth="1"/>
    <col min="10" max="10" width="14.90625" style="43" bestFit="1" customWidth="1"/>
    <col min="11" max="11" width="17.08984375" style="43" bestFit="1" customWidth="1"/>
    <col min="12" max="12" width="16.90625" style="43" customWidth="1"/>
    <col min="13" max="14" width="17" style="43" bestFit="1" customWidth="1"/>
    <col min="15" max="15" width="17.453125" style="43" bestFit="1" customWidth="1"/>
    <col min="16" max="16" width="16.90625" style="30" bestFit="1" customWidth="1"/>
    <col min="17" max="17" width="10.36328125" style="30" bestFit="1" customWidth="1"/>
    <col min="18" max="18" width="11.453125" style="39" bestFit="1" customWidth="1"/>
    <col min="19" max="19" width="15.6328125" style="39" bestFit="1" customWidth="1"/>
    <col min="20" max="20" width="19.54296875" style="39" bestFit="1" customWidth="1"/>
    <col min="21" max="21" width="14.90625" style="39" bestFit="1" customWidth="1"/>
    <col min="22" max="22" width="13.453125" style="39" bestFit="1" customWidth="1"/>
    <col min="23" max="23" width="15" style="30" hidden="1" customWidth="1"/>
    <col min="24" max="25" width="30.6328125" style="30" hidden="1" customWidth="1"/>
    <col min="26" max="26" width="21.81640625" style="30" hidden="1" customWidth="1"/>
    <col min="27" max="27" width="18.81640625" style="30" hidden="1" customWidth="1"/>
    <col min="28" max="28" width="15.453125" style="39" customWidth="1"/>
    <col min="29" max="29" width="17.36328125" style="39" customWidth="1"/>
    <col min="30" max="30" width="19" style="39" customWidth="1"/>
    <col min="31" max="31" width="18.36328125" style="39" customWidth="1"/>
    <col min="32" max="16384" width="9.08984375" style="30"/>
  </cols>
  <sheetData>
    <row r="1" spans="1:31" s="31" customFormat="1" ht="38.15" customHeight="1" thickTop="1" thickBot="1" x14ac:dyDescent="0.4">
      <c r="A1" s="172"/>
      <c r="B1" s="172"/>
      <c r="C1" s="173"/>
      <c r="D1" s="507" t="s">
        <v>43</v>
      </c>
      <c r="E1" s="508"/>
      <c r="F1" s="508"/>
      <c r="G1" s="509"/>
      <c r="H1" s="507" t="s">
        <v>16</v>
      </c>
      <c r="I1" s="508"/>
      <c r="J1" s="508"/>
      <c r="K1" s="510"/>
      <c r="L1" s="507" t="s">
        <v>85</v>
      </c>
      <c r="M1" s="511"/>
      <c r="N1" s="511"/>
      <c r="O1" s="512"/>
      <c r="P1" s="513" t="s">
        <v>15</v>
      </c>
      <c r="Q1" s="514"/>
      <c r="R1" s="514"/>
      <c r="S1" s="514"/>
      <c r="T1" s="514"/>
      <c r="U1" s="514"/>
      <c r="V1" s="515"/>
      <c r="W1" s="504" t="s">
        <v>144</v>
      </c>
      <c r="X1" s="505"/>
      <c r="Y1" s="506"/>
      <c r="Z1" s="505"/>
      <c r="AA1" s="505"/>
      <c r="AB1" s="443">
        <v>44688</v>
      </c>
      <c r="AC1" s="444">
        <v>44695</v>
      </c>
      <c r="AD1" s="444">
        <v>44688</v>
      </c>
      <c r="AE1" s="444">
        <v>44695</v>
      </c>
    </row>
    <row r="2" spans="1:31" ht="65.400000000000006" customHeight="1" thickTop="1" thickBot="1" x14ac:dyDescent="0.4">
      <c r="A2" s="47" t="s">
        <v>0</v>
      </c>
      <c r="B2" s="59" t="s">
        <v>1</v>
      </c>
      <c r="C2" s="61" t="s">
        <v>77</v>
      </c>
      <c r="D2" s="60" t="s">
        <v>20</v>
      </c>
      <c r="E2" s="437" t="s">
        <v>99</v>
      </c>
      <c r="F2" s="32" t="s">
        <v>61</v>
      </c>
      <c r="G2" s="51" t="s">
        <v>24</v>
      </c>
      <c r="H2" s="50" t="s">
        <v>64</v>
      </c>
      <c r="I2" s="32" t="s">
        <v>65</v>
      </c>
      <c r="J2" s="261" t="s">
        <v>38</v>
      </c>
      <c r="K2" s="267" t="s">
        <v>39</v>
      </c>
      <c r="L2" s="53" t="s">
        <v>86</v>
      </c>
      <c r="M2" s="34" t="s">
        <v>87</v>
      </c>
      <c r="N2" s="34" t="s">
        <v>88</v>
      </c>
      <c r="O2" s="142" t="s">
        <v>89</v>
      </c>
      <c r="P2" s="143" t="s">
        <v>36</v>
      </c>
      <c r="Q2" s="33" t="s">
        <v>2</v>
      </c>
      <c r="R2" s="35" t="s">
        <v>3</v>
      </c>
      <c r="S2" s="33" t="s">
        <v>41</v>
      </c>
      <c r="T2" s="64" t="s">
        <v>62</v>
      </c>
      <c r="U2" s="34" t="s">
        <v>98</v>
      </c>
      <c r="V2" s="54" t="s">
        <v>40</v>
      </c>
      <c r="W2" s="165" t="s">
        <v>63</v>
      </c>
      <c r="X2" s="165" t="s">
        <v>97</v>
      </c>
      <c r="Y2" s="166" t="s">
        <v>12</v>
      </c>
      <c r="Z2" s="165" t="s">
        <v>13</v>
      </c>
      <c r="AA2" s="438" t="s">
        <v>4</v>
      </c>
      <c r="AB2" s="440" t="s">
        <v>557</v>
      </c>
      <c r="AC2" s="441" t="s">
        <v>558</v>
      </c>
      <c r="AD2" s="442" t="s">
        <v>559</v>
      </c>
      <c r="AE2" s="442" t="s">
        <v>560</v>
      </c>
    </row>
    <row r="3" spans="1:31" ht="33" customHeight="1" x14ac:dyDescent="0.75">
      <c r="A3" s="48">
        <v>100</v>
      </c>
      <c r="B3" s="49" t="e">
        <f>SUM(H3/D3)</f>
        <v>#DIV/0!</v>
      </c>
      <c r="C3" s="58" cm="1">
        <f t="array" ref="C3">SUM(IF('Pipe Audit'!$AV$3:$AV$82=A3,IF('Pipe Audit'!$U$3:$U$82&gt;1%,'Pipe Audit'!$K$3:$K$82)))</f>
        <v>0</v>
      </c>
      <c r="D3" s="164">
        <f>SUMIF('Pipe Audit'!$AV$3:$AV$82,A3,'Pipe Audit'!$K$3:$K$82)</f>
        <v>0</v>
      </c>
      <c r="E3" s="163">
        <f>SUMIF('Pipe Audit'!$AV$3:$AV$82,A3,'Pipe Audit'!$BL$3:$BL$82)</f>
        <v>0</v>
      </c>
      <c r="F3" s="38">
        <f>D3-E3</f>
        <v>0</v>
      </c>
      <c r="G3" s="52" t="e">
        <f t="shared" ref="G3" si="0">E3/D3</f>
        <v>#DIV/0!</v>
      </c>
      <c r="H3" s="57">
        <f>SUMIF('Pipe Audit'!$AV$3:$AV$82,A3,'Pipe Audit'!$L$3:$L$82)</f>
        <v>0</v>
      </c>
      <c r="I3" s="163">
        <f>SUMIF('Pipe Audit'!$AV$3:$AV$82,A3,'Pipe Audit'!$P$3:$P$82)</f>
        <v>0</v>
      </c>
      <c r="J3" s="262">
        <f t="shared" ref="J3" si="1">H3-I3</f>
        <v>0</v>
      </c>
      <c r="K3" s="266" t="e">
        <f t="shared" ref="K3" si="2">I3/H3</f>
        <v>#DIV/0!</v>
      </c>
      <c r="L3" s="133">
        <f>SUMIF('Pipe Audit'!$AV$3:$AV$82,'Model Area '!A3,'Pipe Audit'!$BD$3:$BD$82)</f>
        <v>0</v>
      </c>
      <c r="M3" s="134">
        <f>SUMIF('Pipe Audit'!$AV$2:AV$82,A3,'Pipe Audit'!$BE$2:$BE$82)</f>
        <v>0</v>
      </c>
      <c r="N3" s="134">
        <f t="shared" ref="N3" si="3">L3-M3</f>
        <v>0</v>
      </c>
      <c r="O3" s="135" t="e">
        <f t="shared" ref="O3" si="4">M3/L3</f>
        <v>#DIV/0!</v>
      </c>
      <c r="P3" s="144">
        <f>SUMIF('Pipe Audit'!$AV$3:$AV$82,A3,'Pipe Audit'!$AJ$3:$AJ$82)</f>
        <v>0</v>
      </c>
      <c r="Q3" s="37" cm="1">
        <f t="array" ref="Q3">SUM(IF('Pipe Audit'!$AV$3:$AV$82=A3,IF('Pipe Audit'!$Q$3:$Q$82&gt;5%,'Pipe Audit'!$AJ$3:$AJ$82)))</f>
        <v>0</v>
      </c>
      <c r="R3" s="37">
        <f t="shared" ref="R3" si="5">SUM(P3-Q3)</f>
        <v>0</v>
      </c>
      <c r="S3" s="136" t="e">
        <f t="shared" ref="S3" si="6">Q3/P3</f>
        <v>#DIV/0!</v>
      </c>
      <c r="T3" s="134" cm="1">
        <f t="array" ref="T3">SUM(IF('Pipe Audit'!$AV$3:$AV$82=A3,IF('Pipe Audit'!$U$3:$U$82&gt;0,'Pipe Audit'!$AJ$3:$AJ$82)))</f>
        <v>0</v>
      </c>
      <c r="U3" s="137">
        <f t="shared" ref="U3" si="7">P3-T3</f>
        <v>0</v>
      </c>
      <c r="V3" s="138" t="e">
        <f t="shared" ref="V3" si="8">SUM(T3/P3)</f>
        <v>#DIV/0!</v>
      </c>
      <c r="W3" s="167" t="e">
        <f>COUNTIF('[1]Current Iso Sign-off Log'!$AE$5:$AE$1783,A3)</f>
        <v>#VALUE!</v>
      </c>
      <c r="X3" s="168" t="e">
        <f>COUNTIFS('[1]Current Iso Sign-off Log'!$AE$5:$AE$1783,A3,'[1]Current Iso Sign-off Log'!$L$5:$L$1783,"Q",'[1]Current Iso Sign-off Log'!$AF$5:$AF$1783,1)</f>
        <v>#VALUE!</v>
      </c>
      <c r="Y3" s="168" t="e">
        <f>COUNTIFS('[1]Current Iso Sign-off Log'!$AE$5:$AE$1783,A3,'[1]Current Iso Sign-off Log'!$L$5:$L$1783,"C",'[1]Current Iso Sign-off Log'!$AF$5:$AF$1783,1)</f>
        <v>#VALUE!</v>
      </c>
      <c r="Z3" s="169" t="e">
        <f t="shared" ref="Z3:Z16" si="9">W3-Y3</f>
        <v>#VALUE!</v>
      </c>
      <c r="AA3" s="439" t="e">
        <f t="shared" ref="AA3:AA16" si="10">Y3/Z3</f>
        <v>#VALUE!</v>
      </c>
      <c r="AB3" s="445">
        <v>49</v>
      </c>
      <c r="AC3" s="446">
        <f>T3-AB3</f>
        <v>-49</v>
      </c>
      <c r="AD3" s="448">
        <v>1647</v>
      </c>
      <c r="AE3" s="447">
        <f>E3-AD3</f>
        <v>-1647</v>
      </c>
    </row>
    <row r="4" spans="1:31" ht="33" customHeight="1" x14ac:dyDescent="0.75">
      <c r="A4" s="178">
        <v>101</v>
      </c>
      <c r="B4" s="49" t="e">
        <f t="shared" ref="B4:B31" si="11">SUM(H4/D4)</f>
        <v>#DIV/0!</v>
      </c>
      <c r="C4" s="58" cm="1">
        <f t="array" ref="C4">SUM(IF('Pipe Audit'!$AV$3:$AV$82=A4,IF('Pipe Audit'!$U$3:$U$82&gt;1%,'Pipe Audit'!$K$3:$K$82)))</f>
        <v>0</v>
      </c>
      <c r="D4" s="164">
        <f>SUMIF('Pipe Audit'!$AV$3:$AV$82,A4,'Pipe Audit'!$K$3:$K$82)</f>
        <v>0</v>
      </c>
      <c r="E4" s="163">
        <f>SUMIF('Pipe Audit'!$AV$3:$AV$82,A4,'Pipe Audit'!$BL$3:$BL$82)</f>
        <v>0</v>
      </c>
      <c r="F4" s="38">
        <f t="shared" ref="F4:F24" si="12">D4-E4</f>
        <v>0</v>
      </c>
      <c r="G4" s="52" t="e">
        <f t="shared" ref="G4:G24" si="13">E4/D4</f>
        <v>#DIV/0!</v>
      </c>
      <c r="H4" s="57">
        <f>SUMIF('Pipe Audit'!$AV$3:$AV$82,A4,'Pipe Audit'!$L$3:$L$82)</f>
        <v>0</v>
      </c>
      <c r="I4" s="163">
        <f>SUMIF('Pipe Audit'!$AV$3:$AV$82,A4,'Pipe Audit'!$P$3:$P$82)</f>
        <v>0</v>
      </c>
      <c r="J4" s="262">
        <f t="shared" ref="J4:J24" si="14">H4-I4</f>
        <v>0</v>
      </c>
      <c r="K4" s="265" t="e">
        <f t="shared" ref="K4:K24" si="15">I4/H4</f>
        <v>#DIV/0!</v>
      </c>
      <c r="L4" s="133">
        <f>SUMIF('Pipe Audit'!$AV$3:$AV$82,'Model Area '!A4,'Pipe Audit'!$BD$3:$BD$82)</f>
        <v>0</v>
      </c>
      <c r="M4" s="134">
        <f>SUMIF('Pipe Audit'!$AV$2:AV$82,A4,'Pipe Audit'!$BE$2:$BE$82)</f>
        <v>0</v>
      </c>
      <c r="N4" s="134">
        <f t="shared" ref="N4:N24" si="16">L4-M4</f>
        <v>0</v>
      </c>
      <c r="O4" s="135" t="e">
        <f t="shared" ref="O4:O24" si="17">M4/L4</f>
        <v>#DIV/0!</v>
      </c>
      <c r="P4" s="144">
        <f>SUMIF('Pipe Audit'!$AV$3:$AV$82,A4,'Pipe Audit'!$AJ$3:$AJ$82)</f>
        <v>0</v>
      </c>
      <c r="Q4" s="37" cm="1">
        <f t="array" ref="Q4">SUM(IF('Pipe Audit'!$AV$3:$AV$82=A4,IF('Pipe Audit'!$Q$3:$Q$82&gt;5%,'Pipe Audit'!$AJ$3:$AJ$82)))</f>
        <v>0</v>
      </c>
      <c r="R4" s="37">
        <f t="shared" ref="R4:R24" si="18">SUM(P4-Q4)</f>
        <v>0</v>
      </c>
      <c r="S4" s="136" t="e">
        <f t="shared" ref="S4:S24" si="19">Q4/P4</f>
        <v>#DIV/0!</v>
      </c>
      <c r="T4" s="134" cm="1">
        <f t="array" ref="T4">SUM(IF('Pipe Audit'!$AV$3:$AV$82=A4,IF('Pipe Audit'!$U$3:$U$82&gt;0,'Pipe Audit'!$AJ$3:$AJ$82)))</f>
        <v>0</v>
      </c>
      <c r="U4" s="137">
        <f t="shared" ref="U4:U24" si="20">P4-T4</f>
        <v>0</v>
      </c>
      <c r="V4" s="138" t="e">
        <f t="shared" ref="V4:V31" si="21">SUM(T4/P4)</f>
        <v>#DIV/0!</v>
      </c>
      <c r="W4" s="167" t="e">
        <f>COUNTIF('[1]Current Iso Sign-off Log'!$AE$5:$AE$1783,A4)</f>
        <v>#VALUE!</v>
      </c>
      <c r="X4" s="168" t="e">
        <f>COUNTIFS('[1]Current Iso Sign-off Log'!$AE$5:$AE$1783,A4,'[1]Current Iso Sign-off Log'!$L$5:$L$1783,"Q",'[1]Current Iso Sign-off Log'!$AF$5:$AF$1783,1)</f>
        <v>#VALUE!</v>
      </c>
      <c r="Y4" s="168" t="e">
        <f>COUNTIFS('[1]Current Iso Sign-off Log'!$AE$5:$AE$1783,A4,'[1]Current Iso Sign-off Log'!$L$5:$L$1783,"C",'[1]Current Iso Sign-off Log'!$AF$5:$AF$1783,1)</f>
        <v>#VALUE!</v>
      </c>
      <c r="Z4" s="169" t="e">
        <f t="shared" si="9"/>
        <v>#VALUE!</v>
      </c>
      <c r="AA4" s="439" t="e">
        <f t="shared" si="10"/>
        <v>#VALUE!</v>
      </c>
      <c r="AB4" s="445">
        <v>152</v>
      </c>
      <c r="AC4" s="446">
        <f t="shared" ref="AC4:AC24" si="22">T4-AB4</f>
        <v>-152</v>
      </c>
      <c r="AD4" s="448">
        <v>3233</v>
      </c>
      <c r="AE4" s="447">
        <f t="shared" ref="AE4:AE24" si="23">E4-AD4</f>
        <v>-3233</v>
      </c>
    </row>
    <row r="5" spans="1:31" s="39" customFormat="1" ht="33" customHeight="1" x14ac:dyDescent="0.75">
      <c r="A5" s="178">
        <v>102</v>
      </c>
      <c r="B5" s="49" t="e">
        <f t="shared" si="11"/>
        <v>#DIV/0!</v>
      </c>
      <c r="C5" s="58" cm="1">
        <f t="array" ref="C5">SUM(IF('Pipe Audit'!$AV$3:$AV$82=A5,IF('Pipe Audit'!$U$3:$U$82&gt;1%,'Pipe Audit'!$K$3:$K$82)))</f>
        <v>0</v>
      </c>
      <c r="D5" s="164">
        <f>SUMIF('Pipe Audit'!$AV$3:$AV$82,A5,'Pipe Audit'!$K$3:$K$82)</f>
        <v>0</v>
      </c>
      <c r="E5" s="163">
        <f>SUMIF('Pipe Audit'!$AV$3:$AV$82,A5,'Pipe Audit'!$BL$3:$BL$82)</f>
        <v>0</v>
      </c>
      <c r="F5" s="38">
        <f t="shared" si="12"/>
        <v>0</v>
      </c>
      <c r="G5" s="52" t="e">
        <f t="shared" si="13"/>
        <v>#DIV/0!</v>
      </c>
      <c r="H5" s="57">
        <f>SUMIF('Pipe Audit'!$AV$3:$AV$82,A5,'Pipe Audit'!$L$3:$L$82)</f>
        <v>0</v>
      </c>
      <c r="I5" s="163">
        <f>SUMIF('Pipe Audit'!$AV$3:$AV$82,A5,'Pipe Audit'!$P$3:$P$82)</f>
        <v>0</v>
      </c>
      <c r="J5" s="262">
        <f t="shared" si="14"/>
        <v>0</v>
      </c>
      <c r="K5" s="265" t="e">
        <f t="shared" si="15"/>
        <v>#DIV/0!</v>
      </c>
      <c r="L5" s="133">
        <f>SUMIF('Pipe Audit'!$AV$3:$AV$82,'Model Area '!A5,'Pipe Audit'!$BD$3:$BD$82)</f>
        <v>0</v>
      </c>
      <c r="M5" s="134">
        <f>SUMIF('Pipe Audit'!$AV$2:AV$82,A5,'Pipe Audit'!$BE$2:$BE$82)</f>
        <v>0</v>
      </c>
      <c r="N5" s="134">
        <f t="shared" si="16"/>
        <v>0</v>
      </c>
      <c r="O5" s="135" t="e">
        <f t="shared" si="17"/>
        <v>#DIV/0!</v>
      </c>
      <c r="P5" s="144">
        <f>SUMIF('Pipe Audit'!$AV$3:$AV$82,A5,'Pipe Audit'!$AJ$3:$AJ$82)</f>
        <v>0</v>
      </c>
      <c r="Q5" s="37" cm="1">
        <f t="array" ref="Q5">SUM(IF('Pipe Audit'!$AV$3:$AV$82=A5,IF('Pipe Audit'!$Q$3:$Q$82&gt;5%,'Pipe Audit'!$AJ$3:$AJ$82)))</f>
        <v>0</v>
      </c>
      <c r="R5" s="37">
        <f t="shared" si="18"/>
        <v>0</v>
      </c>
      <c r="S5" s="136" t="e">
        <f t="shared" si="19"/>
        <v>#DIV/0!</v>
      </c>
      <c r="T5" s="134" cm="1">
        <f t="array" ref="T5">SUM(IF('Pipe Audit'!$AV$3:$AV$82=A5,IF('Pipe Audit'!$U$3:$U$82&gt;0,'Pipe Audit'!$AJ$3:$AJ$82)))</f>
        <v>0</v>
      </c>
      <c r="U5" s="137">
        <f t="shared" si="20"/>
        <v>0</v>
      </c>
      <c r="V5" s="138" t="e">
        <f t="shared" si="21"/>
        <v>#DIV/0!</v>
      </c>
      <c r="W5" s="167" t="e">
        <f>COUNTIF('[1]Current Iso Sign-off Log'!$AE$5:$AE$1783,A5)</f>
        <v>#VALUE!</v>
      </c>
      <c r="X5" s="168" t="e">
        <f>COUNTIFS('[1]Current Iso Sign-off Log'!$AE$5:$AE$1783,A5,'[1]Current Iso Sign-off Log'!$L$5:$L$1783,"Q",'[1]Current Iso Sign-off Log'!$AF$5:$AF$1783,1)</f>
        <v>#VALUE!</v>
      </c>
      <c r="Y5" s="168" t="e">
        <f>COUNTIFS('[1]Current Iso Sign-off Log'!$AE$5:$AE$1783,A5,'[1]Current Iso Sign-off Log'!$L$5:$L$1783,"C",'[1]Current Iso Sign-off Log'!$AF$5:$AF$1783,1)</f>
        <v>#VALUE!</v>
      </c>
      <c r="Z5" s="169" t="e">
        <f t="shared" si="9"/>
        <v>#VALUE!</v>
      </c>
      <c r="AA5" s="439" t="e">
        <f t="shared" si="10"/>
        <v>#VALUE!</v>
      </c>
      <c r="AB5" s="445">
        <v>500</v>
      </c>
      <c r="AC5" s="446">
        <f t="shared" si="22"/>
        <v>-500</v>
      </c>
      <c r="AD5" s="448">
        <v>8237.9000000000033</v>
      </c>
      <c r="AE5" s="447">
        <f t="shared" si="23"/>
        <v>-8237.9000000000033</v>
      </c>
    </row>
    <row r="6" spans="1:31" s="39" customFormat="1" ht="33" customHeight="1" x14ac:dyDescent="0.75">
      <c r="A6" s="178">
        <v>103</v>
      </c>
      <c r="B6" s="49" t="e">
        <f t="shared" si="11"/>
        <v>#DIV/0!</v>
      </c>
      <c r="C6" s="58" cm="1">
        <f t="array" ref="C6">SUM(IF('Pipe Audit'!$AV$3:$AV$82=A6,IF('Pipe Audit'!$U$3:$U$82&gt;1%,'Pipe Audit'!$K$3:$K$82)))</f>
        <v>0</v>
      </c>
      <c r="D6" s="164">
        <f>SUMIF('Pipe Audit'!$AV$3:$AV$82,A6,'Pipe Audit'!$K$3:$K$82)</f>
        <v>0</v>
      </c>
      <c r="E6" s="163">
        <f>SUMIF('Pipe Audit'!$AV$3:$AV$82,A6,'Pipe Audit'!$BL$3:$BL$82)</f>
        <v>0</v>
      </c>
      <c r="F6" s="38">
        <f t="shared" si="12"/>
        <v>0</v>
      </c>
      <c r="G6" s="52" t="e">
        <f t="shared" si="13"/>
        <v>#DIV/0!</v>
      </c>
      <c r="H6" s="57">
        <f>SUMIF('Pipe Audit'!$AV$3:$AV$82,A6,'Pipe Audit'!$L$3:$L$82)</f>
        <v>0</v>
      </c>
      <c r="I6" s="163">
        <f>SUMIF('Pipe Audit'!$AV$3:$AV$82,A6,'Pipe Audit'!$P$3:$P$82)</f>
        <v>0</v>
      </c>
      <c r="J6" s="262">
        <f t="shared" si="14"/>
        <v>0</v>
      </c>
      <c r="K6" s="265" t="e">
        <f t="shared" si="15"/>
        <v>#DIV/0!</v>
      </c>
      <c r="L6" s="133">
        <f>SUMIF('Pipe Audit'!$AV$3:$AV$82,'Model Area '!A6,'Pipe Audit'!$BD$3:$BD$82)</f>
        <v>0</v>
      </c>
      <c r="M6" s="134">
        <f>SUMIF('Pipe Audit'!$AV$2:AV$82,A6,'Pipe Audit'!$BE$2:$BE$82)</f>
        <v>0</v>
      </c>
      <c r="N6" s="134">
        <f t="shared" si="16"/>
        <v>0</v>
      </c>
      <c r="O6" s="135" t="e">
        <f t="shared" si="17"/>
        <v>#DIV/0!</v>
      </c>
      <c r="P6" s="144">
        <f>SUMIF('Pipe Audit'!$AV$3:$AV$82,A6,'Pipe Audit'!$AJ$3:$AJ$82)</f>
        <v>0</v>
      </c>
      <c r="Q6" s="37" cm="1">
        <f t="array" ref="Q6">SUM(IF('Pipe Audit'!$AV$3:$AV$82=A6,IF('Pipe Audit'!$Q$3:$Q$82&gt;5%,'Pipe Audit'!$AJ$3:$AJ$82)))</f>
        <v>0</v>
      </c>
      <c r="R6" s="37">
        <f t="shared" si="18"/>
        <v>0</v>
      </c>
      <c r="S6" s="136" t="e">
        <f t="shared" si="19"/>
        <v>#DIV/0!</v>
      </c>
      <c r="T6" s="134" cm="1">
        <f t="array" ref="T6">SUM(IF('Pipe Audit'!$AV$3:$AV$82=A6,IF('Pipe Audit'!$U$3:$U$82&gt;0,'Pipe Audit'!$AJ$3:$AJ$82)))</f>
        <v>0</v>
      </c>
      <c r="U6" s="137">
        <f t="shared" si="20"/>
        <v>0</v>
      </c>
      <c r="V6" s="138" t="e">
        <f t="shared" si="21"/>
        <v>#DIV/0!</v>
      </c>
      <c r="W6" s="167" t="e">
        <f>COUNTIF('[1]Current Iso Sign-off Log'!$AE$5:$AE$1783,A6)</f>
        <v>#VALUE!</v>
      </c>
      <c r="X6" s="168" t="e">
        <f>COUNTIFS('[1]Current Iso Sign-off Log'!$AE$5:$AE$1783,A6,'[1]Current Iso Sign-off Log'!$L$5:$L$1783,"Q",'[1]Current Iso Sign-off Log'!$AF$5:$AF$1783,1)</f>
        <v>#VALUE!</v>
      </c>
      <c r="Y6" s="168" t="e">
        <f>COUNTIFS('[1]Current Iso Sign-off Log'!$AE$5:$AE$1783,A6,'[1]Current Iso Sign-off Log'!$L$5:$L$1783,"C",'[1]Current Iso Sign-off Log'!$AF$5:$AF$1783,1)</f>
        <v>#VALUE!</v>
      </c>
      <c r="Z6" s="169" t="e">
        <f t="shared" si="9"/>
        <v>#VALUE!</v>
      </c>
      <c r="AA6" s="439" t="e">
        <f t="shared" si="10"/>
        <v>#VALUE!</v>
      </c>
      <c r="AB6" s="445">
        <v>716</v>
      </c>
      <c r="AC6" s="446">
        <f t="shared" si="22"/>
        <v>-716</v>
      </c>
      <c r="AD6" s="448">
        <v>12741.650000000003</v>
      </c>
      <c r="AE6" s="447">
        <f t="shared" si="23"/>
        <v>-12741.650000000003</v>
      </c>
    </row>
    <row r="7" spans="1:31" s="39" customFormat="1" ht="33" customHeight="1" x14ac:dyDescent="0.75">
      <c r="A7" s="178">
        <v>104</v>
      </c>
      <c r="B7" s="49" t="e">
        <f t="shared" si="11"/>
        <v>#DIV/0!</v>
      </c>
      <c r="C7" s="58" cm="1">
        <f t="array" ref="C7">SUM(IF('Pipe Audit'!$AV$3:$AV$82=A7,IF('Pipe Audit'!$U$3:$U$82&gt;1%,'Pipe Audit'!$K$3:$K$82)))</f>
        <v>0</v>
      </c>
      <c r="D7" s="164">
        <f>SUMIF('Pipe Audit'!$AV$3:$AV$82,A7,'Pipe Audit'!$K$3:$K$82)</f>
        <v>0</v>
      </c>
      <c r="E7" s="163">
        <f>SUMIF('Pipe Audit'!$AV$3:$AV$82,A7,'Pipe Audit'!$BL$3:$BL$82)</f>
        <v>0</v>
      </c>
      <c r="F7" s="38">
        <f t="shared" si="12"/>
        <v>0</v>
      </c>
      <c r="G7" s="52" t="e">
        <f t="shared" si="13"/>
        <v>#DIV/0!</v>
      </c>
      <c r="H7" s="57">
        <f>SUMIF('Pipe Audit'!$AV$3:$AV$82,A7,'Pipe Audit'!$L$3:$L$82)</f>
        <v>0</v>
      </c>
      <c r="I7" s="163">
        <f>SUMIF('Pipe Audit'!$AV$3:$AV$82,A7,'Pipe Audit'!$P$3:$P$82)</f>
        <v>0</v>
      </c>
      <c r="J7" s="262">
        <f t="shared" si="14"/>
        <v>0</v>
      </c>
      <c r="K7" s="265" t="e">
        <f t="shared" si="15"/>
        <v>#DIV/0!</v>
      </c>
      <c r="L7" s="133">
        <f>SUMIF('Pipe Audit'!$AV$3:$AV$82,'Model Area '!A7,'Pipe Audit'!$BD$3:$BD$82)</f>
        <v>0</v>
      </c>
      <c r="M7" s="134">
        <f>SUMIF('Pipe Audit'!$AV$2:AV$82,A7,'Pipe Audit'!$BE$2:$BE$82)</f>
        <v>0</v>
      </c>
      <c r="N7" s="134">
        <f t="shared" si="16"/>
        <v>0</v>
      </c>
      <c r="O7" s="135" t="e">
        <f t="shared" si="17"/>
        <v>#DIV/0!</v>
      </c>
      <c r="P7" s="144">
        <f>SUMIF('Pipe Audit'!$AV$3:$AV$82,A7,'Pipe Audit'!$AJ$3:$AJ$82)</f>
        <v>0</v>
      </c>
      <c r="Q7" s="37" cm="1">
        <f t="array" ref="Q7">SUM(IF('Pipe Audit'!$AV$3:$AV$82=A7,IF('Pipe Audit'!$Q$3:$Q$82&gt;5%,'Pipe Audit'!$AJ$3:$AJ$82)))</f>
        <v>0</v>
      </c>
      <c r="R7" s="37">
        <f t="shared" si="18"/>
        <v>0</v>
      </c>
      <c r="S7" s="136" t="e">
        <f>Q7/P7</f>
        <v>#DIV/0!</v>
      </c>
      <c r="T7" s="134" cm="1">
        <f t="array" ref="T7">SUM(IF('Pipe Audit'!$AV$3:$AV$82=A7,IF('Pipe Audit'!$U$3:$U$82&gt;0,'Pipe Audit'!$AJ$3:$AJ$82)))</f>
        <v>0</v>
      </c>
      <c r="U7" s="137">
        <f t="shared" si="20"/>
        <v>0</v>
      </c>
      <c r="V7" s="138" t="e">
        <f t="shared" si="21"/>
        <v>#DIV/0!</v>
      </c>
      <c r="W7" s="167" t="e">
        <f>COUNTIF('[1]Current Iso Sign-off Log'!$AE$5:$AE$1783,A7)</f>
        <v>#VALUE!</v>
      </c>
      <c r="X7" s="168" t="e">
        <f>COUNTIFS('[1]Current Iso Sign-off Log'!$AE$5:$AE$1783,A7,'[1]Current Iso Sign-off Log'!$L$5:$L$1783,"Q",'[1]Current Iso Sign-off Log'!$AF$5:$AF$1783,1)</f>
        <v>#VALUE!</v>
      </c>
      <c r="Y7" s="168" t="e">
        <f>COUNTIFS('[1]Current Iso Sign-off Log'!$AE$5:$AE$1783,A7,'[1]Current Iso Sign-off Log'!$L$5:$L$1783,"C",'[1]Current Iso Sign-off Log'!$AF$5:$AF$1783,1)</f>
        <v>#VALUE!</v>
      </c>
      <c r="Z7" s="169" t="e">
        <f t="shared" si="9"/>
        <v>#VALUE!</v>
      </c>
      <c r="AA7" s="439" t="e">
        <f t="shared" si="10"/>
        <v>#VALUE!</v>
      </c>
      <c r="AB7" s="445">
        <v>245</v>
      </c>
      <c r="AC7" s="446">
        <f>T7-AB7</f>
        <v>-245</v>
      </c>
      <c r="AD7" s="448">
        <v>3909.9999999999982</v>
      </c>
      <c r="AE7" s="447">
        <f t="shared" si="23"/>
        <v>-3909.9999999999982</v>
      </c>
    </row>
    <row r="8" spans="1:31" s="39" customFormat="1" ht="33" customHeight="1" x14ac:dyDescent="0.75">
      <c r="A8" s="179">
        <v>105</v>
      </c>
      <c r="B8" s="49" t="e">
        <f t="shared" si="11"/>
        <v>#DIV/0!</v>
      </c>
      <c r="C8" s="58" cm="1">
        <f t="array" ref="C8">SUM(IF('Pipe Audit'!$AV$3:$AV$82=A8,IF('Pipe Audit'!$U$3:$U$82&gt;1%,'Pipe Audit'!$K$3:$K$82)))</f>
        <v>0</v>
      </c>
      <c r="D8" s="164">
        <f>SUMIF('Pipe Audit'!$AV$3:$AV$82,A8,'Pipe Audit'!$K$3:$K$82)</f>
        <v>0</v>
      </c>
      <c r="E8" s="163">
        <f>SUMIF('Pipe Audit'!$AV$3:$AV$82,A8,'Pipe Audit'!$BL$3:$BL$82)</f>
        <v>0</v>
      </c>
      <c r="F8" s="38">
        <f t="shared" si="12"/>
        <v>0</v>
      </c>
      <c r="G8" s="52" t="e">
        <f t="shared" si="13"/>
        <v>#DIV/0!</v>
      </c>
      <c r="H8" s="57">
        <f>SUMIF('Pipe Audit'!$AV$3:$AV$82,A8,'Pipe Audit'!$L$3:$L$82)</f>
        <v>0</v>
      </c>
      <c r="I8" s="163">
        <f>SUMIF('Pipe Audit'!$AV$3:$AV$82,A8,'Pipe Audit'!$P$3:$P$82)</f>
        <v>0</v>
      </c>
      <c r="J8" s="262">
        <f t="shared" si="14"/>
        <v>0</v>
      </c>
      <c r="K8" s="265" t="e">
        <f t="shared" si="15"/>
        <v>#DIV/0!</v>
      </c>
      <c r="L8" s="133">
        <f>SUMIF('Pipe Audit'!$AV$3:$AV$82,'Model Area '!A8,'Pipe Audit'!$BD$3:$BD$82)</f>
        <v>0</v>
      </c>
      <c r="M8" s="134">
        <f>SUMIF('Pipe Audit'!$AV$2:AV$82,A8,'Pipe Audit'!$BE$2:$BE$82)</f>
        <v>0</v>
      </c>
      <c r="N8" s="134">
        <f t="shared" si="16"/>
        <v>0</v>
      </c>
      <c r="O8" s="135" t="e">
        <f t="shared" si="17"/>
        <v>#DIV/0!</v>
      </c>
      <c r="P8" s="144">
        <f>SUMIF('Pipe Audit'!$AV$3:$AV$82,A8,'Pipe Audit'!$AJ$3:$AJ$82)</f>
        <v>0</v>
      </c>
      <c r="Q8" s="37" cm="1">
        <f t="array" ref="Q8">SUM(IF('Pipe Audit'!$AV$3:$AV$82=A8,IF('Pipe Audit'!$Q$3:$Q$82&gt;5%,'Pipe Audit'!$AJ$3:$AJ$82)))</f>
        <v>0</v>
      </c>
      <c r="R8" s="37">
        <f t="shared" si="18"/>
        <v>0</v>
      </c>
      <c r="S8" s="136" t="e">
        <f t="shared" si="19"/>
        <v>#DIV/0!</v>
      </c>
      <c r="T8" s="134" cm="1">
        <f t="array" ref="T8">SUM(IF('Pipe Audit'!$AV$3:$AV$82=A8,IF('Pipe Audit'!$U$3:$U$82&gt;0,'Pipe Audit'!$AJ$3:$AJ$82)))</f>
        <v>0</v>
      </c>
      <c r="U8" s="137">
        <f t="shared" si="20"/>
        <v>0</v>
      </c>
      <c r="V8" s="138" t="e">
        <f t="shared" si="21"/>
        <v>#DIV/0!</v>
      </c>
      <c r="W8" s="167" t="e">
        <f>COUNTIF('[1]Current Iso Sign-off Log'!$AE$5:$AE$1783,A8)</f>
        <v>#VALUE!</v>
      </c>
      <c r="X8" s="168" t="e">
        <f>COUNTIFS('[1]Current Iso Sign-off Log'!$AE$5:$AE$1783,A8,'[1]Current Iso Sign-off Log'!$L$5:$L$1783,"Q",'[1]Current Iso Sign-off Log'!$AF$5:$AF$1783,1)</f>
        <v>#VALUE!</v>
      </c>
      <c r="Y8" s="168" t="e">
        <f>COUNTIFS('[1]Current Iso Sign-off Log'!$AE$5:$AE$1783,A8,'[1]Current Iso Sign-off Log'!$L$5:$L$1783,"C",'[1]Current Iso Sign-off Log'!$AF$5:$AF$1783,1)</f>
        <v>#VALUE!</v>
      </c>
      <c r="Z8" s="169" t="e">
        <f t="shared" ref="Z8" si="24">W8-Y8</f>
        <v>#VALUE!</v>
      </c>
      <c r="AA8" s="439" t="e">
        <f t="shared" ref="AA8" si="25">Y8/Z8</f>
        <v>#VALUE!</v>
      </c>
      <c r="AB8" s="445">
        <v>1014</v>
      </c>
      <c r="AC8" s="446">
        <f t="shared" si="22"/>
        <v>-1014</v>
      </c>
      <c r="AD8" s="448">
        <v>15441.950000000012</v>
      </c>
      <c r="AE8" s="447">
        <f t="shared" si="23"/>
        <v>-15441.950000000012</v>
      </c>
    </row>
    <row r="9" spans="1:31" s="39" customFormat="1" ht="33" customHeight="1" x14ac:dyDescent="0.75">
      <c r="A9" s="178">
        <v>106</v>
      </c>
      <c r="B9" s="49" t="e">
        <f t="shared" si="11"/>
        <v>#DIV/0!</v>
      </c>
      <c r="C9" s="58" cm="1">
        <f t="array" ref="C9">SUM(IF('Pipe Audit'!$AV$3:$AV$82=A9,IF('Pipe Audit'!$U$3:$U$82&gt;1%,'Pipe Audit'!$K$3:$K$82)))</f>
        <v>0</v>
      </c>
      <c r="D9" s="164">
        <f>SUMIF('Pipe Audit'!$AV$3:$AV$82,A9,'Pipe Audit'!$K$3:$K$82)</f>
        <v>0</v>
      </c>
      <c r="E9" s="163">
        <f>SUMIF('Pipe Audit'!$AV$3:$AV$82,A9,'Pipe Audit'!$BL$3:$BL$82)</f>
        <v>0</v>
      </c>
      <c r="F9" s="38">
        <f t="shared" si="12"/>
        <v>0</v>
      </c>
      <c r="G9" s="52" t="e">
        <f t="shared" si="13"/>
        <v>#DIV/0!</v>
      </c>
      <c r="H9" s="57">
        <f>SUMIF('Pipe Audit'!$AV$3:$AV$82,A9,'Pipe Audit'!$L$3:$L$82)</f>
        <v>0</v>
      </c>
      <c r="I9" s="163">
        <f>SUMIF('Pipe Audit'!$AV$3:$AV$82,A9,'Pipe Audit'!$P$3:$P$82)</f>
        <v>0</v>
      </c>
      <c r="J9" s="262">
        <f t="shared" si="14"/>
        <v>0</v>
      </c>
      <c r="K9" s="265" t="e">
        <f t="shared" si="15"/>
        <v>#DIV/0!</v>
      </c>
      <c r="L9" s="133">
        <f>SUMIF('Pipe Audit'!$AV$3:$AV$82,'Model Area '!A9,'Pipe Audit'!$BD$3:$BD$82)</f>
        <v>0</v>
      </c>
      <c r="M9" s="134">
        <f>SUMIF('Pipe Audit'!$AV$2:AV$82,A9,'Pipe Audit'!$BE$2:$BE$82)</f>
        <v>0</v>
      </c>
      <c r="N9" s="134">
        <f t="shared" si="16"/>
        <v>0</v>
      </c>
      <c r="O9" s="135" t="e">
        <f t="shared" si="17"/>
        <v>#DIV/0!</v>
      </c>
      <c r="P9" s="144">
        <f>SUMIF('Pipe Audit'!$AV$3:$AV$82,A9,'Pipe Audit'!$AJ$3:$AJ$82)</f>
        <v>0</v>
      </c>
      <c r="Q9" s="37" cm="1">
        <f t="array" ref="Q9">SUM(IF('Pipe Audit'!$AV$3:$AV$82=A9,IF('Pipe Audit'!$Q$3:$Q$82&gt;5%,'Pipe Audit'!$AJ$3:$AJ$82)))</f>
        <v>0</v>
      </c>
      <c r="R9" s="37">
        <f t="shared" si="18"/>
        <v>0</v>
      </c>
      <c r="S9" s="136" t="e">
        <f t="shared" si="19"/>
        <v>#DIV/0!</v>
      </c>
      <c r="T9" s="134" cm="1">
        <f t="array" ref="T9">SUM(IF('Pipe Audit'!$AV$3:$AV$82=A9,IF('Pipe Audit'!$U$3:$U$82&gt;0,'Pipe Audit'!$AJ$3:$AJ$82)))</f>
        <v>0</v>
      </c>
      <c r="U9" s="137">
        <f t="shared" si="20"/>
        <v>0</v>
      </c>
      <c r="V9" s="138" t="e">
        <f t="shared" si="21"/>
        <v>#DIV/0!</v>
      </c>
      <c r="W9" s="167" t="e">
        <f>COUNTIF('[1]Current Iso Sign-off Log'!$AE$5:$AE$1783,A9)</f>
        <v>#VALUE!</v>
      </c>
      <c r="X9" s="168" t="e">
        <f>COUNTIFS('[1]Current Iso Sign-off Log'!$AE$5:$AE$1783,A9,'[1]Current Iso Sign-off Log'!$L$5:$L$1783,"Q",'[1]Current Iso Sign-off Log'!$AF$5:$AF$1783,1)</f>
        <v>#VALUE!</v>
      </c>
      <c r="Y9" s="168" t="e">
        <f>COUNTIFS('[1]Current Iso Sign-off Log'!$AE$5:$AE$1783,A9,'[1]Current Iso Sign-off Log'!$L$5:$L$1783,"C",'[1]Current Iso Sign-off Log'!$AF$5:$AF$1783,1)</f>
        <v>#VALUE!</v>
      </c>
      <c r="Z9" s="169" t="e">
        <f t="shared" si="9"/>
        <v>#VALUE!</v>
      </c>
      <c r="AA9" s="439" t="e">
        <f t="shared" si="10"/>
        <v>#VALUE!</v>
      </c>
      <c r="AB9" s="445">
        <v>712</v>
      </c>
      <c r="AC9" s="446">
        <f t="shared" si="22"/>
        <v>-712</v>
      </c>
      <c r="AD9" s="448">
        <v>13166.750000000013</v>
      </c>
      <c r="AE9" s="447">
        <f t="shared" si="23"/>
        <v>-13166.750000000013</v>
      </c>
    </row>
    <row r="10" spans="1:31" s="39" customFormat="1" ht="33" customHeight="1" x14ac:dyDescent="0.75">
      <c r="A10" s="179">
        <v>107</v>
      </c>
      <c r="B10" s="49" t="e">
        <f t="shared" si="11"/>
        <v>#DIV/0!</v>
      </c>
      <c r="C10" s="58" cm="1">
        <f t="array" ref="C10">SUM(IF('Pipe Audit'!$AV$3:$AV$82=A10,IF('Pipe Audit'!$U$3:$U$82&gt;1%,'Pipe Audit'!$K$3:$K$82)))</f>
        <v>0</v>
      </c>
      <c r="D10" s="164">
        <f>SUMIF('Pipe Audit'!$AV$3:$AV$82,A10,'Pipe Audit'!$K$3:$K$82)</f>
        <v>0</v>
      </c>
      <c r="E10" s="163">
        <f>SUMIF('Pipe Audit'!$AV$3:$AV$82,A10,'Pipe Audit'!$BL$3:$BL$82)</f>
        <v>0</v>
      </c>
      <c r="F10" s="38">
        <f t="shared" si="12"/>
        <v>0</v>
      </c>
      <c r="G10" s="52" t="e">
        <f t="shared" si="13"/>
        <v>#DIV/0!</v>
      </c>
      <c r="H10" s="57">
        <f>SUMIF('Pipe Audit'!$AV$3:$AV$82,A10,'Pipe Audit'!$L$3:$L$82)</f>
        <v>0</v>
      </c>
      <c r="I10" s="163">
        <f>SUMIF('Pipe Audit'!$AV$3:$AV$82,A10,'Pipe Audit'!$P$3:$P$82)</f>
        <v>0</v>
      </c>
      <c r="J10" s="262">
        <f t="shared" si="14"/>
        <v>0</v>
      </c>
      <c r="K10" s="265" t="e">
        <f t="shared" si="15"/>
        <v>#DIV/0!</v>
      </c>
      <c r="L10" s="133">
        <f>SUMIF('Pipe Audit'!$AV$3:$AV$82,'Model Area '!A10,'Pipe Audit'!$BD$3:$BD$82)</f>
        <v>0</v>
      </c>
      <c r="M10" s="134">
        <f>SUMIF('Pipe Audit'!$AV$2:AV$82,A10,'Pipe Audit'!$BE$2:$BE$82)</f>
        <v>0</v>
      </c>
      <c r="N10" s="134">
        <f t="shared" si="16"/>
        <v>0</v>
      </c>
      <c r="O10" s="135" t="e">
        <f t="shared" si="17"/>
        <v>#DIV/0!</v>
      </c>
      <c r="P10" s="144">
        <f>SUMIF('Pipe Audit'!$AV$3:$AV$82,A10,'Pipe Audit'!$AJ$3:$AJ$82)</f>
        <v>0</v>
      </c>
      <c r="Q10" s="37" cm="1">
        <f t="array" ref="Q10">SUM(IF('Pipe Audit'!$AV$3:$AV$82=A10,IF('Pipe Audit'!$Q$3:$Q$82&gt;5%,'Pipe Audit'!$AJ$3:$AJ$82)))</f>
        <v>0</v>
      </c>
      <c r="R10" s="37">
        <f t="shared" si="18"/>
        <v>0</v>
      </c>
      <c r="S10" s="136" t="e">
        <f t="shared" si="19"/>
        <v>#DIV/0!</v>
      </c>
      <c r="T10" s="134" cm="1">
        <f t="array" ref="T10">SUM(IF('Pipe Audit'!$AV$3:$AV$82=A10,IF('Pipe Audit'!$U$3:$U$82&gt;0,'Pipe Audit'!$AJ$3:$AJ$82)))</f>
        <v>0</v>
      </c>
      <c r="U10" s="137">
        <f t="shared" si="20"/>
        <v>0</v>
      </c>
      <c r="V10" s="138" t="e">
        <f t="shared" si="21"/>
        <v>#DIV/0!</v>
      </c>
      <c r="W10" s="167" t="e">
        <f>COUNTIF('[1]Current Iso Sign-off Log'!$AE$5:$AE$1783,A10)</f>
        <v>#VALUE!</v>
      </c>
      <c r="X10" s="168" t="e">
        <f>COUNTIFS('[1]Current Iso Sign-off Log'!$AE$5:$AE$1783,A10,'[1]Current Iso Sign-off Log'!$L$5:$L$1783,"Q",'[1]Current Iso Sign-off Log'!$AF$5:$AF$1783,1)</f>
        <v>#VALUE!</v>
      </c>
      <c r="Y10" s="168" t="e">
        <f>COUNTIFS('[1]Current Iso Sign-off Log'!$AE$5:$AE$1783,A10,'[1]Current Iso Sign-off Log'!$L$5:$L$1783,"C",'[1]Current Iso Sign-off Log'!$AF$5:$AF$1783,1)</f>
        <v>#VALUE!</v>
      </c>
      <c r="Z10" s="169" t="e">
        <f t="shared" ref="Z10:Z12" si="26">W10-Y10</f>
        <v>#VALUE!</v>
      </c>
      <c r="AA10" s="439" t="e">
        <f t="shared" ref="AA10:AA12" si="27">Y10/Z10</f>
        <v>#VALUE!</v>
      </c>
      <c r="AB10" s="445">
        <v>243</v>
      </c>
      <c r="AC10" s="446">
        <f t="shared" si="22"/>
        <v>-243</v>
      </c>
      <c r="AD10" s="448">
        <v>4279.3</v>
      </c>
      <c r="AE10" s="447">
        <f t="shared" si="23"/>
        <v>-4279.3</v>
      </c>
    </row>
    <row r="11" spans="1:31" s="39" customFormat="1" ht="33" customHeight="1" x14ac:dyDescent="0.75">
      <c r="A11" s="179">
        <v>108</v>
      </c>
      <c r="B11" s="49" t="e">
        <f t="shared" si="11"/>
        <v>#DIV/0!</v>
      </c>
      <c r="C11" s="58" cm="1">
        <f t="array" ref="C11">SUM(IF('Pipe Audit'!$AV$3:$AV$82=A11,IF('Pipe Audit'!$U$3:$U$82&gt;1%,'Pipe Audit'!$K$3:$K$82)))</f>
        <v>0</v>
      </c>
      <c r="D11" s="164">
        <f>SUMIF('Pipe Audit'!$AV$3:$AV$82,A11,'Pipe Audit'!$K$3:$K$82)</f>
        <v>0</v>
      </c>
      <c r="E11" s="163">
        <f>SUMIF('Pipe Audit'!$AV$3:$AV$82,A11,'Pipe Audit'!$BL$3:$BL$82)</f>
        <v>0</v>
      </c>
      <c r="F11" s="38">
        <f t="shared" si="12"/>
        <v>0</v>
      </c>
      <c r="G11" s="52" t="e">
        <f t="shared" si="13"/>
        <v>#DIV/0!</v>
      </c>
      <c r="H11" s="57">
        <f>SUMIF('Pipe Audit'!$AV$3:$AV$82,A11,'Pipe Audit'!$L$3:$L$82)</f>
        <v>0</v>
      </c>
      <c r="I11" s="163">
        <f>SUMIF('Pipe Audit'!$AV$3:$AV$82,A11,'Pipe Audit'!$P$3:$P$82)</f>
        <v>0</v>
      </c>
      <c r="J11" s="262">
        <f t="shared" si="14"/>
        <v>0</v>
      </c>
      <c r="K11" s="265" t="e">
        <f t="shared" si="15"/>
        <v>#DIV/0!</v>
      </c>
      <c r="L11" s="133">
        <f>SUMIF('Pipe Audit'!$AV$3:$AV$82,'Model Area '!A11,'Pipe Audit'!$BD$3:$BD$82)</f>
        <v>0</v>
      </c>
      <c r="M11" s="134">
        <f>SUMIF('Pipe Audit'!$AV$2:AV$82,A11,'Pipe Audit'!$BE$2:$BE$82)</f>
        <v>0</v>
      </c>
      <c r="N11" s="134">
        <f t="shared" si="16"/>
        <v>0</v>
      </c>
      <c r="O11" s="135" t="e">
        <f t="shared" si="17"/>
        <v>#DIV/0!</v>
      </c>
      <c r="P11" s="144">
        <f>SUMIF('Pipe Audit'!$AV$3:$AV$82,A11,'Pipe Audit'!$AJ$3:$AJ$82)</f>
        <v>0</v>
      </c>
      <c r="Q11" s="37" cm="1">
        <f t="array" ref="Q11">SUM(IF('Pipe Audit'!$AV$3:$AV$82=A11,IF('Pipe Audit'!$Q$3:$Q$82&gt;5%,'Pipe Audit'!$AJ$3:$AJ$82)))</f>
        <v>0</v>
      </c>
      <c r="R11" s="37">
        <f t="shared" si="18"/>
        <v>0</v>
      </c>
      <c r="S11" s="136" t="e">
        <f t="shared" si="19"/>
        <v>#DIV/0!</v>
      </c>
      <c r="T11" s="134" cm="1">
        <f t="array" ref="T11">SUM(IF('Pipe Audit'!$AV$3:$AV$82=A11,IF('Pipe Audit'!$U$3:$U$82&gt;0,'Pipe Audit'!$AJ$3:$AJ$82)))</f>
        <v>0</v>
      </c>
      <c r="U11" s="137">
        <f t="shared" si="20"/>
        <v>0</v>
      </c>
      <c r="V11" s="138" t="e">
        <f t="shared" si="21"/>
        <v>#DIV/0!</v>
      </c>
      <c r="W11" s="167"/>
      <c r="X11" s="168"/>
      <c r="Y11" s="168"/>
      <c r="Z11" s="169"/>
      <c r="AA11" s="439"/>
      <c r="AB11" s="445">
        <v>1074</v>
      </c>
      <c r="AC11" s="446">
        <f t="shared" si="22"/>
        <v>-1074</v>
      </c>
      <c r="AD11" s="448">
        <v>25394.94999999999</v>
      </c>
      <c r="AE11" s="447">
        <f t="shared" si="23"/>
        <v>-25394.94999999999</v>
      </c>
    </row>
    <row r="12" spans="1:31" s="39" customFormat="1" ht="33" customHeight="1" x14ac:dyDescent="0.75">
      <c r="A12" s="178">
        <v>110</v>
      </c>
      <c r="B12" s="49" t="e">
        <f t="shared" si="11"/>
        <v>#DIV/0!</v>
      </c>
      <c r="C12" s="58" cm="1">
        <f t="array" ref="C12">SUM(IF('Pipe Audit'!$AV$3:$AV$82=A12,IF('Pipe Audit'!$U$3:$U$82&gt;1%,'Pipe Audit'!$K$3:$K$82)))</f>
        <v>0</v>
      </c>
      <c r="D12" s="164">
        <f>SUMIF('Pipe Audit'!$AV$3:$AV$82,A12,'Pipe Audit'!$K$3:$K$82)</f>
        <v>0</v>
      </c>
      <c r="E12" s="163">
        <f>SUMIF('Pipe Audit'!$AV$3:$AV$82,A12,'Pipe Audit'!$BL$3:$BL$82)</f>
        <v>0</v>
      </c>
      <c r="F12" s="38">
        <f t="shared" si="12"/>
        <v>0</v>
      </c>
      <c r="G12" s="52" t="e">
        <f t="shared" si="13"/>
        <v>#DIV/0!</v>
      </c>
      <c r="H12" s="57">
        <f>SUMIF('Pipe Audit'!$AV$3:$AV$82,A12,'Pipe Audit'!$L$3:$L$82)</f>
        <v>0</v>
      </c>
      <c r="I12" s="163">
        <f>SUMIF('Pipe Audit'!$AV$3:$AV$82,A12,'Pipe Audit'!$P$3:$P$82)</f>
        <v>0</v>
      </c>
      <c r="J12" s="262">
        <f t="shared" si="14"/>
        <v>0</v>
      </c>
      <c r="K12" s="265" t="e">
        <f t="shared" si="15"/>
        <v>#DIV/0!</v>
      </c>
      <c r="L12" s="133">
        <f>SUMIF('Pipe Audit'!$AV$3:$AV$82,'Model Area '!A12,'Pipe Audit'!$BD$3:$BD$82)</f>
        <v>0</v>
      </c>
      <c r="M12" s="134">
        <f>SUMIF('Pipe Audit'!$AV$2:AV$82,A12,'Pipe Audit'!$BE$2:$BE$82)</f>
        <v>0</v>
      </c>
      <c r="N12" s="134">
        <f t="shared" si="16"/>
        <v>0</v>
      </c>
      <c r="O12" s="135" t="e">
        <f t="shared" si="17"/>
        <v>#DIV/0!</v>
      </c>
      <c r="P12" s="144">
        <f>SUMIF('Pipe Audit'!$AV$3:$AV$82,A12,'Pipe Audit'!$AJ$3:$AJ$82)</f>
        <v>0</v>
      </c>
      <c r="Q12" s="37" cm="1">
        <f t="array" ref="Q12">SUM(IF('Pipe Audit'!$AV$3:$AV$82=A12,IF('Pipe Audit'!$Q$3:$Q$82&gt;5%,'Pipe Audit'!$AJ$3:$AJ$82)))</f>
        <v>0</v>
      </c>
      <c r="R12" s="37">
        <f t="shared" si="18"/>
        <v>0</v>
      </c>
      <c r="S12" s="136" t="e">
        <f t="shared" si="19"/>
        <v>#DIV/0!</v>
      </c>
      <c r="T12" s="134" cm="1">
        <f t="array" ref="T12">SUM(IF('Pipe Audit'!$AV$3:$AV$82=A12,IF('Pipe Audit'!$U$3:$U$82&gt;0,'Pipe Audit'!$AJ$3:$AJ$82)))</f>
        <v>0</v>
      </c>
      <c r="U12" s="137">
        <f t="shared" si="20"/>
        <v>0</v>
      </c>
      <c r="V12" s="138" t="e">
        <f t="shared" si="21"/>
        <v>#DIV/0!</v>
      </c>
      <c r="W12" s="167" t="e">
        <f>COUNTIF('[1]Current Iso Sign-off Log'!$AE$5:$AE$1783,A12)</f>
        <v>#VALUE!</v>
      </c>
      <c r="X12" s="168" t="e">
        <f>COUNTIFS('[1]Current Iso Sign-off Log'!$AE$5:$AE$1783,A12,'[1]Current Iso Sign-off Log'!$L$5:$L$1783,"Q",'[1]Current Iso Sign-off Log'!$AF$5:$AF$1783,1)</f>
        <v>#VALUE!</v>
      </c>
      <c r="Y12" s="168" t="e">
        <f>COUNTIFS('[1]Current Iso Sign-off Log'!$AE$5:$AE$1783,A12,'[1]Current Iso Sign-off Log'!$L$5:$L$1783,"C",'[1]Current Iso Sign-off Log'!$AF$5:$AF$1783,1)</f>
        <v>#VALUE!</v>
      </c>
      <c r="Z12" s="169" t="e">
        <f t="shared" si="26"/>
        <v>#VALUE!</v>
      </c>
      <c r="AA12" s="439" t="e">
        <f t="shared" si="27"/>
        <v>#VALUE!</v>
      </c>
      <c r="AB12" s="445">
        <v>276</v>
      </c>
      <c r="AC12" s="446">
        <f t="shared" si="22"/>
        <v>-276</v>
      </c>
      <c r="AD12" s="448">
        <v>15005.2</v>
      </c>
      <c r="AE12" s="447">
        <f t="shared" si="23"/>
        <v>-15005.2</v>
      </c>
    </row>
    <row r="13" spans="1:31" s="39" customFormat="1" ht="33" customHeight="1" x14ac:dyDescent="0.75">
      <c r="A13" s="178" t="s">
        <v>572</v>
      </c>
      <c r="B13" s="49" t="e">
        <f t="shared" ref="B13" si="28">SUM(H13/D13)</f>
        <v>#DIV/0!</v>
      </c>
      <c r="C13" s="58" cm="1">
        <f t="array" ref="C13">SUM(IF('Pipe Audit'!$AV$3:$AV$82=A13,IF('Pipe Audit'!$U$3:$U$82&gt;1%,'Pipe Audit'!$K$3:$K$82)))</f>
        <v>0</v>
      </c>
      <c r="D13" s="164">
        <f>SUMIF('Pipe Audit'!$AV$3:$AV$82,A13,'Pipe Audit'!$K$3:$K$82)</f>
        <v>0</v>
      </c>
      <c r="E13" s="163">
        <f>SUMIF('Pipe Audit'!$AV$3:$AV$82,A13,'Pipe Audit'!$BL$3:$BL$82)</f>
        <v>0</v>
      </c>
      <c r="F13" s="38">
        <f t="shared" ref="F13" si="29">D13-E13</f>
        <v>0</v>
      </c>
      <c r="G13" s="52" t="e">
        <f t="shared" ref="G13" si="30">E13/D13</f>
        <v>#DIV/0!</v>
      </c>
      <c r="H13" s="57">
        <f>SUMIF('Pipe Audit'!$AV$3:$AV$82,A13,'Pipe Audit'!$L$3:$L$82)</f>
        <v>0</v>
      </c>
      <c r="I13" s="163">
        <f>SUMIF('Pipe Audit'!$AV$3:$AV$82,A13,'Pipe Audit'!$P$3:$P$82)</f>
        <v>0</v>
      </c>
      <c r="J13" s="262">
        <f t="shared" ref="J13" si="31">H13-I13</f>
        <v>0</v>
      </c>
      <c r="K13" s="265" t="e">
        <f t="shared" ref="K13" si="32">I13/H13</f>
        <v>#DIV/0!</v>
      </c>
      <c r="L13" s="133">
        <f>SUMIF('Pipe Audit'!$AV$3:$AV$82,'Model Area '!A13,'Pipe Audit'!$BD$3:$BD$82)</f>
        <v>0</v>
      </c>
      <c r="M13" s="134">
        <f>SUMIF('Pipe Audit'!$AV$2:AV$82,A13,'Pipe Audit'!$BE$2:$BE$82)</f>
        <v>0</v>
      </c>
      <c r="N13" s="134">
        <f t="shared" ref="N13" si="33">L13-M13</f>
        <v>0</v>
      </c>
      <c r="O13" s="135" t="e">
        <f t="shared" ref="O13" si="34">M13/L13</f>
        <v>#DIV/0!</v>
      </c>
      <c r="P13" s="144">
        <f>SUMIF('Pipe Audit'!$AV$3:$AV$82,A13,'Pipe Audit'!$AJ$3:$AJ$82)</f>
        <v>0</v>
      </c>
      <c r="Q13" s="37" cm="1">
        <f t="array" ref="Q13">SUM(IF('Pipe Audit'!$AV$3:$AV$82=A13,IF('Pipe Audit'!$Q$3:$Q$82&gt;5%,'Pipe Audit'!$AJ$3:$AJ$82)))</f>
        <v>0</v>
      </c>
      <c r="R13" s="37">
        <f t="shared" ref="R13" si="35">SUM(P13-Q13)</f>
        <v>0</v>
      </c>
      <c r="S13" s="136" t="e">
        <f t="shared" ref="S13" si="36">Q13/P13</f>
        <v>#DIV/0!</v>
      </c>
      <c r="T13" s="134" cm="1">
        <f t="array" ref="T13">SUM(IF('Pipe Audit'!$AV$3:$AV$82=A13,IF('Pipe Audit'!$U$3:$U$82&gt;0,'Pipe Audit'!$AJ$3:$AJ$82)))</f>
        <v>0</v>
      </c>
      <c r="U13" s="137">
        <f t="shared" ref="U13" si="37">P13-T13</f>
        <v>0</v>
      </c>
      <c r="V13" s="138" t="e">
        <f>SUM(T13/P13)</f>
        <v>#DIV/0!</v>
      </c>
      <c r="W13" s="167"/>
      <c r="X13" s="168"/>
      <c r="Y13" s="168"/>
      <c r="Z13" s="169"/>
      <c r="AA13" s="439"/>
      <c r="AB13" s="445">
        <v>36</v>
      </c>
      <c r="AC13" s="446">
        <f t="shared" si="22"/>
        <v>-36</v>
      </c>
      <c r="AD13" s="448">
        <v>643.1</v>
      </c>
      <c r="AE13" s="447">
        <f t="shared" si="23"/>
        <v>-643.1</v>
      </c>
    </row>
    <row r="14" spans="1:31" s="39" customFormat="1" ht="33" customHeight="1" x14ac:dyDescent="0.75">
      <c r="A14" s="178" t="s">
        <v>587</v>
      </c>
      <c r="B14" s="49" t="e">
        <f t="shared" ref="B14" si="38">SUM(H14/D14)</f>
        <v>#DIV/0!</v>
      </c>
      <c r="C14" s="58" cm="1">
        <f t="array" ref="C14">SUM(IF('Pipe Audit'!$AV$3:$AV$82=A14,IF('Pipe Audit'!$U$3:$U$82&gt;1%,'Pipe Audit'!$K$3:$K$82)))</f>
        <v>0</v>
      </c>
      <c r="D14" s="164">
        <f>SUMIF('Pipe Audit'!$AV$3:$AV$82,A14,'Pipe Audit'!$K$3:$K$82)</f>
        <v>0</v>
      </c>
      <c r="E14" s="163">
        <f>SUMIF('Pipe Audit'!$AV$3:$AV$82,A14,'Pipe Audit'!$BL$3:$BL$82)</f>
        <v>0</v>
      </c>
      <c r="F14" s="38">
        <f t="shared" ref="F14" si="39">D14-E14</f>
        <v>0</v>
      </c>
      <c r="G14" s="52" t="e">
        <f t="shared" ref="G14" si="40">E14/D14</f>
        <v>#DIV/0!</v>
      </c>
      <c r="H14" s="57">
        <f>SUMIF('Pipe Audit'!$AV$3:$AV$82,A14,'Pipe Audit'!$L$3:$L$82)</f>
        <v>0</v>
      </c>
      <c r="I14" s="163">
        <f>SUMIF('Pipe Audit'!$AV$3:$AV$82,A14,'Pipe Audit'!$P$3:$P$82)</f>
        <v>0</v>
      </c>
      <c r="J14" s="262">
        <f t="shared" ref="J14" si="41">H14-I14</f>
        <v>0</v>
      </c>
      <c r="K14" s="265" t="e">
        <f t="shared" ref="K14" si="42">I14/H14</f>
        <v>#DIV/0!</v>
      </c>
      <c r="L14" s="133">
        <f>SUMIF('Pipe Audit'!$AV$3:$AV$82,'Model Area '!A14,'Pipe Audit'!$BD$3:$BD$82)</f>
        <v>0</v>
      </c>
      <c r="M14" s="134">
        <f>SUMIF('Pipe Audit'!$AV$2:AV$82,A14,'Pipe Audit'!$BE$2:$BE$82)</f>
        <v>0</v>
      </c>
      <c r="N14" s="134">
        <f t="shared" ref="N14" si="43">L14-M14</f>
        <v>0</v>
      </c>
      <c r="O14" s="135" t="e">
        <f t="shared" ref="O14" si="44">M14/L14</f>
        <v>#DIV/0!</v>
      </c>
      <c r="P14" s="144">
        <f>SUMIF('Pipe Audit'!$AV$3:$AV$82,A14,'Pipe Audit'!$AJ$3:$AJ$82)</f>
        <v>0</v>
      </c>
      <c r="Q14" s="37" cm="1">
        <f t="array" ref="Q14">SUM(IF('Pipe Audit'!$AV$3:$AV$82=A14,IF('Pipe Audit'!$Q$3:$Q$82&gt;5%,'Pipe Audit'!$AJ$3:$AJ$82)))</f>
        <v>0</v>
      </c>
      <c r="R14" s="37">
        <f t="shared" ref="R14" si="45">SUM(P14-Q14)</f>
        <v>0</v>
      </c>
      <c r="S14" s="136" t="e">
        <f t="shared" ref="S14" si="46">Q14/P14</f>
        <v>#DIV/0!</v>
      </c>
      <c r="T14" s="134" cm="1">
        <f t="array" ref="T14">SUM(IF('Pipe Audit'!$AV$3:$AV$82=A14,IF('Pipe Audit'!$U$3:$U$82&gt;0,'Pipe Audit'!$AJ$3:$AJ$82)))</f>
        <v>0</v>
      </c>
      <c r="U14" s="137">
        <f t="shared" ref="U14" si="47">P14-T14</f>
        <v>0</v>
      </c>
      <c r="V14" s="138" t="e">
        <f t="shared" ref="V14" si="48">SUM(T14/P14)</f>
        <v>#DIV/0!</v>
      </c>
      <c r="W14" s="167"/>
      <c r="X14" s="168"/>
      <c r="Y14" s="168"/>
      <c r="Z14" s="169"/>
      <c r="AA14" s="439"/>
      <c r="AB14" s="445">
        <v>25</v>
      </c>
      <c r="AC14" s="446">
        <f t="shared" si="22"/>
        <v>-25</v>
      </c>
      <c r="AD14" s="448">
        <v>1744.1</v>
      </c>
      <c r="AE14" s="447">
        <f t="shared" si="23"/>
        <v>-1744.1</v>
      </c>
    </row>
    <row r="15" spans="1:31" s="39" customFormat="1" ht="33" customHeight="1" x14ac:dyDescent="0.75">
      <c r="A15" s="179" t="s">
        <v>583</v>
      </c>
      <c r="B15" s="49" t="e">
        <f t="shared" si="11"/>
        <v>#DIV/0!</v>
      </c>
      <c r="C15" s="58" cm="1">
        <f t="array" ref="C15">SUM(IF('Pipe Audit'!$AV$3:$AV$82=A15,IF('Pipe Audit'!$U$3:$U$82&gt;1%,'Pipe Audit'!$K$3:$K$82)))</f>
        <v>0</v>
      </c>
      <c r="D15" s="164">
        <f>SUMIF('Pipe Audit'!$AV$3:$AV$82,A15,'Pipe Audit'!$K$3:$K$82)</f>
        <v>0</v>
      </c>
      <c r="E15" s="163">
        <f>SUMIF('Pipe Audit'!$AV$3:$AV$82,A15,'Pipe Audit'!$BL$3:$BL$82)</f>
        <v>0</v>
      </c>
      <c r="F15" s="38">
        <f t="shared" si="12"/>
        <v>0</v>
      </c>
      <c r="G15" s="52" t="e">
        <f t="shared" si="13"/>
        <v>#DIV/0!</v>
      </c>
      <c r="H15" s="57">
        <f>SUMIF('Pipe Audit'!$AV$3:$AV$82,A15,'Pipe Audit'!$L$3:$L$82)</f>
        <v>0</v>
      </c>
      <c r="I15" s="163">
        <f>SUMIF('Pipe Audit'!$AV$3:$AV$82,A15,'Pipe Audit'!$P$3:$P$82)</f>
        <v>0</v>
      </c>
      <c r="J15" s="262">
        <f t="shared" si="14"/>
        <v>0</v>
      </c>
      <c r="K15" s="265" t="e">
        <f t="shared" si="15"/>
        <v>#DIV/0!</v>
      </c>
      <c r="L15" s="133">
        <f>SUMIF('Pipe Audit'!$AV$3:$AV$82,'Model Area '!A15,'Pipe Audit'!$BD$3:$BD$82)</f>
        <v>0</v>
      </c>
      <c r="M15" s="134">
        <f>SUMIF('Pipe Audit'!$AV$2:AV$82,A15,'Pipe Audit'!$BE$2:$BE$82)</f>
        <v>0</v>
      </c>
      <c r="N15" s="134">
        <f t="shared" si="16"/>
        <v>0</v>
      </c>
      <c r="O15" s="135" t="e">
        <f t="shared" si="17"/>
        <v>#DIV/0!</v>
      </c>
      <c r="P15" s="144">
        <f>SUMIF('Pipe Audit'!$AV$3:$AV$82,A15,'Pipe Audit'!$AJ$3:$AJ$82)</f>
        <v>0</v>
      </c>
      <c r="Q15" s="37" cm="1">
        <f t="array" ref="Q15">SUM(IF('Pipe Audit'!$AV$3:$AV$82=A15,IF('Pipe Audit'!$Q$3:$Q$82&gt;5%,'Pipe Audit'!$AJ$3:$AJ$82)))</f>
        <v>0</v>
      </c>
      <c r="R15" s="37">
        <f t="shared" si="18"/>
        <v>0</v>
      </c>
      <c r="S15" s="136" t="e">
        <f t="shared" si="19"/>
        <v>#DIV/0!</v>
      </c>
      <c r="T15" s="134" cm="1">
        <f t="array" ref="T15">SUM(IF('Pipe Audit'!$AV$3:$AV$82=A15,IF('Pipe Audit'!$U$3:$U$82&gt;0,'Pipe Audit'!$AJ$3:$AJ$82)))</f>
        <v>0</v>
      </c>
      <c r="U15" s="137">
        <f t="shared" si="20"/>
        <v>0</v>
      </c>
      <c r="V15" s="138" t="e">
        <f t="shared" si="21"/>
        <v>#DIV/0!</v>
      </c>
      <c r="W15" s="167" t="e">
        <f>COUNTIF('[1]Current Iso Sign-off Log'!$AE$5:$AE$1783,A15)</f>
        <v>#VALUE!</v>
      </c>
      <c r="X15" s="168" t="e">
        <f>COUNTIFS('[1]Current Iso Sign-off Log'!$AE$5:$AE$1783,A15,'[1]Current Iso Sign-off Log'!$L$5:$L$1783,"Q",'[1]Current Iso Sign-off Log'!$AF$5:$AF$1783,1)</f>
        <v>#VALUE!</v>
      </c>
      <c r="Y15" s="168" t="e">
        <f>COUNTIFS('[1]Current Iso Sign-off Log'!$AE$5:$AE$1783,A15,'[1]Current Iso Sign-off Log'!$L$5:$L$1783,"C",'[1]Current Iso Sign-off Log'!$AF$5:$AF$1783,1)</f>
        <v>#VALUE!</v>
      </c>
      <c r="Z15" s="169" t="e">
        <f t="shared" si="9"/>
        <v>#VALUE!</v>
      </c>
      <c r="AA15" s="439" t="e">
        <f t="shared" si="10"/>
        <v>#VALUE!</v>
      </c>
      <c r="AB15" s="445">
        <v>60</v>
      </c>
      <c r="AC15" s="446">
        <f t="shared" si="22"/>
        <v>-60</v>
      </c>
      <c r="AD15" s="448">
        <v>866.00000000000011</v>
      </c>
      <c r="AE15" s="447">
        <f t="shared" si="23"/>
        <v>-866.00000000000011</v>
      </c>
    </row>
    <row r="16" spans="1:31" s="39" customFormat="1" ht="33" customHeight="1" x14ac:dyDescent="0.75">
      <c r="A16" s="179" t="s">
        <v>571</v>
      </c>
      <c r="B16" s="49" t="e">
        <f t="shared" si="11"/>
        <v>#DIV/0!</v>
      </c>
      <c r="C16" s="58" cm="1">
        <f t="array" ref="C16">SUM(IF('Pipe Audit'!$AV$3:$AV$82=A16,IF('Pipe Audit'!$U$3:$U$82&gt;1%,'Pipe Audit'!$K$3:$K$82)))</f>
        <v>0</v>
      </c>
      <c r="D16" s="164">
        <f>SUMIF('Pipe Audit'!$AV$3:$AV$82,A16,'Pipe Audit'!$K$3:$K$82)</f>
        <v>0</v>
      </c>
      <c r="E16" s="163">
        <f>SUMIF('Pipe Audit'!$AV$3:$AV$82,A16,'Pipe Audit'!$BL$3:$BL$82)</f>
        <v>0</v>
      </c>
      <c r="F16" s="38">
        <f t="shared" si="12"/>
        <v>0</v>
      </c>
      <c r="G16" s="52" t="e">
        <f t="shared" si="13"/>
        <v>#DIV/0!</v>
      </c>
      <c r="H16" s="57">
        <f>SUMIF('Pipe Audit'!$AV$3:$AV$82,A16,'Pipe Audit'!$L$3:$L$82)</f>
        <v>0</v>
      </c>
      <c r="I16" s="163">
        <f>SUMIF('Pipe Audit'!$AV$3:$AV$82,A16,'Pipe Audit'!$P$3:$P$82)</f>
        <v>0</v>
      </c>
      <c r="J16" s="262">
        <f t="shared" si="14"/>
        <v>0</v>
      </c>
      <c r="K16" s="265" t="e">
        <f t="shared" si="15"/>
        <v>#DIV/0!</v>
      </c>
      <c r="L16" s="133">
        <f>SUMIF('Pipe Audit'!$AV$3:$AV$82,'Model Area '!A16,'Pipe Audit'!$BD$3:$BD$82)</f>
        <v>0</v>
      </c>
      <c r="M16" s="134">
        <f>SUMIF('Pipe Audit'!$AV$2:AV$82,A16,'Pipe Audit'!$BE$2:$BE$82)</f>
        <v>0</v>
      </c>
      <c r="N16" s="134">
        <f t="shared" si="16"/>
        <v>0</v>
      </c>
      <c r="O16" s="135" t="e">
        <f t="shared" si="17"/>
        <v>#DIV/0!</v>
      </c>
      <c r="P16" s="144">
        <f>SUMIF('Pipe Audit'!$AV$3:$AV$82,A16,'Pipe Audit'!$AJ$3:$AJ$82)</f>
        <v>0</v>
      </c>
      <c r="Q16" s="37" cm="1">
        <f t="array" ref="Q16">SUM(IF('Pipe Audit'!$AV$3:$AV$82=A16,IF('Pipe Audit'!$Q$3:$Q$82&gt;5%,'Pipe Audit'!$AJ$3:$AJ$82)))</f>
        <v>0</v>
      </c>
      <c r="R16" s="37">
        <f t="shared" si="18"/>
        <v>0</v>
      </c>
      <c r="S16" s="136" t="e">
        <f t="shared" si="19"/>
        <v>#DIV/0!</v>
      </c>
      <c r="T16" s="134" cm="1">
        <f t="array" ref="T16">SUM(IF('Pipe Audit'!$AV$3:$AV$82=A16,IF('Pipe Audit'!$U$3:$U$82&gt;0,'Pipe Audit'!$AJ$3:$AJ$82)))</f>
        <v>0</v>
      </c>
      <c r="U16" s="137">
        <f t="shared" si="20"/>
        <v>0</v>
      </c>
      <c r="V16" s="138" t="e">
        <f t="shared" si="21"/>
        <v>#DIV/0!</v>
      </c>
      <c r="W16" s="167" t="e">
        <f>COUNTIF('[1]Current Iso Sign-off Log'!$AE$5:$AE$1783,A16)</f>
        <v>#VALUE!</v>
      </c>
      <c r="X16" s="168" t="e">
        <f>COUNTIFS('[1]Current Iso Sign-off Log'!$AE$5:$AE$1783,A16,'[1]Current Iso Sign-off Log'!$L$5:$L$1783,"Q",'[1]Current Iso Sign-off Log'!$AF$5:$AF$1783,1)</f>
        <v>#VALUE!</v>
      </c>
      <c r="Y16" s="168" t="e">
        <f>COUNTIFS('[1]Current Iso Sign-off Log'!$AE$5:$AE$1783,A16,'[1]Current Iso Sign-off Log'!$L$5:$L$1783,"C",'[1]Current Iso Sign-off Log'!$AF$5:$AF$1783,1)</f>
        <v>#VALUE!</v>
      </c>
      <c r="Z16" s="169" t="e">
        <f t="shared" si="9"/>
        <v>#VALUE!</v>
      </c>
      <c r="AA16" s="439" t="e">
        <f t="shared" si="10"/>
        <v>#VALUE!</v>
      </c>
      <c r="AB16" s="445">
        <v>24</v>
      </c>
      <c r="AC16" s="446">
        <f t="shared" si="22"/>
        <v>-24</v>
      </c>
      <c r="AD16" s="448">
        <v>318</v>
      </c>
      <c r="AE16" s="447">
        <f t="shared" si="23"/>
        <v>-318</v>
      </c>
    </row>
    <row r="17" spans="1:31" s="39" customFormat="1" ht="33" customHeight="1" x14ac:dyDescent="0.75">
      <c r="A17" s="179" t="s">
        <v>586</v>
      </c>
      <c r="B17" s="49" t="e">
        <f t="shared" si="11"/>
        <v>#DIV/0!</v>
      </c>
      <c r="C17" s="58" cm="1">
        <f t="array" ref="C17">SUM(IF('Pipe Audit'!$AV$3:$AV$82=A17,IF('Pipe Audit'!$U$3:$U$82&gt;1%,'Pipe Audit'!$K$3:$K$82)))</f>
        <v>0</v>
      </c>
      <c r="D17" s="164">
        <f>SUMIF('Pipe Audit'!$AV$3:$AV$82,A17,'Pipe Audit'!$K$3:$K$82)</f>
        <v>0</v>
      </c>
      <c r="E17" s="163">
        <f>SUMIF('Pipe Audit'!$AV$3:$AV$82,A17,'Pipe Audit'!$BL$3:$BL$82)</f>
        <v>0</v>
      </c>
      <c r="F17" s="38">
        <f t="shared" si="12"/>
        <v>0</v>
      </c>
      <c r="G17" s="52" t="e">
        <f t="shared" si="13"/>
        <v>#DIV/0!</v>
      </c>
      <c r="H17" s="57">
        <f>SUMIF('Pipe Audit'!$AV$3:$AV$82,A17,'Pipe Audit'!$L$3:$L$82)</f>
        <v>0</v>
      </c>
      <c r="I17" s="163">
        <f>SUMIF('Pipe Audit'!$AV$3:$AV$82,A17,'Pipe Audit'!$P$3:$P$82)</f>
        <v>0</v>
      </c>
      <c r="J17" s="262">
        <f t="shared" si="14"/>
        <v>0</v>
      </c>
      <c r="K17" s="265" t="e">
        <f t="shared" si="15"/>
        <v>#DIV/0!</v>
      </c>
      <c r="L17" s="133">
        <f>SUMIF('Pipe Audit'!$AV$3:$AV$82,'Model Area '!A17,'Pipe Audit'!$BD$3:$BD$82)</f>
        <v>0</v>
      </c>
      <c r="M17" s="134">
        <f>SUMIF('Pipe Audit'!$AV$2:AV$82,A17,'Pipe Audit'!$BE$2:$BE$82)</f>
        <v>0</v>
      </c>
      <c r="N17" s="134">
        <f t="shared" si="16"/>
        <v>0</v>
      </c>
      <c r="O17" s="135" t="e">
        <f t="shared" si="17"/>
        <v>#DIV/0!</v>
      </c>
      <c r="P17" s="144">
        <f>SUMIF('Pipe Audit'!$AV$3:$AV$82,A17,'Pipe Audit'!$AJ$3:$AJ$82)</f>
        <v>0</v>
      </c>
      <c r="Q17" s="37" cm="1">
        <f t="array" ref="Q17">SUM(IF('Pipe Audit'!$AV$3:$AV$82=A17,IF('Pipe Audit'!$Q$3:$Q$82&gt;5%,'Pipe Audit'!$AJ$3:$AJ$82)))</f>
        <v>0</v>
      </c>
      <c r="R17" s="37">
        <f t="shared" si="18"/>
        <v>0</v>
      </c>
      <c r="S17" s="136" t="e">
        <f t="shared" si="19"/>
        <v>#DIV/0!</v>
      </c>
      <c r="T17" s="134" cm="1">
        <f t="array" ref="T17">SUM(IF('Pipe Audit'!$AV$3:$AV$82=A17,IF('Pipe Audit'!$U$3:$U$82&gt;0,'Pipe Audit'!$AJ$3:$AJ$82)))</f>
        <v>0</v>
      </c>
      <c r="U17" s="137">
        <f t="shared" si="20"/>
        <v>0</v>
      </c>
      <c r="V17" s="138" t="e">
        <f t="shared" si="21"/>
        <v>#DIV/0!</v>
      </c>
      <c r="W17" s="167" t="e">
        <f>COUNTIF('[1]Current Iso Sign-off Log'!$AE$5:$AE$1783,A17)</f>
        <v>#VALUE!</v>
      </c>
      <c r="X17" s="168" t="e">
        <f>COUNTIFS('[1]Current Iso Sign-off Log'!$AE$5:$AE$1783,A17,'[1]Current Iso Sign-off Log'!$L$5:$L$1783,"Q",'[1]Current Iso Sign-off Log'!$AF$5:$AF$1783,1)</f>
        <v>#VALUE!</v>
      </c>
      <c r="Y17" s="168" t="e">
        <f>COUNTIFS('[1]Current Iso Sign-off Log'!$AE$5:$AE$1783,A17,'[1]Current Iso Sign-off Log'!$L$5:$L$1783,"C",'[1]Current Iso Sign-off Log'!$AF$5:$AF$1783,1)</f>
        <v>#VALUE!</v>
      </c>
      <c r="Z17" s="169" t="e">
        <f t="shared" ref="Z17" si="49">W17-Y17</f>
        <v>#VALUE!</v>
      </c>
      <c r="AA17" s="439" t="e">
        <f t="shared" ref="AA17" si="50">Y17/Z17</f>
        <v>#VALUE!</v>
      </c>
      <c r="AB17" s="445">
        <v>56</v>
      </c>
      <c r="AC17" s="446">
        <f t="shared" si="22"/>
        <v>-56</v>
      </c>
      <c r="AD17" s="448">
        <v>1398</v>
      </c>
      <c r="AE17" s="447">
        <f t="shared" si="23"/>
        <v>-1398</v>
      </c>
    </row>
    <row r="18" spans="1:31" s="39" customFormat="1" ht="33" customHeight="1" x14ac:dyDescent="0.75">
      <c r="A18" s="179" t="s">
        <v>575</v>
      </c>
      <c r="B18" s="49" t="e">
        <f t="shared" si="11"/>
        <v>#DIV/0!</v>
      </c>
      <c r="C18" s="58" cm="1">
        <f t="array" ref="C18">SUM(IF('Pipe Audit'!$AV$3:$AV$82=A18,IF('Pipe Audit'!$U$3:$U$82&gt;1%,'Pipe Audit'!$K$3:$K$82)))</f>
        <v>0</v>
      </c>
      <c r="D18" s="164">
        <f>SUMIF('Pipe Audit'!$AV$3:$AV$82,A18,'Pipe Audit'!$K$3:$K$82)</f>
        <v>0</v>
      </c>
      <c r="E18" s="163">
        <f>SUMIF('Pipe Audit'!$AV$3:$AV$82,A18,'Pipe Audit'!$BL$3:$BL$82)</f>
        <v>0</v>
      </c>
      <c r="F18" s="38">
        <f t="shared" si="12"/>
        <v>0</v>
      </c>
      <c r="G18" s="52" t="e">
        <f t="shared" si="13"/>
        <v>#DIV/0!</v>
      </c>
      <c r="H18" s="57">
        <f>SUMIF('Pipe Audit'!$AV$3:$AV$82,A18,'Pipe Audit'!$L$3:$L$82)</f>
        <v>0</v>
      </c>
      <c r="I18" s="163">
        <f>SUMIF('Pipe Audit'!$AV$3:$AV$82,A18,'Pipe Audit'!$P$3:$P$82)</f>
        <v>0</v>
      </c>
      <c r="J18" s="262">
        <f t="shared" si="14"/>
        <v>0</v>
      </c>
      <c r="K18" s="265" t="e">
        <f t="shared" si="15"/>
        <v>#DIV/0!</v>
      </c>
      <c r="L18" s="133">
        <f>SUMIF('Pipe Audit'!$AV$3:$AV$82,'Model Area '!A18,'Pipe Audit'!$BD$3:$BD$82)</f>
        <v>0</v>
      </c>
      <c r="M18" s="134">
        <f>SUMIF('Pipe Audit'!$AV$2:AV$82,A18,'Pipe Audit'!$BE$2:$BE$82)</f>
        <v>0</v>
      </c>
      <c r="N18" s="134">
        <f t="shared" si="16"/>
        <v>0</v>
      </c>
      <c r="O18" s="135" t="e">
        <f t="shared" si="17"/>
        <v>#DIV/0!</v>
      </c>
      <c r="P18" s="144">
        <f>SUMIF('Pipe Audit'!$AV$3:$AV$82,A18,'Pipe Audit'!$AJ$3:$AJ$82)</f>
        <v>0</v>
      </c>
      <c r="Q18" s="37" cm="1">
        <f t="array" ref="Q18">SUM(IF('Pipe Audit'!$AV$3:$AV$82=A18,IF('Pipe Audit'!$Q$3:$Q$82&gt;5%,'Pipe Audit'!$AJ$3:$AJ$82)))</f>
        <v>0</v>
      </c>
      <c r="R18" s="37">
        <f t="shared" si="18"/>
        <v>0</v>
      </c>
      <c r="S18" s="136" t="e">
        <f t="shared" si="19"/>
        <v>#DIV/0!</v>
      </c>
      <c r="T18" s="134" cm="1">
        <f t="array" ref="T18">SUM(IF('Pipe Audit'!$AV$3:$AV$82=A18,IF('Pipe Audit'!$U$3:$U$82&gt;0,'Pipe Audit'!$AJ$3:$AJ$82)))</f>
        <v>0</v>
      </c>
      <c r="U18" s="137">
        <f t="shared" si="20"/>
        <v>0</v>
      </c>
      <c r="V18" s="138" t="e">
        <f t="shared" si="21"/>
        <v>#DIV/0!</v>
      </c>
      <c r="W18" s="167" t="e">
        <f>COUNTIF('[1]Current Iso Sign-off Log'!$AE$5:$AE$1783,A18)</f>
        <v>#VALUE!</v>
      </c>
      <c r="X18" s="168" t="e">
        <f>COUNTIFS('[1]Current Iso Sign-off Log'!$AE$5:$AE$1783,A18,'[1]Current Iso Sign-off Log'!$L$5:$L$1783,"Q",'[1]Current Iso Sign-off Log'!$AF$5:$AF$1783,1)</f>
        <v>#VALUE!</v>
      </c>
      <c r="Y18" s="168" t="e">
        <f>COUNTIFS('[1]Current Iso Sign-off Log'!$AE$5:$AE$1783,A18,'[1]Current Iso Sign-off Log'!$L$5:$L$1783,"C",'[1]Current Iso Sign-off Log'!$AF$5:$AF$1783,1)</f>
        <v>#VALUE!</v>
      </c>
      <c r="Z18" s="169" t="e">
        <f t="shared" ref="Z18" si="51">W18-Y18</f>
        <v>#VALUE!</v>
      </c>
      <c r="AA18" s="439" t="e">
        <f t="shared" ref="AA18" si="52">Y18/Z18</f>
        <v>#VALUE!</v>
      </c>
      <c r="AB18" s="445">
        <v>7</v>
      </c>
      <c r="AC18" s="446">
        <f t="shared" si="22"/>
        <v>-7</v>
      </c>
      <c r="AD18" s="448">
        <v>490</v>
      </c>
      <c r="AE18" s="447">
        <f t="shared" si="23"/>
        <v>-490</v>
      </c>
    </row>
    <row r="19" spans="1:31" s="39" customFormat="1" ht="33" customHeight="1" x14ac:dyDescent="0.75">
      <c r="A19" s="179" t="s">
        <v>579</v>
      </c>
      <c r="B19" s="49" t="e">
        <f t="shared" si="11"/>
        <v>#DIV/0!</v>
      </c>
      <c r="C19" s="58" cm="1">
        <f t="array" ref="C19">SUM(IF('Pipe Audit'!$AV$3:$AV$82=A19,IF('Pipe Audit'!$U$3:$U$82&gt;1%,'Pipe Audit'!$K$3:$K$82)))</f>
        <v>0</v>
      </c>
      <c r="D19" s="164">
        <f>SUMIF('Pipe Audit'!$AV$3:$AV$82,A19,'Pipe Audit'!$K$3:$K$82)</f>
        <v>0</v>
      </c>
      <c r="E19" s="163">
        <f>SUMIF('Pipe Audit'!$AV$3:$AV$82,A19,'Pipe Audit'!$BL$3:$BL$82)</f>
        <v>0</v>
      </c>
      <c r="F19" s="38">
        <f t="shared" si="12"/>
        <v>0</v>
      </c>
      <c r="G19" s="52" t="e">
        <f t="shared" si="13"/>
        <v>#DIV/0!</v>
      </c>
      <c r="H19" s="57">
        <f>SUMIF('Pipe Audit'!$AV$3:$AV$82,A19,'Pipe Audit'!$L$3:$L$82)</f>
        <v>0</v>
      </c>
      <c r="I19" s="163">
        <f>SUMIF('Pipe Audit'!$AV$3:$AV$82,A19,'Pipe Audit'!$P$3:$P$82)</f>
        <v>0</v>
      </c>
      <c r="J19" s="262">
        <f t="shared" si="14"/>
        <v>0</v>
      </c>
      <c r="K19" s="265" t="e">
        <f t="shared" si="15"/>
        <v>#DIV/0!</v>
      </c>
      <c r="L19" s="133">
        <f>SUMIF('Pipe Audit'!$AV$3:$AV$82,'Model Area '!A19,'Pipe Audit'!$BD$3:$BD$82)</f>
        <v>0</v>
      </c>
      <c r="M19" s="134">
        <f>SUMIF('Pipe Audit'!$AV$2:AV$82,A19,'Pipe Audit'!$BE$2:$BE$82)</f>
        <v>0</v>
      </c>
      <c r="N19" s="134">
        <f t="shared" si="16"/>
        <v>0</v>
      </c>
      <c r="O19" s="135" t="e">
        <f t="shared" si="17"/>
        <v>#DIV/0!</v>
      </c>
      <c r="P19" s="144">
        <f>SUMIF('Pipe Audit'!$AV$3:$AV$82,A19,'Pipe Audit'!$AJ$3:$AJ$82)</f>
        <v>0</v>
      </c>
      <c r="Q19" s="37" cm="1">
        <f t="array" ref="Q19">SUM(IF('Pipe Audit'!$AV$3:$AV$82=A19,IF('Pipe Audit'!$Q$3:$Q$82&gt;5%,'Pipe Audit'!$AJ$3:$AJ$82)))</f>
        <v>0</v>
      </c>
      <c r="R19" s="37">
        <f t="shared" si="18"/>
        <v>0</v>
      </c>
      <c r="S19" s="136" t="e">
        <f t="shared" si="19"/>
        <v>#DIV/0!</v>
      </c>
      <c r="T19" s="134" cm="1">
        <f t="array" ref="T19">SUM(IF('Pipe Audit'!$AV$3:$AV$82=A19,IF('Pipe Audit'!$U$3:$U$82&gt;0,'Pipe Audit'!$AJ$3:$AJ$82)))</f>
        <v>0</v>
      </c>
      <c r="U19" s="137">
        <f t="shared" si="20"/>
        <v>0</v>
      </c>
      <c r="V19" s="138" t="e">
        <f t="shared" si="21"/>
        <v>#DIV/0!</v>
      </c>
      <c r="W19" s="167" t="e">
        <f>COUNTIF('[1]Current Iso Sign-off Log'!$AE$5:$AE$1783,A19)</f>
        <v>#VALUE!</v>
      </c>
      <c r="X19" s="168" t="e">
        <f>COUNTIFS('[1]Current Iso Sign-off Log'!$AE$5:$AE$1783,A19,'[1]Current Iso Sign-off Log'!$L$5:$L$1783,"Q",'[1]Current Iso Sign-off Log'!$AF$5:$AF$1783,1)</f>
        <v>#VALUE!</v>
      </c>
      <c r="Y19" s="168" t="e">
        <f>COUNTIFS('[1]Current Iso Sign-off Log'!$AE$5:$AE$1783,A19,'[1]Current Iso Sign-off Log'!$L$5:$L$1783,"C",'[1]Current Iso Sign-off Log'!$AF$5:$AF$1783,1)</f>
        <v>#VALUE!</v>
      </c>
      <c r="Z19" s="169" t="e">
        <f t="shared" ref="Z19" si="53">W19-Y19</f>
        <v>#VALUE!</v>
      </c>
      <c r="AA19" s="439" t="e">
        <f t="shared" ref="AA19" si="54">Y19/Z19</f>
        <v>#VALUE!</v>
      </c>
      <c r="AB19" s="445">
        <v>2</v>
      </c>
      <c r="AC19" s="446">
        <f t="shared" si="22"/>
        <v>-2</v>
      </c>
      <c r="AD19" s="448">
        <v>212</v>
      </c>
      <c r="AE19" s="447">
        <f t="shared" si="23"/>
        <v>-212</v>
      </c>
    </row>
    <row r="20" spans="1:31" s="39" customFormat="1" ht="33" customHeight="1" x14ac:dyDescent="0.75">
      <c r="A20" s="179" t="s">
        <v>585</v>
      </c>
      <c r="B20" s="49" t="e">
        <f t="shared" si="11"/>
        <v>#DIV/0!</v>
      </c>
      <c r="C20" s="58" cm="1">
        <f t="array" ref="C20">SUM(IF('Pipe Audit'!$AV$3:$AV$82=A20,IF('Pipe Audit'!$U$3:$U$82&gt;1%,'Pipe Audit'!$K$3:$K$82)))</f>
        <v>0</v>
      </c>
      <c r="D20" s="164">
        <f>SUMIF('Pipe Audit'!$AV$3:$AV$82,A20,'Pipe Audit'!$K$3:$K$82)</f>
        <v>0</v>
      </c>
      <c r="E20" s="163">
        <f>SUMIF('Pipe Audit'!$AV$3:$AV$82,A20,'Pipe Audit'!$BL$3:$BL$82)</f>
        <v>0</v>
      </c>
      <c r="F20" s="38">
        <f t="shared" si="12"/>
        <v>0</v>
      </c>
      <c r="G20" s="52" t="e">
        <f t="shared" si="13"/>
        <v>#DIV/0!</v>
      </c>
      <c r="H20" s="57">
        <f>SUMIF('Pipe Audit'!$AV$3:$AV$82,A20,'Pipe Audit'!$L$3:$L$82)</f>
        <v>0</v>
      </c>
      <c r="I20" s="163">
        <f>SUMIF('Pipe Audit'!$AV$3:$AV$82,A20,'Pipe Audit'!$P$3:$P$82)</f>
        <v>0</v>
      </c>
      <c r="J20" s="262">
        <f t="shared" si="14"/>
        <v>0</v>
      </c>
      <c r="K20" s="265" t="e">
        <f t="shared" si="15"/>
        <v>#DIV/0!</v>
      </c>
      <c r="L20" s="133">
        <f>SUMIF('Pipe Audit'!$AV$3:$AV$82,'Model Area '!A20,'Pipe Audit'!$BD$3:$BD$82)</f>
        <v>0</v>
      </c>
      <c r="M20" s="134">
        <f>SUMIF('Pipe Audit'!$AV$2:AV$82,A20,'Pipe Audit'!$BE$2:$BE$82)</f>
        <v>0</v>
      </c>
      <c r="N20" s="134">
        <f t="shared" si="16"/>
        <v>0</v>
      </c>
      <c r="O20" s="135" t="e">
        <f t="shared" si="17"/>
        <v>#DIV/0!</v>
      </c>
      <c r="P20" s="144">
        <f>SUMIF('Pipe Audit'!$AV$3:$AV$82,A20,'Pipe Audit'!$AJ$3:$AJ$82)</f>
        <v>0</v>
      </c>
      <c r="Q20" s="37" cm="1">
        <f t="array" ref="Q20">SUM(IF('Pipe Audit'!$AV$3:$AV$82=A20,IF('Pipe Audit'!$Q$3:$Q$82&gt;5%,'Pipe Audit'!$AJ$3:$AJ$82)))</f>
        <v>0</v>
      </c>
      <c r="R20" s="37">
        <f t="shared" si="18"/>
        <v>0</v>
      </c>
      <c r="S20" s="136" t="e">
        <f t="shared" si="19"/>
        <v>#DIV/0!</v>
      </c>
      <c r="T20" s="134" cm="1">
        <f t="array" ref="T20">SUM(IF('Pipe Audit'!$AV$3:$AV$82=A20,IF('Pipe Audit'!$U$3:$U$82&gt;0,'Pipe Audit'!$AJ$3:$AJ$82)))</f>
        <v>0</v>
      </c>
      <c r="U20" s="137">
        <f t="shared" si="20"/>
        <v>0</v>
      </c>
      <c r="V20" s="138" t="e">
        <f t="shared" si="21"/>
        <v>#DIV/0!</v>
      </c>
      <c r="W20" s="167" t="e">
        <f>COUNTIF('[1]Current Iso Sign-off Log'!$AE$5:$AE$1783,A20)</f>
        <v>#VALUE!</v>
      </c>
      <c r="X20" s="168" t="e">
        <f>COUNTIFS('[1]Current Iso Sign-off Log'!$AE$5:$AE$1783,A20,'[1]Current Iso Sign-off Log'!$L$5:$L$1783,"Q",'[1]Current Iso Sign-off Log'!$AF$5:$AF$1783,1)</f>
        <v>#VALUE!</v>
      </c>
      <c r="Y20" s="168" t="e">
        <f>COUNTIFS('[1]Current Iso Sign-off Log'!$AE$5:$AE$1783,A20,'[1]Current Iso Sign-off Log'!$L$5:$L$1783,"C",'[1]Current Iso Sign-off Log'!$AF$5:$AF$1783,1)</f>
        <v>#VALUE!</v>
      </c>
      <c r="Z20" s="169" t="e">
        <f t="shared" ref="Z20" si="55">W20-Y20</f>
        <v>#VALUE!</v>
      </c>
      <c r="AA20" s="439" t="e">
        <f t="shared" ref="AA20" si="56">Y20/Z20</f>
        <v>#VALUE!</v>
      </c>
      <c r="AB20" s="445">
        <v>6</v>
      </c>
      <c r="AC20" s="446">
        <f t="shared" si="22"/>
        <v>-6</v>
      </c>
      <c r="AD20" s="448">
        <v>396</v>
      </c>
      <c r="AE20" s="447">
        <f t="shared" si="23"/>
        <v>-396</v>
      </c>
    </row>
    <row r="21" spans="1:31" s="39" customFormat="1" ht="33" customHeight="1" x14ac:dyDescent="0.75">
      <c r="A21" s="179" t="s">
        <v>578</v>
      </c>
      <c r="B21" s="49" t="e">
        <f t="shared" si="11"/>
        <v>#DIV/0!</v>
      </c>
      <c r="C21" s="58" cm="1">
        <f t="array" ref="C21">SUM(IF('Pipe Audit'!$AV$3:$AV$82=A21,IF('Pipe Audit'!$U$3:$U$82&gt;1%,'Pipe Audit'!$K$3:$K$82)))</f>
        <v>0</v>
      </c>
      <c r="D21" s="164">
        <f>SUMIF('Pipe Audit'!$AV$3:$AV$82,A21,'Pipe Audit'!$K$3:$K$82)</f>
        <v>0</v>
      </c>
      <c r="E21" s="163">
        <f>SUMIF('Pipe Audit'!$AV$3:$AV$82,A21,'Pipe Audit'!$BL$3:$BL$82)</f>
        <v>0</v>
      </c>
      <c r="F21" s="38">
        <f t="shared" si="12"/>
        <v>0</v>
      </c>
      <c r="G21" s="52" t="e">
        <f t="shared" si="13"/>
        <v>#DIV/0!</v>
      </c>
      <c r="H21" s="57">
        <f>SUMIF('Pipe Audit'!$AV$3:$AV$82,A21,'Pipe Audit'!$L$3:$L$82)</f>
        <v>0</v>
      </c>
      <c r="I21" s="163">
        <f>SUMIF('Pipe Audit'!$AV$3:$AV$82,A21,'Pipe Audit'!$P$3:$P$82)</f>
        <v>0</v>
      </c>
      <c r="J21" s="262">
        <f t="shared" si="14"/>
        <v>0</v>
      </c>
      <c r="K21" s="265" t="e">
        <f t="shared" si="15"/>
        <v>#DIV/0!</v>
      </c>
      <c r="L21" s="133">
        <f>SUMIF('Pipe Audit'!$AV$3:$AV$82,'Model Area '!A21,'Pipe Audit'!$BD$3:$BD$82)</f>
        <v>0</v>
      </c>
      <c r="M21" s="134">
        <f>SUMIF('Pipe Audit'!$AV$2:AV$82,A21,'Pipe Audit'!$BE$2:$BE$82)</f>
        <v>0</v>
      </c>
      <c r="N21" s="134">
        <f t="shared" si="16"/>
        <v>0</v>
      </c>
      <c r="O21" s="135" t="e">
        <f t="shared" si="17"/>
        <v>#DIV/0!</v>
      </c>
      <c r="P21" s="144">
        <f>SUMIF('Pipe Audit'!$AV$3:$AV$82,A21,'Pipe Audit'!$AJ$3:$AJ$82)</f>
        <v>0</v>
      </c>
      <c r="Q21" s="37" cm="1">
        <f t="array" ref="Q21">SUM(IF('Pipe Audit'!$AV$3:$AV$82=A21,IF('Pipe Audit'!$Q$3:$Q$82&gt;5%,'Pipe Audit'!$AJ$3:$AJ$82)))</f>
        <v>0</v>
      </c>
      <c r="R21" s="37">
        <f t="shared" si="18"/>
        <v>0</v>
      </c>
      <c r="S21" s="136" t="e">
        <f t="shared" si="19"/>
        <v>#DIV/0!</v>
      </c>
      <c r="T21" s="134" cm="1">
        <f t="array" ref="T21">SUM(IF('Pipe Audit'!$AV$3:$AV$82=A21,IF('Pipe Audit'!$U$3:$U$82&gt;0,'Pipe Audit'!$AJ$3:$AJ$82)))</f>
        <v>0</v>
      </c>
      <c r="U21" s="137">
        <f t="shared" si="20"/>
        <v>0</v>
      </c>
      <c r="V21" s="138" t="e">
        <f t="shared" si="21"/>
        <v>#DIV/0!</v>
      </c>
      <c r="W21" s="167" t="e">
        <f>COUNTIF('[1]Current Iso Sign-off Log'!$AE$5:$AE$1783,A21)</f>
        <v>#VALUE!</v>
      </c>
      <c r="X21" s="168" t="e">
        <f>COUNTIFS('[1]Current Iso Sign-off Log'!$AE$5:$AE$1783,A21,'[1]Current Iso Sign-off Log'!$L$5:$L$1783,"Q",'[1]Current Iso Sign-off Log'!$AF$5:$AF$1783,1)</f>
        <v>#VALUE!</v>
      </c>
      <c r="Y21" s="168" t="e">
        <f>COUNTIFS('[1]Current Iso Sign-off Log'!$AE$5:$AE$1783,A21,'[1]Current Iso Sign-off Log'!$L$5:$L$1783,"C",'[1]Current Iso Sign-off Log'!$AF$5:$AF$1783,1)</f>
        <v>#VALUE!</v>
      </c>
      <c r="Z21" s="169" t="e">
        <f t="shared" ref="Z21:Z24" si="57">W21-Y21</f>
        <v>#VALUE!</v>
      </c>
      <c r="AA21" s="439" t="e">
        <f t="shared" ref="AA21:AA24" si="58">Y21/Z21</f>
        <v>#VALUE!</v>
      </c>
      <c r="AB21" s="445">
        <v>60</v>
      </c>
      <c r="AC21" s="446">
        <f t="shared" si="22"/>
        <v>-60</v>
      </c>
      <c r="AD21" s="448">
        <v>3120</v>
      </c>
      <c r="AE21" s="447">
        <f t="shared" si="23"/>
        <v>-3120</v>
      </c>
    </row>
    <row r="22" spans="1:31" s="39" customFormat="1" ht="33" customHeight="1" x14ac:dyDescent="0.75">
      <c r="A22" s="179" t="s">
        <v>577</v>
      </c>
      <c r="B22" s="49" t="e">
        <f t="shared" ref="B22" si="59">SUM(H22/D22)</f>
        <v>#DIV/0!</v>
      </c>
      <c r="C22" s="58" cm="1">
        <f t="array" ref="C22">SUM(IF('Pipe Audit'!$AV$3:$AV$82=A22,IF('Pipe Audit'!$U$3:$U$82&gt;1%,'Pipe Audit'!$K$3:$K$82)))</f>
        <v>0</v>
      </c>
      <c r="D22" s="164">
        <f>SUMIF('Pipe Audit'!$AV$3:$AV$82,A22,'Pipe Audit'!$K$3:$K$82)</f>
        <v>0</v>
      </c>
      <c r="E22" s="163">
        <f>SUMIF('Pipe Audit'!$AV$3:$AV$82,A22,'Pipe Audit'!$BL$3:$BL$82)</f>
        <v>0</v>
      </c>
      <c r="F22" s="38">
        <f t="shared" ref="F22" si="60">D22-E22</f>
        <v>0</v>
      </c>
      <c r="G22" s="52" t="e">
        <f t="shared" ref="G22" si="61">E22/D22</f>
        <v>#DIV/0!</v>
      </c>
      <c r="H22" s="57">
        <f>SUMIF('Pipe Audit'!$AV$3:$AV$82,A22,'Pipe Audit'!$L$3:$L$82)</f>
        <v>0</v>
      </c>
      <c r="I22" s="163">
        <f>SUMIF('Pipe Audit'!$AV$3:$AV$82,A22,'Pipe Audit'!$P$3:$P$82)</f>
        <v>0</v>
      </c>
      <c r="J22" s="262">
        <f t="shared" ref="J22" si="62">H22-I22</f>
        <v>0</v>
      </c>
      <c r="K22" s="265" t="e">
        <f t="shared" ref="K22" si="63">I22/H22</f>
        <v>#DIV/0!</v>
      </c>
      <c r="L22" s="133">
        <f>SUMIF('Pipe Audit'!$AV$3:$AV$82,'Model Area '!A22,'Pipe Audit'!$BD$3:$BD$82)</f>
        <v>0</v>
      </c>
      <c r="M22" s="134">
        <f>SUMIF('Pipe Audit'!$AV$2:AV$82,A22,'Pipe Audit'!$BE$2:$BE$82)</f>
        <v>0</v>
      </c>
      <c r="N22" s="134">
        <f t="shared" ref="N22" si="64">L22-M22</f>
        <v>0</v>
      </c>
      <c r="O22" s="135" t="e">
        <f t="shared" ref="O22" si="65">M22/L22</f>
        <v>#DIV/0!</v>
      </c>
      <c r="P22" s="144">
        <f>SUMIF('Pipe Audit'!$AV$3:$AV$82,A22,'Pipe Audit'!$AJ$3:$AJ$82)</f>
        <v>0</v>
      </c>
      <c r="Q22" s="37" cm="1">
        <f t="array" ref="Q22">SUM(IF('Pipe Audit'!$AV$3:$AV$82=A22,IF('Pipe Audit'!$Q$3:$Q$82&gt;5%,'Pipe Audit'!$AJ$3:$AJ$82)))</f>
        <v>0</v>
      </c>
      <c r="R22" s="37">
        <f t="shared" ref="R22" si="66">SUM(P22-Q22)</f>
        <v>0</v>
      </c>
      <c r="S22" s="136" t="e">
        <f t="shared" ref="S22" si="67">Q22/P22</f>
        <v>#DIV/0!</v>
      </c>
      <c r="T22" s="134" cm="1">
        <f t="array" ref="T22">SUM(IF('Pipe Audit'!$AV$3:$AV$82=A22,IF('Pipe Audit'!$U$3:$U$82&gt;0,'Pipe Audit'!$AJ$3:$AJ$82)))</f>
        <v>0</v>
      </c>
      <c r="U22" s="137">
        <f t="shared" ref="U22" si="68">P22-T22</f>
        <v>0</v>
      </c>
      <c r="V22" s="138" t="e">
        <f t="shared" ref="V22" si="69">SUM(T22/P22)</f>
        <v>#DIV/0!</v>
      </c>
      <c r="W22" s="167"/>
      <c r="X22" s="168"/>
      <c r="Y22" s="168"/>
      <c r="Z22" s="169"/>
      <c r="AA22" s="439"/>
      <c r="AB22" s="445">
        <v>11</v>
      </c>
      <c r="AC22" s="446">
        <f t="shared" si="22"/>
        <v>-11</v>
      </c>
      <c r="AD22" s="448">
        <v>1034</v>
      </c>
      <c r="AE22" s="447">
        <f t="shared" si="23"/>
        <v>-1034</v>
      </c>
    </row>
    <row r="23" spans="1:31" s="39" customFormat="1" ht="33" customHeight="1" x14ac:dyDescent="0.75">
      <c r="A23" s="179" t="s">
        <v>582</v>
      </c>
      <c r="B23" s="49" t="e">
        <f t="shared" si="11"/>
        <v>#DIV/0!</v>
      </c>
      <c r="C23" s="58" cm="1">
        <f t="array" ref="C23">SUM(IF('Pipe Audit'!$AV$3:$AV$82=A23,IF('Pipe Audit'!$U$3:$U$82&gt;1%,'Pipe Audit'!$K$3:$K$82)))</f>
        <v>0</v>
      </c>
      <c r="D23" s="164">
        <f>SUMIF('Pipe Audit'!$AV$3:$AV$82,A23,'Pipe Audit'!$K$3:$K$82)</f>
        <v>0</v>
      </c>
      <c r="E23" s="163">
        <f>SUMIF('Pipe Audit'!$AV$3:$AV$82,A23,'Pipe Audit'!$BL$3:$BL$82)</f>
        <v>0</v>
      </c>
      <c r="F23" s="38">
        <f t="shared" si="12"/>
        <v>0</v>
      </c>
      <c r="G23" s="52" t="e">
        <f t="shared" si="13"/>
        <v>#DIV/0!</v>
      </c>
      <c r="H23" s="57">
        <f>SUMIF('Pipe Audit'!$AV$3:$AV$82,A23,'Pipe Audit'!$L$3:$L$82)</f>
        <v>0</v>
      </c>
      <c r="I23" s="163">
        <f>SUMIF('Pipe Audit'!$AV$3:$AV$82,A23,'Pipe Audit'!$P$3:$P$82)</f>
        <v>0</v>
      </c>
      <c r="J23" s="262">
        <f t="shared" si="14"/>
        <v>0</v>
      </c>
      <c r="K23" s="265" t="e">
        <f t="shared" si="15"/>
        <v>#DIV/0!</v>
      </c>
      <c r="L23" s="133">
        <f>SUMIF('Pipe Audit'!$AV$3:$AV$82,'Model Area '!A23,'Pipe Audit'!$BD$3:$BD$82)</f>
        <v>0</v>
      </c>
      <c r="M23" s="134">
        <f>SUMIF('Pipe Audit'!$AV$2:AV$82,A23,'Pipe Audit'!$BE$2:$BE$82)</f>
        <v>0</v>
      </c>
      <c r="N23" s="134">
        <f t="shared" si="16"/>
        <v>0</v>
      </c>
      <c r="O23" s="135" t="e">
        <f t="shared" si="17"/>
        <v>#DIV/0!</v>
      </c>
      <c r="P23" s="144">
        <f>SUMIF('Pipe Audit'!$AV$3:$AV$82,A23,'Pipe Audit'!$AJ$3:$AJ$82)</f>
        <v>0</v>
      </c>
      <c r="Q23" s="37" cm="1">
        <f t="array" ref="Q23">SUM(IF('Pipe Audit'!$AV$3:$AV$82=A23,IF('Pipe Audit'!$Q$3:$Q$82&gt;5%,'Pipe Audit'!$AJ$3:$AJ$82)))</f>
        <v>0</v>
      </c>
      <c r="R23" s="37">
        <f t="shared" si="18"/>
        <v>0</v>
      </c>
      <c r="S23" s="136" t="e">
        <f t="shared" si="19"/>
        <v>#DIV/0!</v>
      </c>
      <c r="T23" s="134" cm="1">
        <f t="array" ref="T23">SUM(IF('Pipe Audit'!$AV$3:$AV$82=A23,IF('Pipe Audit'!$U$3:$U$82&gt;0,'Pipe Audit'!$AJ$3:$AJ$82)))</f>
        <v>0</v>
      </c>
      <c r="U23" s="137">
        <f t="shared" si="20"/>
        <v>0</v>
      </c>
      <c r="V23" s="138" t="e">
        <f t="shared" si="21"/>
        <v>#DIV/0!</v>
      </c>
      <c r="W23" s="167" t="e">
        <f>COUNTIF('[1]Current Iso Sign-off Log'!$AE$5:$AE$1783,A23)</f>
        <v>#VALUE!</v>
      </c>
      <c r="X23" s="168" t="e">
        <f>COUNTIFS('[1]Current Iso Sign-off Log'!$AE$5:$AE$1783,A23,'[1]Current Iso Sign-off Log'!$L$5:$L$1783,"Q",'[1]Current Iso Sign-off Log'!$AF$5:$AF$1783,1)</f>
        <v>#VALUE!</v>
      </c>
      <c r="Y23" s="168" t="e">
        <f>COUNTIFS('[1]Current Iso Sign-off Log'!$AE$5:$AE$1783,A23,'[1]Current Iso Sign-off Log'!$L$5:$L$1783,"C",'[1]Current Iso Sign-off Log'!$AF$5:$AF$1783,1)</f>
        <v>#VALUE!</v>
      </c>
      <c r="Z23" s="169" t="e">
        <f t="shared" si="57"/>
        <v>#VALUE!</v>
      </c>
      <c r="AA23" s="439" t="e">
        <f t="shared" si="58"/>
        <v>#VALUE!</v>
      </c>
      <c r="AB23" s="445">
        <v>15</v>
      </c>
      <c r="AC23" s="446">
        <f t="shared" si="22"/>
        <v>-15</v>
      </c>
      <c r="AD23" s="448">
        <v>1208</v>
      </c>
      <c r="AE23" s="447">
        <f t="shared" si="23"/>
        <v>-1208</v>
      </c>
    </row>
    <row r="24" spans="1:31" s="39" customFormat="1" ht="33" customHeight="1" x14ac:dyDescent="0.75">
      <c r="A24" s="179" t="s">
        <v>576</v>
      </c>
      <c r="B24" s="49" t="e">
        <f t="shared" si="11"/>
        <v>#DIV/0!</v>
      </c>
      <c r="C24" s="58" cm="1">
        <f t="array" ref="C24">SUM(IF('Pipe Audit'!$AV$3:$AV$82=A24,IF('Pipe Audit'!$U$3:$U$82&gt;1%,'Pipe Audit'!$K$3:$K$82)))</f>
        <v>0</v>
      </c>
      <c r="D24" s="164">
        <f>SUMIF('Pipe Audit'!$AV$3:$AV$82,A24,'Pipe Audit'!$K$3:$K$82)</f>
        <v>0</v>
      </c>
      <c r="E24" s="163">
        <f>SUMIF('Pipe Audit'!$AV$3:$AV$82,A24,'Pipe Audit'!$BL$3:$BL$82)</f>
        <v>0</v>
      </c>
      <c r="F24" s="38">
        <f t="shared" si="12"/>
        <v>0</v>
      </c>
      <c r="G24" s="52" t="e">
        <f t="shared" si="13"/>
        <v>#DIV/0!</v>
      </c>
      <c r="H24" s="57">
        <f>SUMIF('Pipe Audit'!$AV$3:$AV$82,A24,'Pipe Audit'!$L$3:$L$82)</f>
        <v>0</v>
      </c>
      <c r="I24" s="163">
        <f>SUMIF('Pipe Audit'!$AV$3:$AV$82,A24,'Pipe Audit'!$P$3:$P$82)</f>
        <v>0</v>
      </c>
      <c r="J24" s="262">
        <f t="shared" si="14"/>
        <v>0</v>
      </c>
      <c r="K24" s="265" t="e">
        <f t="shared" si="15"/>
        <v>#DIV/0!</v>
      </c>
      <c r="L24" s="133">
        <f>SUMIF('Pipe Audit'!$AV$3:$AV$82,'Model Area '!A24,'Pipe Audit'!$BD$3:$BD$82)</f>
        <v>0</v>
      </c>
      <c r="M24" s="134">
        <f>SUMIF('Pipe Audit'!$AV$2:AV$82,A24,'Pipe Audit'!$BE$2:$BE$82)</f>
        <v>0</v>
      </c>
      <c r="N24" s="134">
        <f t="shared" si="16"/>
        <v>0</v>
      </c>
      <c r="O24" s="135" t="e">
        <f t="shared" si="17"/>
        <v>#DIV/0!</v>
      </c>
      <c r="P24" s="144">
        <f>SUMIF('Pipe Audit'!$AV$3:$AV$82,A24,'Pipe Audit'!$AJ$3:$AJ$82)</f>
        <v>0</v>
      </c>
      <c r="Q24" s="37" cm="1">
        <f t="array" ref="Q24">SUM(IF('Pipe Audit'!$AV$3:$AV$82=A24,IF('Pipe Audit'!$Q$3:$Q$82&gt;5%,'Pipe Audit'!$AJ$3:$AJ$82)))</f>
        <v>0</v>
      </c>
      <c r="R24" s="37">
        <f t="shared" si="18"/>
        <v>0</v>
      </c>
      <c r="S24" s="136" t="e">
        <f t="shared" si="19"/>
        <v>#DIV/0!</v>
      </c>
      <c r="T24" s="134" cm="1">
        <f t="array" ref="T24">SUM(IF('Pipe Audit'!$AV$3:$AV$82=A24,IF('Pipe Audit'!$U$3:$U$82&gt;0,'Pipe Audit'!$AJ$3:$AJ$82)))</f>
        <v>0</v>
      </c>
      <c r="U24" s="137">
        <f t="shared" si="20"/>
        <v>0</v>
      </c>
      <c r="V24" s="138" t="e">
        <f>SUM(T24/P24)</f>
        <v>#DIV/0!</v>
      </c>
      <c r="W24" s="167" t="e">
        <f>COUNTIF('[1]Current Iso Sign-off Log'!$AE$5:$AE$1783,A24)</f>
        <v>#VALUE!</v>
      </c>
      <c r="X24" s="168" t="e">
        <f>COUNTIFS('[1]Current Iso Sign-off Log'!$AE$5:$AE$1783,A24,'[1]Current Iso Sign-off Log'!$L$5:$L$1783,"Q",'[1]Current Iso Sign-off Log'!$AF$5:$AF$1783,1)</f>
        <v>#VALUE!</v>
      </c>
      <c r="Y24" s="168" t="e">
        <f>COUNTIFS('[1]Current Iso Sign-off Log'!$AE$5:$AE$1783,A24,'[1]Current Iso Sign-off Log'!$L$5:$L$1783,"C",'[1]Current Iso Sign-off Log'!$AF$5:$AF$1783,1)</f>
        <v>#VALUE!</v>
      </c>
      <c r="Z24" s="169" t="e">
        <f t="shared" si="57"/>
        <v>#VALUE!</v>
      </c>
      <c r="AA24" s="439" t="e">
        <f t="shared" si="58"/>
        <v>#VALUE!</v>
      </c>
      <c r="AB24" s="445">
        <v>72</v>
      </c>
      <c r="AC24" s="446">
        <f t="shared" si="22"/>
        <v>-72</v>
      </c>
      <c r="AD24" s="448">
        <v>2655.2</v>
      </c>
      <c r="AE24" s="447">
        <f t="shared" si="23"/>
        <v>-2655.2</v>
      </c>
    </row>
    <row r="25" spans="1:31" s="39" customFormat="1" ht="33" customHeight="1" x14ac:dyDescent="0.75">
      <c r="A25" s="179" t="s">
        <v>581</v>
      </c>
      <c r="B25" s="49" t="e">
        <f t="shared" ref="B25" si="70">SUM(H25/D25)</f>
        <v>#DIV/0!</v>
      </c>
      <c r="C25" s="58" cm="1">
        <f t="array" ref="C25">SUM(IF('Pipe Audit'!$AV$3:$AV$82=A25,IF('Pipe Audit'!$U$3:$U$82&gt;1%,'Pipe Audit'!$K$3:$K$82)))</f>
        <v>0</v>
      </c>
      <c r="D25" s="164">
        <f>SUMIF('Pipe Audit'!$AV$3:$AV$82,A25,'Pipe Audit'!$K$3:$K$82)</f>
        <v>0</v>
      </c>
      <c r="E25" s="163">
        <f>SUMIF('Pipe Audit'!$AV$3:$AV$82,A25,'Pipe Audit'!$BL$3:$BL$82)</f>
        <v>0</v>
      </c>
      <c r="F25" s="38">
        <f t="shared" ref="F25" si="71">D25-E25</f>
        <v>0</v>
      </c>
      <c r="G25" s="52" t="e">
        <f t="shared" ref="G25" si="72">E25/D25</f>
        <v>#DIV/0!</v>
      </c>
      <c r="H25" s="57">
        <f>SUMIF('Pipe Audit'!$AV$3:$AV$82,A25,'Pipe Audit'!$L$3:$L$82)</f>
        <v>0</v>
      </c>
      <c r="I25" s="163">
        <f>SUMIF('Pipe Audit'!$AV$3:$AV$82,A25,'Pipe Audit'!$P$3:$P$82)</f>
        <v>0</v>
      </c>
      <c r="J25" s="262">
        <f t="shared" ref="J25" si="73">H25-I25</f>
        <v>0</v>
      </c>
      <c r="K25" s="265" t="e">
        <f t="shared" ref="K25" si="74">I25/H25</f>
        <v>#DIV/0!</v>
      </c>
      <c r="L25" s="133">
        <f>SUMIF('Pipe Audit'!$AV$3:$AV$82,'Model Area '!A25,'Pipe Audit'!$BD$3:$BD$82)</f>
        <v>0</v>
      </c>
      <c r="M25" s="134">
        <f>SUMIF('Pipe Audit'!$AV$2:AV$82,A25,'Pipe Audit'!$BE$2:$BE$82)</f>
        <v>0</v>
      </c>
      <c r="N25" s="134">
        <f t="shared" ref="N25" si="75">L25-M25</f>
        <v>0</v>
      </c>
      <c r="O25" s="135" t="e">
        <f t="shared" ref="O25" si="76">M25/L25</f>
        <v>#DIV/0!</v>
      </c>
      <c r="P25" s="144">
        <f>SUMIF('Pipe Audit'!$AV$3:$AV$82,A25,'Pipe Audit'!$AJ$3:$AJ$82)</f>
        <v>0</v>
      </c>
      <c r="Q25" s="37" cm="1">
        <f t="array" ref="Q25">SUM(IF('Pipe Audit'!$AV$3:$AV$82=A25,IF('Pipe Audit'!$Q$3:$Q$82&gt;5%,'Pipe Audit'!$AJ$3:$AJ$82)))</f>
        <v>0</v>
      </c>
      <c r="R25" s="37">
        <f t="shared" ref="R25" si="77">SUM(P25-Q25)</f>
        <v>0</v>
      </c>
      <c r="S25" s="136" t="e">
        <f t="shared" ref="S25" si="78">Q25/P25</f>
        <v>#DIV/0!</v>
      </c>
      <c r="T25" s="134" cm="1">
        <f t="array" ref="T25">SUM(IF('Pipe Audit'!$AV$3:$AV$82=A25,IF('Pipe Audit'!$U$3:$U$82&gt;0,'Pipe Audit'!$AJ$3:$AJ$82)))</f>
        <v>0</v>
      </c>
      <c r="U25" s="137">
        <f t="shared" ref="U25" si="79">P25-T25</f>
        <v>0</v>
      </c>
      <c r="V25" s="138" t="e">
        <f t="shared" ref="V25" si="80">SUM(T25/P25)</f>
        <v>#DIV/0!</v>
      </c>
      <c r="W25" s="167"/>
      <c r="X25" s="168"/>
      <c r="Y25" s="168"/>
      <c r="Z25" s="169"/>
      <c r="AA25" s="439"/>
      <c r="AB25" s="477">
        <v>27</v>
      </c>
      <c r="AC25" s="478"/>
      <c r="AD25" s="479">
        <v>917</v>
      </c>
      <c r="AE25" s="480"/>
    </row>
    <row r="26" spans="1:31" s="39" customFormat="1" ht="33" customHeight="1" x14ac:dyDescent="0.75">
      <c r="A26" s="179" t="s">
        <v>580</v>
      </c>
      <c r="B26" s="49" t="e">
        <f t="shared" ref="B26:B27" si="81">SUM(H26/D26)</f>
        <v>#DIV/0!</v>
      </c>
      <c r="C26" s="58" cm="1">
        <f t="array" ref="C26">SUM(IF('Pipe Audit'!$AV$3:$AV$82=A26,IF('Pipe Audit'!$U$3:$U$82&gt;1%,'Pipe Audit'!$K$3:$K$82)))</f>
        <v>0</v>
      </c>
      <c r="D26" s="164">
        <f>SUMIF('Pipe Audit'!$AV$3:$AV$82,A26,'Pipe Audit'!$K$3:$K$82)</f>
        <v>0</v>
      </c>
      <c r="E26" s="163">
        <f>SUMIF('Pipe Audit'!$AV$3:$AV$82,A26,'Pipe Audit'!$BL$3:$BL$82)</f>
        <v>0</v>
      </c>
      <c r="F26" s="38">
        <f t="shared" ref="F26:F27" si="82">D26-E26</f>
        <v>0</v>
      </c>
      <c r="G26" s="52" t="e">
        <f t="shared" ref="G26:G27" si="83">E26/D26</f>
        <v>#DIV/0!</v>
      </c>
      <c r="H26" s="57">
        <f>SUMIF('Pipe Audit'!$AV$3:$AV$82,A26,'Pipe Audit'!$L$3:$L$82)</f>
        <v>0</v>
      </c>
      <c r="I26" s="163">
        <f>SUMIF('Pipe Audit'!$AV$3:$AV$82,A26,'Pipe Audit'!$P$3:$P$82)</f>
        <v>0</v>
      </c>
      <c r="J26" s="262">
        <f t="shared" ref="J26:J27" si="84">H26-I26</f>
        <v>0</v>
      </c>
      <c r="K26" s="265" t="e">
        <f t="shared" ref="K26:K27" si="85">I26/H26</f>
        <v>#DIV/0!</v>
      </c>
      <c r="L26" s="133">
        <f>SUMIF('Pipe Audit'!$AV$3:$AV$82,'Model Area '!A26,'Pipe Audit'!$BD$3:$BD$82)</f>
        <v>0</v>
      </c>
      <c r="M26" s="134">
        <f>SUMIF('Pipe Audit'!$AV$2:AV$82,A26,'Pipe Audit'!$BE$2:$BE$82)</f>
        <v>0</v>
      </c>
      <c r="N26" s="134">
        <f t="shared" ref="N26:N27" si="86">L26-M26</f>
        <v>0</v>
      </c>
      <c r="O26" s="135" t="e">
        <f t="shared" ref="O26:O27" si="87">M26/L26</f>
        <v>#DIV/0!</v>
      </c>
      <c r="P26" s="144">
        <f>SUMIF('Pipe Audit'!$AV$3:$AV$82,A26,'Pipe Audit'!$AJ$3:$AJ$82)</f>
        <v>0</v>
      </c>
      <c r="Q26" s="37" cm="1">
        <f t="array" ref="Q26">SUM(IF('Pipe Audit'!$AV$3:$AV$82=A26,IF('Pipe Audit'!$Q$3:$Q$82&gt;5%,'Pipe Audit'!$AJ$3:$AJ$82)))</f>
        <v>0</v>
      </c>
      <c r="R26" s="37">
        <f t="shared" ref="R26:R27" si="88">SUM(P26-Q26)</f>
        <v>0</v>
      </c>
      <c r="S26" s="136" t="e">
        <f t="shared" ref="S26:S27" si="89">Q26/P26</f>
        <v>#DIV/0!</v>
      </c>
      <c r="T26" s="134" cm="1">
        <f t="array" ref="T26">SUM(IF('Pipe Audit'!$AV$3:$AV$82=A26,IF('Pipe Audit'!$U$3:$U$82&gt;0,'Pipe Audit'!$AJ$3:$AJ$82)))</f>
        <v>0</v>
      </c>
      <c r="U26" s="137">
        <f t="shared" ref="U26:U27" si="90">P26-T26</f>
        <v>0</v>
      </c>
      <c r="V26" s="138" t="e">
        <f t="shared" ref="V26:V27" si="91">SUM(T26/P26)</f>
        <v>#DIV/0!</v>
      </c>
      <c r="W26" s="167"/>
      <c r="X26" s="168"/>
      <c r="Y26" s="168"/>
      <c r="Z26" s="169"/>
      <c r="AA26" s="439"/>
      <c r="AB26" s="477">
        <v>57</v>
      </c>
      <c r="AC26" s="478"/>
      <c r="AD26" s="479">
        <v>2962</v>
      </c>
      <c r="AE26" s="480"/>
    </row>
    <row r="27" spans="1:31" s="39" customFormat="1" ht="33" customHeight="1" x14ac:dyDescent="0.75">
      <c r="A27" s="179" t="s">
        <v>584</v>
      </c>
      <c r="B27" s="49" t="e">
        <f t="shared" si="81"/>
        <v>#DIV/0!</v>
      </c>
      <c r="C27" s="58" cm="1">
        <f t="array" ref="C27">SUM(IF('Pipe Audit'!$AV$3:$AV$82=A27,IF('Pipe Audit'!$U$3:$U$82&gt;1%,'Pipe Audit'!$K$3:$K$82)))</f>
        <v>0</v>
      </c>
      <c r="D27" s="164">
        <f>SUMIF('Pipe Audit'!$AV$3:$AV$82,A27,'Pipe Audit'!$K$3:$K$82)</f>
        <v>0</v>
      </c>
      <c r="E27" s="163">
        <f>SUMIF('Pipe Audit'!$AV$3:$AV$82,A27,'Pipe Audit'!$BL$3:$BL$82)</f>
        <v>0</v>
      </c>
      <c r="F27" s="38">
        <f t="shared" si="82"/>
        <v>0</v>
      </c>
      <c r="G27" s="52" t="e">
        <f t="shared" si="83"/>
        <v>#DIV/0!</v>
      </c>
      <c r="H27" s="57">
        <f>SUMIF('Pipe Audit'!$AV$3:$AV$82,A27,'Pipe Audit'!$L$3:$L$82)</f>
        <v>0</v>
      </c>
      <c r="I27" s="163">
        <f>SUMIF('Pipe Audit'!$AV$3:$AV$82,A27,'Pipe Audit'!$P$3:$P$82)</f>
        <v>0</v>
      </c>
      <c r="J27" s="262">
        <f t="shared" si="84"/>
        <v>0</v>
      </c>
      <c r="K27" s="265" t="e">
        <f t="shared" si="85"/>
        <v>#DIV/0!</v>
      </c>
      <c r="L27" s="133">
        <f>SUMIF('Pipe Audit'!$AV$3:$AV$82,'Model Area '!A27,'Pipe Audit'!$BD$3:$BD$82)</f>
        <v>0</v>
      </c>
      <c r="M27" s="134">
        <f>SUMIF('Pipe Audit'!$AV$2:AV$82,A27,'Pipe Audit'!$BE$2:$BE$82)</f>
        <v>0</v>
      </c>
      <c r="N27" s="134">
        <f t="shared" si="86"/>
        <v>0</v>
      </c>
      <c r="O27" s="135" t="e">
        <f t="shared" si="87"/>
        <v>#DIV/0!</v>
      </c>
      <c r="P27" s="144">
        <f>SUMIF('Pipe Audit'!$AV$3:$AV$82,A27,'Pipe Audit'!$AJ$3:$AJ$82)</f>
        <v>0</v>
      </c>
      <c r="Q27" s="37" cm="1">
        <f t="array" ref="Q27">SUM(IF('Pipe Audit'!$AV$3:$AV$82=A27,IF('Pipe Audit'!$Q$3:$Q$82&gt;5%,'Pipe Audit'!$AJ$3:$AJ$82)))</f>
        <v>0</v>
      </c>
      <c r="R27" s="37">
        <f t="shared" si="88"/>
        <v>0</v>
      </c>
      <c r="S27" s="136" t="e">
        <f t="shared" si="89"/>
        <v>#DIV/0!</v>
      </c>
      <c r="T27" s="134" cm="1">
        <f t="array" ref="T27">SUM(IF('Pipe Audit'!$AV$3:$AV$82=A27,IF('Pipe Audit'!$U$3:$U$82&gt;0,'Pipe Audit'!$AJ$3:$AJ$82)))</f>
        <v>0</v>
      </c>
      <c r="U27" s="137">
        <f t="shared" si="90"/>
        <v>0</v>
      </c>
      <c r="V27" s="138" t="e">
        <f t="shared" si="91"/>
        <v>#DIV/0!</v>
      </c>
      <c r="W27" s="167"/>
      <c r="X27" s="168"/>
      <c r="Y27" s="168"/>
      <c r="Z27" s="169"/>
      <c r="AA27" s="439"/>
      <c r="AB27" s="477">
        <v>16</v>
      </c>
      <c r="AC27" s="478"/>
      <c r="AD27" s="479">
        <v>395</v>
      </c>
      <c r="AE27" s="480"/>
    </row>
    <row r="28" spans="1:31" s="39" customFormat="1" ht="33" customHeight="1" x14ac:dyDescent="0.75">
      <c r="A28" s="179" t="s">
        <v>574</v>
      </c>
      <c r="B28" s="49" t="e">
        <f t="shared" ref="B28:B30" si="92">SUM(H28/D28)</f>
        <v>#DIV/0!</v>
      </c>
      <c r="C28" s="58" cm="1">
        <f t="array" ref="C28">SUM(IF('Pipe Audit'!$AV$3:$AV$82=A28,IF('Pipe Audit'!$U$3:$U$82&gt;1%,'Pipe Audit'!$K$3:$K$82)))</f>
        <v>0</v>
      </c>
      <c r="D28" s="164">
        <f>SUMIF('Pipe Audit'!$AV$3:$AV$82,A28,'Pipe Audit'!$K$3:$K$82)</f>
        <v>0</v>
      </c>
      <c r="E28" s="163">
        <f>SUMIF('Pipe Audit'!$AV$3:$AV$82,A28,'Pipe Audit'!$BL$3:$BL$82)</f>
        <v>0</v>
      </c>
      <c r="F28" s="38">
        <f t="shared" ref="F28" si="93">D28-E28</f>
        <v>0</v>
      </c>
      <c r="G28" s="52" t="e">
        <f t="shared" ref="G28" si="94">E28/D28</f>
        <v>#DIV/0!</v>
      </c>
      <c r="H28" s="57">
        <f>SUMIF('Pipe Audit'!$AV$3:$AV$82,A28,'Pipe Audit'!$L$3:$L$82)</f>
        <v>0</v>
      </c>
      <c r="I28" s="163">
        <f>SUMIF('Pipe Audit'!$AV$3:$AV$82,A28,'Pipe Audit'!$P$3:$P$82)</f>
        <v>0</v>
      </c>
      <c r="J28" s="262">
        <f t="shared" ref="J28:J30" si="95">H28-I28</f>
        <v>0</v>
      </c>
      <c r="K28" s="265" t="e">
        <f t="shared" ref="K28:K30" si="96">I28/H28</f>
        <v>#DIV/0!</v>
      </c>
      <c r="L28" s="133">
        <f>SUMIF('Pipe Audit'!$AV$3:$AV$82,'Model Area '!A28,'Pipe Audit'!$BD$3:$BD$82)</f>
        <v>0</v>
      </c>
      <c r="M28" s="134">
        <f>SUMIF('Pipe Audit'!$AV$2:AV$82,A28,'Pipe Audit'!$BE$2:$BE$82)</f>
        <v>0</v>
      </c>
      <c r="N28" s="134">
        <f t="shared" ref="N28:N30" si="97">L28-M28</f>
        <v>0</v>
      </c>
      <c r="O28" s="135" t="e">
        <f t="shared" ref="O28:O30" si="98">M28/L28</f>
        <v>#DIV/0!</v>
      </c>
      <c r="P28" s="144">
        <f>SUMIF('Pipe Audit'!$AV$3:$AV$82,A28,'Pipe Audit'!$AJ$3:$AJ$82)</f>
        <v>0</v>
      </c>
      <c r="Q28" s="37" cm="1">
        <f t="array" ref="Q28">SUM(IF('Pipe Audit'!$AV$3:$AV$82=A28,IF('Pipe Audit'!$Q$3:$Q$82&gt;5%,'Pipe Audit'!$AJ$3:$AJ$82)))</f>
        <v>0</v>
      </c>
      <c r="R28" s="37">
        <f t="shared" ref="R28:R30" si="99">SUM(P28-Q28)</f>
        <v>0</v>
      </c>
      <c r="S28" s="136" t="e">
        <f t="shared" ref="S28:S30" si="100">Q28/P28</f>
        <v>#DIV/0!</v>
      </c>
      <c r="T28" s="134" cm="1">
        <f t="array" ref="T28">SUM(IF('Pipe Audit'!$AV$3:$AV$82=A28,IF('Pipe Audit'!$U$3:$U$82&gt;0,'Pipe Audit'!$AJ$3:$AJ$82)))</f>
        <v>0</v>
      </c>
      <c r="U28" s="137">
        <f t="shared" ref="U28:U30" si="101">P28-T28</f>
        <v>0</v>
      </c>
      <c r="V28" s="138" t="e">
        <f t="shared" ref="V28:V30" si="102">SUM(T28/P28)</f>
        <v>#DIV/0!</v>
      </c>
      <c r="W28" s="167"/>
      <c r="X28" s="168"/>
      <c r="Y28" s="168"/>
      <c r="Z28" s="169"/>
      <c r="AA28" s="439"/>
      <c r="AB28" s="477">
        <v>6</v>
      </c>
      <c r="AC28" s="478"/>
      <c r="AD28" s="479">
        <v>210</v>
      </c>
      <c r="AE28" s="480"/>
    </row>
    <row r="29" spans="1:31" s="39" customFormat="1" ht="33" customHeight="1" x14ac:dyDescent="0.75">
      <c r="A29" s="179" t="s">
        <v>588</v>
      </c>
      <c r="B29" s="49" t="e">
        <f t="shared" si="92"/>
        <v>#DIV/0!</v>
      </c>
      <c r="C29" s="58" cm="1">
        <f t="array" ref="C29">SUM(IF('Pipe Audit'!$AV$3:$AV$82=A29,IF('Pipe Audit'!$U$3:$U$82&gt;1%,'Pipe Audit'!$K$3:$K$82)))</f>
        <v>0</v>
      </c>
      <c r="D29" s="164">
        <f>SUMIF('Pipe Audit'!$AV$3:$AV$82,A29,'Pipe Audit'!$K$3:$K$82)</f>
        <v>0</v>
      </c>
      <c r="E29" s="163">
        <f>SUMIF('Pipe Audit'!$AV$3:$AV$82,A29,'Pipe Audit'!$BL$3:$BL$82)</f>
        <v>0</v>
      </c>
      <c r="F29" s="38">
        <f t="shared" ref="F29:F30" si="103">D29-E29</f>
        <v>0</v>
      </c>
      <c r="G29" s="52" t="e">
        <f t="shared" ref="G29:G30" si="104">E29/D29</f>
        <v>#DIV/0!</v>
      </c>
      <c r="H29" s="57">
        <f>SUMIF('Pipe Audit'!$AV$3:$AV$82,A29,'Pipe Audit'!$L$3:$L$82)</f>
        <v>0</v>
      </c>
      <c r="I29" s="163">
        <f>SUMIF('Pipe Audit'!$AV$3:$AV$82,A29,'Pipe Audit'!$P$3:$P$82)</f>
        <v>0</v>
      </c>
      <c r="J29" s="262">
        <f t="shared" si="95"/>
        <v>0</v>
      </c>
      <c r="K29" s="265" t="e">
        <f t="shared" si="96"/>
        <v>#DIV/0!</v>
      </c>
      <c r="L29" s="133">
        <f>SUMIF('Pipe Audit'!$AV$3:$AV$82,'Model Area '!A29,'Pipe Audit'!$BD$3:$BD$82)</f>
        <v>0</v>
      </c>
      <c r="M29" s="134">
        <f>SUMIF('Pipe Audit'!$AV$2:AV$82,A29,'Pipe Audit'!$BE$2:$BE$82)</f>
        <v>0</v>
      </c>
      <c r="N29" s="134">
        <f t="shared" si="97"/>
        <v>0</v>
      </c>
      <c r="O29" s="135" t="e">
        <f t="shared" si="98"/>
        <v>#DIV/0!</v>
      </c>
      <c r="P29" s="144">
        <f>SUMIF('Pipe Audit'!$AV$3:$AV$82,A29,'Pipe Audit'!$AJ$3:$AJ$82)</f>
        <v>0</v>
      </c>
      <c r="Q29" s="37" cm="1">
        <f t="array" ref="Q29">SUM(IF('Pipe Audit'!$AV$3:$AV$82=A29,IF('Pipe Audit'!$Q$3:$Q$82&gt;5%,'Pipe Audit'!$AJ$3:$AJ$82)))</f>
        <v>0</v>
      </c>
      <c r="R29" s="37">
        <f t="shared" si="99"/>
        <v>0</v>
      </c>
      <c r="S29" s="136" t="e">
        <f t="shared" si="100"/>
        <v>#DIV/0!</v>
      </c>
      <c r="T29" s="134" cm="1">
        <f t="array" ref="T29">SUM(IF('Pipe Audit'!$AV$3:$AV$82=A29,IF('Pipe Audit'!$U$3:$U$82&gt;0,'Pipe Audit'!$AJ$3:$AJ$82)))</f>
        <v>0</v>
      </c>
      <c r="U29" s="137">
        <f t="shared" si="101"/>
        <v>0</v>
      </c>
      <c r="V29" s="138" t="e">
        <f t="shared" si="102"/>
        <v>#DIV/0!</v>
      </c>
      <c r="W29" s="167"/>
      <c r="X29" s="168"/>
      <c r="Y29" s="168"/>
      <c r="Z29" s="169"/>
      <c r="AA29" s="439"/>
      <c r="AB29" s="477">
        <v>0</v>
      </c>
      <c r="AC29" s="478"/>
      <c r="AD29" s="479">
        <v>0</v>
      </c>
      <c r="AE29" s="480"/>
    </row>
    <row r="30" spans="1:31" s="39" customFormat="1" ht="33" customHeight="1" thickBot="1" x14ac:dyDescent="0.8">
      <c r="A30" s="179" t="s">
        <v>573</v>
      </c>
      <c r="B30" s="49" t="e">
        <f t="shared" si="92"/>
        <v>#DIV/0!</v>
      </c>
      <c r="C30" s="58" cm="1">
        <f t="array" ref="C30">SUM(IF('Pipe Audit'!$AV$3:$AV$82=A30,IF('Pipe Audit'!$U$3:$U$82&gt;1%,'Pipe Audit'!$K$3:$K$82)))</f>
        <v>0</v>
      </c>
      <c r="D30" s="164">
        <f>SUMIF('Pipe Audit'!$AV$3:$AV$82,A30,'Pipe Audit'!$K$3:$K$82)</f>
        <v>0</v>
      </c>
      <c r="E30" s="163">
        <f>SUMIF('Pipe Audit'!$AV$3:$AV$82,A30,'Pipe Audit'!$BL$3:$BL$82)</f>
        <v>0</v>
      </c>
      <c r="F30" s="38">
        <f t="shared" si="103"/>
        <v>0</v>
      </c>
      <c r="G30" s="52" t="e">
        <f t="shared" si="104"/>
        <v>#DIV/0!</v>
      </c>
      <c r="H30" s="57">
        <f>SUMIF('Pipe Audit'!$AV$3:$AV$82,A30,'Pipe Audit'!$L$3:$L$82)</f>
        <v>0</v>
      </c>
      <c r="I30" s="163">
        <f>SUMIF('Pipe Audit'!$AV$3:$AV$82,A30,'Pipe Audit'!$P$3:$P$82)</f>
        <v>0</v>
      </c>
      <c r="J30" s="262">
        <f t="shared" si="95"/>
        <v>0</v>
      </c>
      <c r="K30" s="265" t="e">
        <f t="shared" si="96"/>
        <v>#DIV/0!</v>
      </c>
      <c r="L30" s="133">
        <f>SUMIF('Pipe Audit'!$AV$3:$AV$82,'Model Area '!A30,'Pipe Audit'!$BD$3:$BD$82)</f>
        <v>0</v>
      </c>
      <c r="M30" s="134">
        <f>SUMIF('Pipe Audit'!$AV$2:AV$82,A30,'Pipe Audit'!$BE$2:$BE$82)</f>
        <v>0</v>
      </c>
      <c r="N30" s="134">
        <f t="shared" si="97"/>
        <v>0</v>
      </c>
      <c r="O30" s="135" t="e">
        <f t="shared" si="98"/>
        <v>#DIV/0!</v>
      </c>
      <c r="P30" s="144">
        <f>SUMIF('Pipe Audit'!$AV$3:$AV$82,A30,'Pipe Audit'!$AJ$3:$AJ$82)</f>
        <v>0</v>
      </c>
      <c r="Q30" s="37" cm="1">
        <f t="array" ref="Q30">SUM(IF('Pipe Audit'!$AV$3:$AV$82=A30,IF('Pipe Audit'!$Q$3:$Q$82&gt;5%,'Pipe Audit'!$AJ$3:$AJ$82)))</f>
        <v>0</v>
      </c>
      <c r="R30" s="37">
        <f t="shared" si="99"/>
        <v>0</v>
      </c>
      <c r="S30" s="136" t="e">
        <f t="shared" si="100"/>
        <v>#DIV/0!</v>
      </c>
      <c r="T30" s="134" cm="1">
        <f t="array" ref="T30">SUM(IF('Pipe Audit'!$AV$3:$AV$82=A30,IF('Pipe Audit'!$U$3:$U$82&gt;0,'Pipe Audit'!$AJ$3:$AJ$82)))</f>
        <v>0</v>
      </c>
      <c r="U30" s="137">
        <f t="shared" si="101"/>
        <v>0</v>
      </c>
      <c r="V30" s="138" t="e">
        <f t="shared" si="102"/>
        <v>#DIV/0!</v>
      </c>
      <c r="W30" s="167"/>
      <c r="X30" s="168"/>
      <c r="Y30" s="168"/>
      <c r="Z30" s="169"/>
      <c r="AA30" s="439"/>
      <c r="AB30" s="477">
        <v>83</v>
      </c>
      <c r="AC30" s="478"/>
      <c r="AD30" s="479">
        <v>3974</v>
      </c>
      <c r="AE30" s="480"/>
    </row>
    <row r="31" spans="1:31" s="39" customFormat="1" ht="33" customHeight="1" thickBot="1" x14ac:dyDescent="0.4">
      <c r="A31" s="369" t="s">
        <v>14</v>
      </c>
      <c r="B31" s="370" t="e">
        <f t="shared" si="11"/>
        <v>#DIV/0!</v>
      </c>
      <c r="C31" s="264">
        <f>SUM(C3:C30)</f>
        <v>0</v>
      </c>
      <c r="D31" s="65">
        <f>SUM(D3:D30)</f>
        <v>0</v>
      </c>
      <c r="E31" s="65">
        <f>SUM(E3:E30)</f>
        <v>0</v>
      </c>
      <c r="F31" s="40">
        <f>SUM(F3:F30)</f>
        <v>0</v>
      </c>
      <c r="G31" s="41" t="e">
        <f>SUM(E31/D31)</f>
        <v>#DIV/0!</v>
      </c>
      <c r="H31" s="40">
        <f>SUM(H3:H30)</f>
        <v>0</v>
      </c>
      <c r="I31" s="66">
        <f>SUM(I3:I30)</f>
        <v>0</v>
      </c>
      <c r="J31" s="263">
        <f>SUM(J3:J30)</f>
        <v>0</v>
      </c>
      <c r="K31" s="55" t="e">
        <f>SUM(I31/H31)</f>
        <v>#DIV/0!</v>
      </c>
      <c r="L31" s="264">
        <f>SUM(L3:L30)</f>
        <v>0</v>
      </c>
      <c r="M31" s="40">
        <f>SUM(M3:M30)</f>
        <v>0</v>
      </c>
      <c r="N31" s="40">
        <f>L31-M31</f>
        <v>0</v>
      </c>
      <c r="O31" s="42" t="e">
        <f>M31/L31</f>
        <v>#DIV/0!</v>
      </c>
      <c r="P31" s="334">
        <f>SUM(P3:P30)</f>
        <v>0</v>
      </c>
      <c r="Q31" s="40">
        <f>SUM(Q3:Q30)</f>
        <v>0</v>
      </c>
      <c r="R31" s="40">
        <f>SUM(R3:R30)</f>
        <v>0</v>
      </c>
      <c r="S31" s="41" t="e">
        <f>Q31/P31</f>
        <v>#DIV/0!</v>
      </c>
      <c r="T31" s="40">
        <f>SUM(T3:T30)</f>
        <v>0</v>
      </c>
      <c r="U31" s="40">
        <f>SUM(U3:U30)</f>
        <v>0</v>
      </c>
      <c r="V31" s="368" t="e">
        <f t="shared" si="21"/>
        <v>#DIV/0!</v>
      </c>
      <c r="W31" s="367" t="e">
        <f>SUM(W3:W30)</f>
        <v>#VALUE!</v>
      </c>
      <c r="X31" s="66" t="e">
        <f>SUM(X3:X30)</f>
        <v>#VALUE!</v>
      </c>
      <c r="Y31" s="66" t="e">
        <f>SUM(Y3:Y30)</f>
        <v>#VALUE!</v>
      </c>
      <c r="Z31" s="66" t="e">
        <f>SUM(Z3:Z30)</f>
        <v>#VALUE!</v>
      </c>
      <c r="AA31" s="66" t="e">
        <f>Y31/Z31</f>
        <v>#VALUE!</v>
      </c>
      <c r="AB31" s="40">
        <v>3588</v>
      </c>
      <c r="AC31" s="450">
        <f>SUM(AC3:AC30)</f>
        <v>-5355</v>
      </c>
      <c r="AD31" s="450">
        <v>95802.2</v>
      </c>
      <c r="AE31" s="450">
        <f>SUM(AE3:AE30)</f>
        <v>-117142.10000000003</v>
      </c>
    </row>
    <row r="32" spans="1:31" ht="30" customHeight="1" x14ac:dyDescent="0.35">
      <c r="A32" s="39"/>
      <c r="D32" s="14"/>
      <c r="F32" s="14"/>
      <c r="G32" s="43"/>
      <c r="H32" s="14"/>
      <c r="J32" s="14"/>
      <c r="P32" s="14"/>
      <c r="Q32" s="31"/>
      <c r="R32" s="31"/>
      <c r="S32" s="44"/>
      <c r="T32" s="45"/>
      <c r="U32" s="45"/>
      <c r="V32" s="45"/>
      <c r="W32" s="14"/>
      <c r="X32" s="43"/>
      <c r="Y32" s="43"/>
      <c r="Z32" s="43"/>
      <c r="AA32" s="43"/>
      <c r="AB32" s="449" t="s">
        <v>561</v>
      </c>
      <c r="AD32" s="449" t="s">
        <v>561</v>
      </c>
    </row>
  </sheetData>
  <customSheetViews>
    <customSheetView guid="{D05407CA-A4E5-464E-9CB8-5A451EF2790E}" scale="55" showPageBreaks="1" zeroValues="0" printArea="1" hiddenRows="1">
      <pane xSplit="3" ySplit="2" topLeftCell="D3" activePane="bottomRight" state="frozen"/>
      <selection pane="bottomRight" activeCell="A3" sqref="A3"/>
      <rowBreaks count="2" manualBreakCount="2">
        <brk id="9" max="27" man="1"/>
        <brk id="16" max="16383" man="1"/>
      </rowBreaks>
      <pageMargins left="0.17" right="0" top="0.79" bottom="0.48" header="0.3" footer="0.26"/>
      <printOptions horizontalCentered="1"/>
      <pageSetup paperSize="17" scale="120" orientation="landscape" r:id="rId1"/>
      <headerFooter alignWithMargins="0">
        <oddHeader>&amp;L&amp;D&amp;C&amp;"Arial,Bold"&amp;26 QUANTITIES BY MODEL AREA</oddHeader>
        <oddFooter>&amp;L&amp;F&amp;A&amp;CPage &amp;P of &amp;N</oddFooter>
      </headerFooter>
    </customSheetView>
    <customSheetView guid="{5F969C1A-C5D2-43FD-A92E-4F6253B0E58B}" scale="55" zeroValues="0" hiddenRows="1" showRuler="0">
      <pane xSplit="3" ySplit="2" topLeftCell="D3" activePane="bottomRight" state="frozen"/>
      <selection pane="bottomRight" activeCell="A3" sqref="A3"/>
      <rowBreaks count="1" manualBreakCount="1">
        <brk id="16" max="16383" man="1"/>
      </rowBreaks>
      <pageMargins left="0.17" right="0" top="0.79" bottom="0.48" header="0.3" footer="0.26"/>
      <printOptions horizontalCentered="1"/>
      <pageSetup paperSize="17" scale="120" orientation="landscape" r:id="rId2"/>
      <headerFooter alignWithMargins="0">
        <oddHeader>&amp;L&amp;D&amp;C&amp;"Arial,Bold"&amp;26 QUANTITIES BY MODEL AREA</oddHeader>
        <oddFooter>&amp;L&amp;F&amp;A&amp;CPage &amp;P of &amp;N</oddFooter>
      </headerFooter>
    </customSheetView>
  </customSheetViews>
  <mergeCells count="5">
    <mergeCell ref="W1:AA1"/>
    <mergeCell ref="D1:G1"/>
    <mergeCell ref="H1:K1"/>
    <mergeCell ref="L1:O1"/>
    <mergeCell ref="P1:V1"/>
  </mergeCells>
  <phoneticPr fontId="52" type="noConversion"/>
  <printOptions horizontalCentered="1"/>
  <pageMargins left="0.17" right="0" top="0.79" bottom="0.48" header="0.3" footer="0.26"/>
  <pageSetup paperSize="17" scale="68" fitToHeight="0" orientation="landscape" r:id="rId3"/>
  <headerFooter alignWithMargins="0">
    <oddHeader>&amp;L&amp;D&amp;C&amp;"Arial,Bold"&amp;26 QUANTITIES BY MODEL AREA</oddHeader>
    <oddFooter>&amp;L&amp;F&amp;A&amp;CPage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A4E0-125C-4959-BAB1-A9127285E374}">
  <sheetPr>
    <tabColor rgb="FF92D050"/>
  </sheetPr>
  <dimension ref="A1:ED57"/>
  <sheetViews>
    <sheetView showZeros="0" workbookViewId="0">
      <pane xSplit="1" ySplit="1" topLeftCell="CF2" activePane="bottomRight" state="frozen"/>
      <selection pane="topRight" activeCell="B1" sqref="B1"/>
      <selection pane="bottomLeft" activeCell="A4" sqref="A4"/>
      <selection pane="bottomRight" activeCell="CH36" sqref="CH36"/>
    </sheetView>
  </sheetViews>
  <sheetFormatPr defaultColWidth="8.90625" defaultRowHeight="12.5" x14ac:dyDescent="0.25"/>
  <cols>
    <col min="1" max="1" width="35.36328125" style="2" customWidth="1"/>
    <col min="2" max="19" width="8.90625" style="2" hidden="1" customWidth="1"/>
    <col min="20" max="21" width="11.36328125" style="2" hidden="1" customWidth="1"/>
    <col min="22" max="22" width="10.36328125" style="2" hidden="1" customWidth="1"/>
    <col min="23" max="23" width="11.36328125" style="2" hidden="1" customWidth="1"/>
    <col min="24" max="27" width="10.36328125" style="2" hidden="1" customWidth="1"/>
    <col min="28" max="28" width="9.6328125" style="2" hidden="1" customWidth="1"/>
    <col min="29" max="29" width="11.36328125" style="2" hidden="1" customWidth="1"/>
    <col min="30" max="30" width="12.36328125" style="2" hidden="1" customWidth="1"/>
    <col min="31" max="32" width="10.36328125" style="2" hidden="1" customWidth="1"/>
    <col min="33" max="33" width="9.90625" style="2" hidden="1" customWidth="1"/>
    <col min="34" max="42" width="10.36328125" style="2" hidden="1" customWidth="1"/>
    <col min="43" max="43" width="11.36328125" style="2" hidden="1" customWidth="1"/>
    <col min="44" max="46" width="10.36328125" style="2" hidden="1" customWidth="1"/>
    <col min="47" max="47" width="8.90625" style="2" hidden="1" customWidth="1"/>
    <col min="48" max="49" width="10.36328125" style="2" hidden="1" customWidth="1"/>
    <col min="50" max="52" width="11.453125" style="2" hidden="1" customWidth="1"/>
    <col min="53" max="54" width="9.36328125" style="2" hidden="1" customWidth="1"/>
    <col min="55" max="56" width="8.90625" style="2" hidden="1" customWidth="1"/>
    <col min="57" max="57" width="11.36328125" style="2" customWidth="1"/>
    <col min="58" max="58" width="9.54296875" style="2" customWidth="1"/>
    <col min="59" max="81" width="8.90625" style="2" customWidth="1"/>
    <col min="82" max="82" width="11.90625" style="2" customWidth="1"/>
    <col min="83" max="84" width="11.6328125" style="2" customWidth="1"/>
    <col min="85" max="116" width="10.453125" style="2" bestFit="1" customWidth="1"/>
    <col min="117" max="132" width="9.36328125" style="2" bestFit="1" customWidth="1"/>
    <col min="133" max="133" width="10.36328125" style="2" bestFit="1" customWidth="1"/>
    <col min="134" max="134" width="14.453125" style="2" customWidth="1"/>
    <col min="135" max="16384" width="8.90625" style="2"/>
  </cols>
  <sheetData>
    <row r="1" spans="1:134" x14ac:dyDescent="0.25">
      <c r="A1" s="186"/>
      <c r="B1" s="371">
        <v>44107</v>
      </c>
      <c r="C1" s="371">
        <f t="shared" ref="C1:BN1" si="0">B1+7</f>
        <v>44114</v>
      </c>
      <c r="D1" s="371">
        <f t="shared" si="0"/>
        <v>44121</v>
      </c>
      <c r="E1" s="371">
        <f t="shared" si="0"/>
        <v>44128</v>
      </c>
      <c r="F1" s="371">
        <f t="shared" si="0"/>
        <v>44135</v>
      </c>
      <c r="G1" s="371">
        <f t="shared" si="0"/>
        <v>44142</v>
      </c>
      <c r="H1" s="371">
        <f t="shared" si="0"/>
        <v>44149</v>
      </c>
      <c r="I1" s="371">
        <f t="shared" si="0"/>
        <v>44156</v>
      </c>
      <c r="J1" s="371">
        <f t="shared" si="0"/>
        <v>44163</v>
      </c>
      <c r="K1" s="371">
        <f t="shared" si="0"/>
        <v>44170</v>
      </c>
      <c r="L1" s="371">
        <f t="shared" si="0"/>
        <v>44177</v>
      </c>
      <c r="M1" s="371">
        <f t="shared" si="0"/>
        <v>44184</v>
      </c>
      <c r="N1" s="371">
        <f t="shared" si="0"/>
        <v>44191</v>
      </c>
      <c r="O1" s="371">
        <f t="shared" si="0"/>
        <v>44198</v>
      </c>
      <c r="P1" s="371">
        <f t="shared" si="0"/>
        <v>44205</v>
      </c>
      <c r="Q1" s="371">
        <f t="shared" si="0"/>
        <v>44212</v>
      </c>
      <c r="R1" s="371">
        <f t="shared" si="0"/>
        <v>44219</v>
      </c>
      <c r="S1" s="371">
        <f t="shared" si="0"/>
        <v>44226</v>
      </c>
      <c r="T1" s="371">
        <f t="shared" si="0"/>
        <v>44233</v>
      </c>
      <c r="U1" s="371">
        <f t="shared" si="0"/>
        <v>44240</v>
      </c>
      <c r="V1" s="371">
        <f t="shared" si="0"/>
        <v>44247</v>
      </c>
      <c r="W1" s="371">
        <f t="shared" si="0"/>
        <v>44254</v>
      </c>
      <c r="X1" s="371">
        <f t="shared" si="0"/>
        <v>44261</v>
      </c>
      <c r="Y1" s="371">
        <f t="shared" si="0"/>
        <v>44268</v>
      </c>
      <c r="Z1" s="371">
        <f t="shared" si="0"/>
        <v>44275</v>
      </c>
      <c r="AA1" s="371">
        <f t="shared" si="0"/>
        <v>44282</v>
      </c>
      <c r="AB1" s="371">
        <f t="shared" si="0"/>
        <v>44289</v>
      </c>
      <c r="AC1" s="371">
        <f t="shared" si="0"/>
        <v>44296</v>
      </c>
      <c r="AD1" s="371">
        <f t="shared" si="0"/>
        <v>44303</v>
      </c>
      <c r="AE1" s="371">
        <f t="shared" si="0"/>
        <v>44310</v>
      </c>
      <c r="AF1" s="371">
        <f t="shared" si="0"/>
        <v>44317</v>
      </c>
      <c r="AG1" s="211">
        <f t="shared" si="0"/>
        <v>44324</v>
      </c>
      <c r="AH1" s="371">
        <f t="shared" si="0"/>
        <v>44331</v>
      </c>
      <c r="AI1" s="371">
        <f t="shared" si="0"/>
        <v>44338</v>
      </c>
      <c r="AJ1" s="371">
        <f t="shared" si="0"/>
        <v>44345</v>
      </c>
      <c r="AK1" s="371">
        <f t="shared" si="0"/>
        <v>44352</v>
      </c>
      <c r="AL1" s="246">
        <f t="shared" si="0"/>
        <v>44359</v>
      </c>
      <c r="AM1" s="371">
        <f t="shared" si="0"/>
        <v>44366</v>
      </c>
      <c r="AN1" s="371">
        <f t="shared" si="0"/>
        <v>44373</v>
      </c>
      <c r="AO1" s="371">
        <f t="shared" si="0"/>
        <v>44380</v>
      </c>
      <c r="AP1" s="371">
        <f t="shared" si="0"/>
        <v>44387</v>
      </c>
      <c r="AQ1" s="371">
        <f t="shared" si="0"/>
        <v>44394</v>
      </c>
      <c r="AR1" s="371">
        <f t="shared" si="0"/>
        <v>44401</v>
      </c>
      <c r="AS1" s="371">
        <f t="shared" si="0"/>
        <v>44408</v>
      </c>
      <c r="AT1" s="371">
        <f t="shared" si="0"/>
        <v>44415</v>
      </c>
      <c r="AU1" s="371">
        <f t="shared" si="0"/>
        <v>44422</v>
      </c>
      <c r="AV1" s="371">
        <f t="shared" si="0"/>
        <v>44429</v>
      </c>
      <c r="AW1" s="371">
        <f t="shared" si="0"/>
        <v>44436</v>
      </c>
      <c r="AX1" s="371">
        <f t="shared" si="0"/>
        <v>44443</v>
      </c>
      <c r="AY1" s="371">
        <f t="shared" si="0"/>
        <v>44450</v>
      </c>
      <c r="AZ1" s="371">
        <f t="shared" si="0"/>
        <v>44457</v>
      </c>
      <c r="BA1" s="371">
        <f t="shared" si="0"/>
        <v>44464</v>
      </c>
      <c r="BB1" s="371">
        <f t="shared" si="0"/>
        <v>44471</v>
      </c>
      <c r="BC1" s="371">
        <f t="shared" si="0"/>
        <v>44478</v>
      </c>
      <c r="BD1" s="371">
        <f t="shared" si="0"/>
        <v>44485</v>
      </c>
      <c r="BE1" s="344">
        <f t="shared" si="0"/>
        <v>44492</v>
      </c>
      <c r="BF1" s="371">
        <f t="shared" si="0"/>
        <v>44499</v>
      </c>
      <c r="BG1" s="371">
        <f t="shared" si="0"/>
        <v>44506</v>
      </c>
      <c r="BH1" s="371">
        <f t="shared" si="0"/>
        <v>44513</v>
      </c>
      <c r="BI1" s="371">
        <f t="shared" si="0"/>
        <v>44520</v>
      </c>
      <c r="BJ1" s="371">
        <f t="shared" si="0"/>
        <v>44527</v>
      </c>
      <c r="BK1" s="371">
        <f t="shared" si="0"/>
        <v>44534</v>
      </c>
      <c r="BL1" s="371">
        <f t="shared" si="0"/>
        <v>44541</v>
      </c>
      <c r="BM1" s="371">
        <f t="shared" si="0"/>
        <v>44548</v>
      </c>
      <c r="BN1" s="371">
        <f t="shared" si="0"/>
        <v>44555</v>
      </c>
      <c r="BO1" s="371">
        <f t="shared" ref="BO1:DZ1" si="1">BN1+7</f>
        <v>44562</v>
      </c>
      <c r="BP1" s="371">
        <f t="shared" si="1"/>
        <v>44569</v>
      </c>
      <c r="BQ1" s="371">
        <f t="shared" si="1"/>
        <v>44576</v>
      </c>
      <c r="BR1" s="371">
        <f t="shared" si="1"/>
        <v>44583</v>
      </c>
      <c r="BS1" s="371">
        <f t="shared" si="1"/>
        <v>44590</v>
      </c>
      <c r="BT1" s="371">
        <f t="shared" si="1"/>
        <v>44597</v>
      </c>
      <c r="BU1" s="371">
        <f t="shared" si="1"/>
        <v>44604</v>
      </c>
      <c r="BV1" s="371">
        <f t="shared" si="1"/>
        <v>44611</v>
      </c>
      <c r="BW1" s="371">
        <f t="shared" si="1"/>
        <v>44618</v>
      </c>
      <c r="BX1" s="371">
        <f t="shared" si="1"/>
        <v>44625</v>
      </c>
      <c r="BY1" s="371">
        <f t="shared" si="1"/>
        <v>44632</v>
      </c>
      <c r="BZ1" s="371">
        <f t="shared" si="1"/>
        <v>44639</v>
      </c>
      <c r="CA1" s="371">
        <f t="shared" si="1"/>
        <v>44646</v>
      </c>
      <c r="CB1" s="371">
        <f t="shared" si="1"/>
        <v>44653</v>
      </c>
      <c r="CC1" s="371">
        <f t="shared" si="1"/>
        <v>44660</v>
      </c>
      <c r="CD1" s="371">
        <f t="shared" si="1"/>
        <v>44667</v>
      </c>
      <c r="CE1" s="371">
        <f t="shared" si="1"/>
        <v>44674</v>
      </c>
      <c r="CF1" s="371">
        <f t="shared" si="1"/>
        <v>44681</v>
      </c>
      <c r="CG1" s="371">
        <f t="shared" si="1"/>
        <v>44688</v>
      </c>
      <c r="CH1" s="371">
        <f t="shared" si="1"/>
        <v>44695</v>
      </c>
      <c r="CI1" s="371">
        <f t="shared" si="1"/>
        <v>44702</v>
      </c>
      <c r="CJ1" s="371">
        <f t="shared" si="1"/>
        <v>44709</v>
      </c>
      <c r="CK1" s="371">
        <f t="shared" si="1"/>
        <v>44716</v>
      </c>
      <c r="CL1" s="371">
        <f t="shared" si="1"/>
        <v>44723</v>
      </c>
      <c r="CM1" s="371">
        <f t="shared" si="1"/>
        <v>44730</v>
      </c>
      <c r="CN1" s="371">
        <f t="shared" si="1"/>
        <v>44737</v>
      </c>
      <c r="CO1" s="371">
        <f t="shared" si="1"/>
        <v>44744</v>
      </c>
      <c r="CP1" s="371">
        <f t="shared" si="1"/>
        <v>44751</v>
      </c>
      <c r="CQ1" s="371">
        <f t="shared" si="1"/>
        <v>44758</v>
      </c>
      <c r="CR1" s="371">
        <f t="shared" si="1"/>
        <v>44765</v>
      </c>
      <c r="CS1" s="371">
        <f t="shared" si="1"/>
        <v>44772</v>
      </c>
      <c r="CT1" s="371">
        <f t="shared" si="1"/>
        <v>44779</v>
      </c>
      <c r="CU1" s="371">
        <f t="shared" si="1"/>
        <v>44786</v>
      </c>
      <c r="CV1" s="371">
        <f t="shared" si="1"/>
        <v>44793</v>
      </c>
      <c r="CW1" s="371">
        <f t="shared" si="1"/>
        <v>44800</v>
      </c>
      <c r="CX1" s="371">
        <f t="shared" si="1"/>
        <v>44807</v>
      </c>
      <c r="CY1" s="371">
        <f t="shared" si="1"/>
        <v>44814</v>
      </c>
      <c r="CZ1" s="371">
        <f t="shared" si="1"/>
        <v>44821</v>
      </c>
      <c r="DA1" s="371">
        <f t="shared" si="1"/>
        <v>44828</v>
      </c>
      <c r="DB1" s="371">
        <f t="shared" si="1"/>
        <v>44835</v>
      </c>
      <c r="DC1" s="371">
        <f t="shared" si="1"/>
        <v>44842</v>
      </c>
      <c r="DD1" s="371">
        <f t="shared" si="1"/>
        <v>44849</v>
      </c>
      <c r="DE1" s="371">
        <f t="shared" si="1"/>
        <v>44856</v>
      </c>
      <c r="DF1" s="371">
        <f t="shared" si="1"/>
        <v>44863</v>
      </c>
      <c r="DG1" s="371">
        <f t="shared" si="1"/>
        <v>44870</v>
      </c>
      <c r="DH1" s="371">
        <f t="shared" si="1"/>
        <v>44877</v>
      </c>
      <c r="DI1" s="371">
        <f t="shared" si="1"/>
        <v>44884</v>
      </c>
      <c r="DJ1" s="371">
        <f t="shared" si="1"/>
        <v>44891</v>
      </c>
      <c r="DK1" s="371">
        <f t="shared" si="1"/>
        <v>44898</v>
      </c>
      <c r="DL1" s="371">
        <f t="shared" si="1"/>
        <v>44905</v>
      </c>
      <c r="DM1" s="371">
        <f t="shared" si="1"/>
        <v>44912</v>
      </c>
      <c r="DN1" s="371">
        <f t="shared" si="1"/>
        <v>44919</v>
      </c>
      <c r="DO1" s="371">
        <f t="shared" si="1"/>
        <v>44926</v>
      </c>
      <c r="DP1" s="371">
        <f t="shared" si="1"/>
        <v>44933</v>
      </c>
      <c r="DQ1" s="371">
        <f t="shared" si="1"/>
        <v>44940</v>
      </c>
      <c r="DR1" s="371">
        <f t="shared" si="1"/>
        <v>44947</v>
      </c>
      <c r="DS1" s="371">
        <f t="shared" si="1"/>
        <v>44954</v>
      </c>
      <c r="DT1" s="371">
        <f t="shared" si="1"/>
        <v>44961</v>
      </c>
      <c r="DU1" s="371">
        <f t="shared" si="1"/>
        <v>44968</v>
      </c>
      <c r="DV1" s="371">
        <f t="shared" si="1"/>
        <v>44975</v>
      </c>
      <c r="DW1" s="371">
        <f t="shared" si="1"/>
        <v>44982</v>
      </c>
      <c r="DX1" s="371">
        <f t="shared" si="1"/>
        <v>44989</v>
      </c>
      <c r="DY1" s="371">
        <f t="shared" si="1"/>
        <v>44996</v>
      </c>
      <c r="DZ1" s="371">
        <f t="shared" si="1"/>
        <v>45003</v>
      </c>
      <c r="EA1" s="371">
        <f t="shared" ref="EA1:EB1" si="2">DZ1+7</f>
        <v>45010</v>
      </c>
      <c r="EB1" s="371">
        <f t="shared" si="2"/>
        <v>45017</v>
      </c>
      <c r="ED1" s="27" t="s">
        <v>247</v>
      </c>
    </row>
    <row r="2" spans="1:134" ht="17.5" x14ac:dyDescent="0.35">
      <c r="A2" s="194" t="s">
        <v>246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212"/>
      <c r="AH2" s="196"/>
      <c r="AI2" s="197"/>
      <c r="AJ2" s="196"/>
      <c r="AK2" s="197"/>
      <c r="AL2" s="247"/>
      <c r="AM2" s="197"/>
      <c r="AN2" s="197"/>
      <c r="AO2" s="197"/>
      <c r="AP2" s="197"/>
      <c r="AQ2" s="197"/>
      <c r="AR2" s="197"/>
      <c r="AS2" s="198"/>
      <c r="AT2" s="198"/>
      <c r="AU2" s="199"/>
      <c r="AV2" s="198"/>
      <c r="AW2" s="198"/>
      <c r="AX2" s="198"/>
      <c r="AY2" s="198"/>
      <c r="AZ2" s="198"/>
      <c r="BA2" s="198"/>
      <c r="BB2" s="198"/>
      <c r="BC2" s="198"/>
      <c r="BD2" s="198"/>
      <c r="BE2" s="345" t="s">
        <v>517</v>
      </c>
      <c r="BF2" s="198"/>
      <c r="BG2" s="198"/>
      <c r="BH2" s="198"/>
      <c r="BI2" s="198"/>
      <c r="BJ2" s="198"/>
      <c r="BK2" s="198"/>
      <c r="BL2" s="198"/>
      <c r="BM2" s="198"/>
      <c r="BN2" s="198"/>
      <c r="BO2" s="198"/>
      <c r="BP2" s="198"/>
      <c r="BQ2" s="198"/>
      <c r="BR2" s="198"/>
      <c r="BS2" s="198"/>
      <c r="BT2" s="198"/>
      <c r="BU2" s="198"/>
      <c r="BV2" s="198"/>
      <c r="BW2" s="198"/>
      <c r="BX2" s="198"/>
      <c r="BY2" s="198"/>
      <c r="BZ2" s="198"/>
      <c r="CA2" s="198"/>
      <c r="CB2" s="198"/>
      <c r="CC2" s="198"/>
      <c r="CD2" s="198"/>
      <c r="CE2" s="185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D2" s="27" t="s">
        <v>248</v>
      </c>
    </row>
    <row r="3" spans="1:134" ht="13" x14ac:dyDescent="0.3">
      <c r="A3" s="182" t="s">
        <v>245</v>
      </c>
      <c r="B3" s="409">
        <f>B4*$CE2</f>
        <v>0</v>
      </c>
      <c r="C3" s="409">
        <f>C4*$CE2</f>
        <v>0</v>
      </c>
      <c r="D3" s="409">
        <f>D4*$ED3</f>
        <v>465.68669601287155</v>
      </c>
      <c r="E3" s="409">
        <f t="shared" ref="E3:BP3" si="3">E4*$ED3</f>
        <v>580.17872901051123</v>
      </c>
      <c r="F3" s="409">
        <f t="shared" si="3"/>
        <v>580.17872901051123</v>
      </c>
      <c r="G3" s="409">
        <f t="shared" si="3"/>
        <v>509.42522547264406</v>
      </c>
      <c r="H3" s="409">
        <f t="shared" si="3"/>
        <v>509.42522547264406</v>
      </c>
      <c r="I3" s="409">
        <f t="shared" si="3"/>
        <v>509.42522547264406</v>
      </c>
      <c r="J3" s="409">
        <f t="shared" si="3"/>
        <v>320.32040692598071</v>
      </c>
      <c r="K3" s="409">
        <f t="shared" si="3"/>
        <v>509.42522547264406</v>
      </c>
      <c r="L3" s="409">
        <f t="shared" si="3"/>
        <v>509.42522547264406</v>
      </c>
      <c r="M3" s="409">
        <f t="shared" si="3"/>
        <v>509.42522547264406</v>
      </c>
      <c r="N3" s="409">
        <f t="shared" si="3"/>
        <v>0</v>
      </c>
      <c r="O3" s="409">
        <f t="shared" si="3"/>
        <v>0</v>
      </c>
      <c r="P3" s="409">
        <f t="shared" si="3"/>
        <v>509.42522547264406</v>
      </c>
      <c r="Q3" s="409">
        <f t="shared" si="3"/>
        <v>509.42522547264406</v>
      </c>
      <c r="R3" s="409">
        <f t="shared" si="3"/>
        <v>509.42522547264406</v>
      </c>
      <c r="S3" s="409">
        <f t="shared" si="3"/>
        <v>509.42522547264406</v>
      </c>
      <c r="T3" s="409">
        <f t="shared" si="3"/>
        <v>509.42522547264406</v>
      </c>
      <c r="U3" s="409">
        <f t="shared" si="3"/>
        <v>509.42522547264406</v>
      </c>
      <c r="V3" s="409">
        <f t="shared" si="3"/>
        <v>509.42522547264406</v>
      </c>
      <c r="W3" s="409">
        <f t="shared" si="3"/>
        <v>509.42522547264406</v>
      </c>
      <c r="X3" s="409">
        <f t="shared" si="3"/>
        <v>509.42522547264406</v>
      </c>
      <c r="Y3" s="409">
        <f t="shared" si="3"/>
        <v>509.42522547264406</v>
      </c>
      <c r="Z3" s="409">
        <f t="shared" si="3"/>
        <v>509.42522547264406</v>
      </c>
      <c r="AA3" s="409">
        <f t="shared" si="3"/>
        <v>509.42522547264406</v>
      </c>
      <c r="AB3" s="409">
        <f t="shared" si="3"/>
        <v>792.43923962411293</v>
      </c>
      <c r="AC3" s="409">
        <f t="shared" si="3"/>
        <v>792.43923962411293</v>
      </c>
      <c r="AD3" s="409">
        <f t="shared" si="3"/>
        <v>905.64484528470052</v>
      </c>
      <c r="AE3" s="409">
        <f t="shared" si="3"/>
        <v>1018.8504509452881</v>
      </c>
      <c r="AF3" s="409">
        <f t="shared" si="3"/>
        <v>1584.8784792482259</v>
      </c>
      <c r="AG3" s="410">
        <f t="shared" si="3"/>
        <v>2150.9065075511635</v>
      </c>
      <c r="AH3" s="409">
        <f t="shared" si="3"/>
        <v>2716.9345358541013</v>
      </c>
      <c r="AI3" s="409">
        <f t="shared" si="3"/>
        <v>2830.1401415146893</v>
      </c>
      <c r="AJ3" s="409">
        <f t="shared" si="3"/>
        <v>2830.1401415146893</v>
      </c>
      <c r="AK3" s="409">
        <f t="shared" si="3"/>
        <v>3962.196198120565</v>
      </c>
      <c r="AL3" s="411">
        <f t="shared" si="3"/>
        <v>4638.856977409986</v>
      </c>
      <c r="AM3" s="409">
        <f t="shared" si="3"/>
        <v>7278.2980476648918</v>
      </c>
      <c r="AN3" s="409">
        <f t="shared" si="3"/>
        <v>7278.2980476648781</v>
      </c>
      <c r="AO3" s="409">
        <f t="shared" si="3"/>
        <v>7278.2980476648918</v>
      </c>
      <c r="AP3" s="409">
        <f t="shared" si="3"/>
        <v>5830.5507938764003</v>
      </c>
      <c r="AQ3" s="409">
        <f t="shared" si="3"/>
        <v>7278.2980476648781</v>
      </c>
      <c r="AR3" s="409">
        <f t="shared" si="3"/>
        <v>7278.2980476648918</v>
      </c>
      <c r="AS3" s="409">
        <f t="shared" si="3"/>
        <v>7278.2980476648918</v>
      </c>
      <c r="AT3" s="409">
        <f t="shared" si="3"/>
        <v>7278.2980476648781</v>
      </c>
      <c r="AU3" s="409">
        <f t="shared" si="3"/>
        <v>7278.2980476648781</v>
      </c>
      <c r="AV3" s="409">
        <f t="shared" si="3"/>
        <v>7278.2980476648781</v>
      </c>
      <c r="AW3" s="409">
        <f t="shared" si="3"/>
        <v>7278.2980476649063</v>
      </c>
      <c r="AX3" s="409">
        <f t="shared" si="3"/>
        <v>7278.2980476648781</v>
      </c>
      <c r="AY3" s="409">
        <f t="shared" si="3"/>
        <v>5830.5507938763867</v>
      </c>
      <c r="AZ3" s="409">
        <f t="shared" si="3"/>
        <v>7278.2980476648781</v>
      </c>
      <c r="BA3" s="409">
        <f t="shared" si="3"/>
        <v>7278.2980476649063</v>
      </c>
      <c r="BB3" s="409">
        <f t="shared" si="3"/>
        <v>7278.2980476648781</v>
      </c>
      <c r="BC3" s="409">
        <f t="shared" si="3"/>
        <v>7278.2980476648781</v>
      </c>
      <c r="BD3" s="409">
        <f t="shared" si="3"/>
        <v>7278.2980476649063</v>
      </c>
      <c r="BE3" s="412">
        <f t="shared" si="3"/>
        <v>-202748.76976615479</v>
      </c>
      <c r="BF3" s="409">
        <f t="shared" si="3"/>
        <v>7547.0811999999996</v>
      </c>
      <c r="BG3" s="409">
        <f t="shared" si="3"/>
        <v>8260.2243306197706</v>
      </c>
      <c r="BH3" s="409">
        <f t="shared" si="3"/>
        <v>8726.6071716317583</v>
      </c>
      <c r="BI3" s="409">
        <f t="shared" si="3"/>
        <v>8787.9993927416217</v>
      </c>
      <c r="BJ3" s="409">
        <f t="shared" si="3"/>
        <v>5273.7898327596558</v>
      </c>
      <c r="BK3" s="409">
        <f t="shared" si="3"/>
        <v>8787.9993927415944</v>
      </c>
      <c r="BL3" s="409">
        <f t="shared" si="3"/>
        <v>9235.568488574756</v>
      </c>
      <c r="BM3" s="409">
        <f t="shared" si="3"/>
        <v>9783.1474929901178</v>
      </c>
      <c r="BN3" s="409">
        <f t="shared" si="3"/>
        <v>7899.7925808780465</v>
      </c>
      <c r="BO3" s="409">
        <f t="shared" si="3"/>
        <v>7988.9103211987949</v>
      </c>
      <c r="BP3" s="409">
        <f t="shared" si="3"/>
        <v>10309.932357997261</v>
      </c>
      <c r="BQ3" s="409">
        <f t="shared" ref="BQ3:EC3" si="4">BQ4*$ED3</f>
        <v>10309.932357997261</v>
      </c>
      <c r="BR3" s="409">
        <f t="shared" si="4"/>
        <v>10939.697722930649</v>
      </c>
      <c r="BS3" s="409">
        <f t="shared" si="4"/>
        <v>11223.884294842383</v>
      </c>
      <c r="BT3" s="409">
        <f t="shared" si="4"/>
        <v>11339.73735725939</v>
      </c>
      <c r="BU3" s="409">
        <f t="shared" si="4"/>
        <v>10893.158458540909</v>
      </c>
      <c r="BV3" s="409">
        <f t="shared" si="4"/>
        <v>10820.874069169595</v>
      </c>
      <c r="BW3" s="409">
        <f t="shared" si="4"/>
        <v>11056.540982462282</v>
      </c>
      <c r="BX3" s="409">
        <f t="shared" si="4"/>
        <v>11402.119775483936</v>
      </c>
      <c r="BY3" s="409">
        <f t="shared" si="4"/>
        <v>12385.385510356326</v>
      </c>
      <c r="BZ3" s="409">
        <f t="shared" si="4"/>
        <v>12270.522645054001</v>
      </c>
      <c r="CA3" s="409">
        <f t="shared" si="4"/>
        <v>13455.788591320101</v>
      </c>
      <c r="CB3" s="409">
        <f t="shared" si="4"/>
        <v>13499.357264365792</v>
      </c>
      <c r="CC3" s="409">
        <f t="shared" si="4"/>
        <v>14224.181552307968</v>
      </c>
      <c r="CD3" s="409">
        <f>CD4*$ED3</f>
        <v>11152.590102585807</v>
      </c>
      <c r="CE3" s="409">
        <f t="shared" si="4"/>
        <v>14307.358109940677</v>
      </c>
      <c r="CF3" s="409">
        <f t="shared" si="4"/>
        <v>14347.956191642377</v>
      </c>
      <c r="CG3" s="409">
        <f t="shared" si="4"/>
        <v>14425.191566587047</v>
      </c>
      <c r="CH3" s="409">
        <f t="shared" si="4"/>
        <v>14551.936797265394</v>
      </c>
      <c r="CI3" s="409">
        <f t="shared" si="4"/>
        <v>14682.64281640258</v>
      </c>
      <c r="CJ3" s="409">
        <f t="shared" si="4"/>
        <v>14435.093537733761</v>
      </c>
      <c r="CK3" s="409">
        <f t="shared" si="4"/>
        <v>11913.061486656215</v>
      </c>
      <c r="CL3" s="409">
        <f t="shared" si="4"/>
        <v>15236.163003505981</v>
      </c>
      <c r="CM3" s="409">
        <f t="shared" si="4"/>
        <v>14524.21127805451</v>
      </c>
      <c r="CN3" s="409">
        <f t="shared" si="4"/>
        <v>14608.378032801902</v>
      </c>
      <c r="CO3" s="409">
        <f t="shared" si="4"/>
        <v>15946.134334727976</v>
      </c>
      <c r="CP3" s="409">
        <f t="shared" si="4"/>
        <v>12604.219072699523</v>
      </c>
      <c r="CQ3" s="409">
        <f t="shared" si="4"/>
        <v>15625.310469573216</v>
      </c>
      <c r="CR3" s="409">
        <f t="shared" si="4"/>
        <v>15342.114094776163</v>
      </c>
      <c r="CS3" s="409">
        <f t="shared" si="4"/>
        <v>15060.898114208476</v>
      </c>
      <c r="CT3" s="409">
        <f t="shared" si="4"/>
        <v>14604.417244343173</v>
      </c>
      <c r="CU3" s="409">
        <f t="shared" si="4"/>
        <v>14555.897585724124</v>
      </c>
      <c r="CV3" s="409">
        <f t="shared" si="4"/>
        <v>14932.172489300654</v>
      </c>
      <c r="CW3" s="409">
        <f t="shared" si="4"/>
        <v>14972.770571002355</v>
      </c>
      <c r="CX3" s="409">
        <f t="shared" si="4"/>
        <v>14942.074460447477</v>
      </c>
      <c r="CY3" s="409">
        <f t="shared" si="4"/>
        <v>12716.111346657799</v>
      </c>
      <c r="CZ3" s="409">
        <f t="shared" si="4"/>
        <v>13735.024177658479</v>
      </c>
      <c r="DA3" s="409">
        <f t="shared" si="4"/>
        <v>12638.875971713129</v>
      </c>
      <c r="DB3" s="409">
        <f t="shared" si="4"/>
        <v>13934.053797708139</v>
      </c>
      <c r="DC3" s="409">
        <f t="shared" si="4"/>
        <v>11671.45339067549</v>
      </c>
      <c r="DD3" s="409">
        <f t="shared" si="4"/>
        <v>10900.089838343631</v>
      </c>
      <c r="DE3" s="409">
        <f t="shared" si="4"/>
        <v>11528.865006162338</v>
      </c>
      <c r="DF3" s="409">
        <f t="shared" si="4"/>
        <v>11830.875126138188</v>
      </c>
      <c r="DG3" s="409">
        <f t="shared" si="4"/>
        <v>12686.405433217549</v>
      </c>
      <c r="DH3" s="409">
        <f t="shared" si="4"/>
        <v>12756.7094283595</v>
      </c>
      <c r="DI3" s="409">
        <f t="shared" si="4"/>
        <v>12902.268404216755</v>
      </c>
      <c r="DJ3" s="409">
        <f t="shared" si="4"/>
        <v>6493.7126780393319</v>
      </c>
      <c r="DK3" s="409">
        <f t="shared" si="4"/>
        <v>11163.482270847257</v>
      </c>
      <c r="DL3" s="409">
        <f t="shared" si="4"/>
        <v>11217.943112154289</v>
      </c>
      <c r="DM3" s="409">
        <f t="shared" si="4"/>
        <v>10967.423242141589</v>
      </c>
      <c r="DN3" s="409">
        <f t="shared" si="4"/>
        <v>6983.8602498036144</v>
      </c>
      <c r="DO3" s="409">
        <f t="shared" si="4"/>
        <v>6441.2322309615538</v>
      </c>
      <c r="DP3" s="409">
        <f t="shared" si="4"/>
        <v>6430.3400627002138</v>
      </c>
      <c r="DQ3" s="409">
        <f t="shared" si="4"/>
        <v>6433.3106540442059</v>
      </c>
      <c r="DR3" s="409">
        <f t="shared" si="4"/>
        <v>4944.0541935727815</v>
      </c>
      <c r="DS3" s="409">
        <f t="shared" si="4"/>
        <v>4965.8385300956825</v>
      </c>
      <c r="DT3" s="409">
        <f t="shared" si="4"/>
        <v>4956.9267560635972</v>
      </c>
      <c r="DU3" s="409">
        <f t="shared" si="4"/>
        <v>4078.6219153468169</v>
      </c>
      <c r="DV3" s="409">
        <f t="shared" si="4"/>
        <v>4078.6219153468169</v>
      </c>
      <c r="DW3" s="409">
        <f t="shared" si="4"/>
        <v>2953.7579930758452</v>
      </c>
      <c r="DX3" s="409">
        <f t="shared" si="4"/>
        <v>2953.7579930758452</v>
      </c>
      <c r="DY3" s="409">
        <f t="shared" si="4"/>
        <v>1974.4530466621291</v>
      </c>
      <c r="DZ3" s="409">
        <f t="shared" si="4"/>
        <v>1980.3942293502232</v>
      </c>
      <c r="EA3" s="409">
        <f t="shared" si="4"/>
        <v>1980.3942293502232</v>
      </c>
      <c r="EB3" s="409">
        <f t="shared" si="4"/>
        <v>990.19711467516674</v>
      </c>
      <c r="EC3" s="409">
        <f t="shared" si="4"/>
        <v>990.19711467516674</v>
      </c>
      <c r="ED3" s="236">
        <v>993037</v>
      </c>
    </row>
    <row r="4" spans="1:134" x14ac:dyDescent="0.25">
      <c r="A4" s="193" t="s">
        <v>244</v>
      </c>
      <c r="B4" s="201">
        <v>0</v>
      </c>
      <c r="C4" s="201">
        <v>0</v>
      </c>
      <c r="D4" s="201">
        <v>4.6895200885049756E-4</v>
      </c>
      <c r="E4" s="201">
        <v>5.8424683975573041E-4</v>
      </c>
      <c r="F4" s="201">
        <v>5.8424683975573041E-4</v>
      </c>
      <c r="G4" s="201">
        <v>5.1299722515137309E-4</v>
      </c>
      <c r="H4" s="201">
        <v>5.1299722515137309E-4</v>
      </c>
      <c r="I4" s="201">
        <v>5.1299722515137309E-4</v>
      </c>
      <c r="J4" s="201">
        <v>3.225664370269997E-4</v>
      </c>
      <c r="K4" s="201">
        <v>5.1299722515137309E-4</v>
      </c>
      <c r="L4" s="201">
        <v>5.1299722515137309E-4</v>
      </c>
      <c r="M4" s="201">
        <v>5.1299722515137309E-4</v>
      </c>
      <c r="N4" s="201">
        <v>0</v>
      </c>
      <c r="O4" s="201">
        <v>0</v>
      </c>
      <c r="P4" s="201">
        <v>5.1299722515137309E-4</v>
      </c>
      <c r="Q4" s="201">
        <v>5.1299722515137309E-4</v>
      </c>
      <c r="R4" s="201">
        <v>5.1299722515137309E-4</v>
      </c>
      <c r="S4" s="201">
        <v>5.1299722515137309E-4</v>
      </c>
      <c r="T4" s="201">
        <v>5.1299722515137309E-4</v>
      </c>
      <c r="U4" s="201">
        <v>5.1299722515137309E-4</v>
      </c>
      <c r="V4" s="201">
        <v>5.1299722515137309E-4</v>
      </c>
      <c r="W4" s="201">
        <v>5.1299722515137309E-4</v>
      </c>
      <c r="X4" s="201">
        <v>5.1299722515137309E-4</v>
      </c>
      <c r="Y4" s="201">
        <v>5.1299722515137309E-4</v>
      </c>
      <c r="Z4" s="201">
        <v>5.1299722515137309E-4</v>
      </c>
      <c r="AA4" s="201">
        <v>5.1299722515137309E-4</v>
      </c>
      <c r="AB4" s="201">
        <v>7.9799568356880249E-4</v>
      </c>
      <c r="AC4" s="201">
        <v>7.9799568356880249E-4</v>
      </c>
      <c r="AD4" s="201">
        <v>9.1199506693577428E-4</v>
      </c>
      <c r="AE4" s="201">
        <v>1.0259944503027462E-3</v>
      </c>
      <c r="AF4" s="201">
        <v>1.595991367137605E-3</v>
      </c>
      <c r="AG4" s="213">
        <v>2.1659882839724638E-3</v>
      </c>
      <c r="AH4" s="201">
        <v>2.7359852008073228E-3</v>
      </c>
      <c r="AI4" s="201">
        <v>2.8499845841742947E-3</v>
      </c>
      <c r="AJ4" s="201">
        <v>2.8499845841742947E-3</v>
      </c>
      <c r="AK4" s="201">
        <v>3.9899784178440128E-3</v>
      </c>
      <c r="AL4" s="248">
        <v>4.6713838229693215E-3</v>
      </c>
      <c r="AM4" s="201">
        <f>AM10-AL10</f>
        <v>7.3293321876877621E-3</v>
      </c>
      <c r="AN4" s="201">
        <f t="shared" ref="AN4:CY4" si="5">AN10-AM10</f>
        <v>7.3293321876877482E-3</v>
      </c>
      <c r="AO4" s="201">
        <f t="shared" si="5"/>
        <v>7.3293321876877621E-3</v>
      </c>
      <c r="AP4" s="201">
        <f t="shared" si="5"/>
        <v>5.8714335859352679E-3</v>
      </c>
      <c r="AQ4" s="201">
        <f t="shared" si="5"/>
        <v>7.3293321876877482E-3</v>
      </c>
      <c r="AR4" s="201">
        <f t="shared" si="5"/>
        <v>7.3293321876877621E-3</v>
      </c>
      <c r="AS4" s="201">
        <f t="shared" si="5"/>
        <v>7.3293321876877621E-3</v>
      </c>
      <c r="AT4" s="201">
        <f t="shared" si="5"/>
        <v>7.3293321876877482E-3</v>
      </c>
      <c r="AU4" s="201">
        <f t="shared" si="5"/>
        <v>7.3293321876877482E-3</v>
      </c>
      <c r="AV4" s="201">
        <f t="shared" si="5"/>
        <v>7.3293321876877482E-3</v>
      </c>
      <c r="AW4" s="201">
        <f t="shared" si="5"/>
        <v>7.3293321876877759E-3</v>
      </c>
      <c r="AX4" s="201">
        <f t="shared" si="5"/>
        <v>7.3293321876877482E-3</v>
      </c>
      <c r="AY4" s="201">
        <f t="shared" si="5"/>
        <v>5.871433585935254E-3</v>
      </c>
      <c r="AZ4" s="201">
        <f t="shared" si="5"/>
        <v>7.3293321876877482E-3</v>
      </c>
      <c r="BA4" s="201">
        <f t="shared" si="5"/>
        <v>7.3293321876877759E-3</v>
      </c>
      <c r="BB4" s="201">
        <f t="shared" si="5"/>
        <v>7.3293321876877482E-3</v>
      </c>
      <c r="BC4" s="201">
        <f t="shared" si="5"/>
        <v>7.3293321876877482E-3</v>
      </c>
      <c r="BD4" s="201">
        <f t="shared" si="5"/>
        <v>7.3293321876877759E-3</v>
      </c>
      <c r="BE4" s="366">
        <f t="shared" si="5"/>
        <v>-0.20417040831928196</v>
      </c>
      <c r="BF4" s="201">
        <v>7.6E-3</v>
      </c>
      <c r="BG4" s="201">
        <f>BG10-BF10</f>
        <v>8.3181435642576962E-3</v>
      </c>
      <c r="BH4" s="201">
        <f t="shared" si="5"/>
        <v>8.7877965993530538E-3</v>
      </c>
      <c r="BI4" s="201">
        <f t="shared" si="5"/>
        <v>8.8496192918709193E-3</v>
      </c>
      <c r="BJ4" s="201">
        <f t="shared" si="5"/>
        <v>5.3107687153244598E-3</v>
      </c>
      <c r="BK4" s="201">
        <f t="shared" si="5"/>
        <v>8.8496192918708916E-3</v>
      </c>
      <c r="BL4" s="201">
        <f t="shared" si="5"/>
        <v>9.3003266631301318E-3</v>
      </c>
      <c r="BM4" s="201">
        <f t="shared" si="5"/>
        <v>9.8517451947813806E-3</v>
      </c>
      <c r="BN4" s="201">
        <f t="shared" si="5"/>
        <v>7.9551845307657687E-3</v>
      </c>
      <c r="BO4" s="201">
        <f t="shared" si="5"/>
        <v>8.0449271489368424E-3</v>
      </c>
      <c r="BP4" s="201">
        <f t="shared" si="5"/>
        <v>1.0382223782192668E-2</v>
      </c>
      <c r="BQ4" s="201">
        <f t="shared" si="5"/>
        <v>1.0382223782192668E-2</v>
      </c>
      <c r="BR4" s="201">
        <f t="shared" si="5"/>
        <v>1.1016404950601688E-2</v>
      </c>
      <c r="BS4" s="201">
        <f t="shared" si="5"/>
        <v>1.1302584188547238E-2</v>
      </c>
      <c r="BT4" s="201">
        <f t="shared" si="5"/>
        <v>1.1419249592169667E-2</v>
      </c>
      <c r="BU4" s="201">
        <f t="shared" si="5"/>
        <v>1.0969539361112335E-2</v>
      </c>
      <c r="BV4" s="201">
        <f t="shared" si="5"/>
        <v>1.0896748126373534E-2</v>
      </c>
      <c r="BW4" s="201">
        <f t="shared" si="5"/>
        <v>1.113406749442597E-2</v>
      </c>
      <c r="BX4" s="201">
        <f t="shared" si="5"/>
        <v>1.1482069424889441E-2</v>
      </c>
      <c r="BY4" s="201">
        <f t="shared" si="5"/>
        <v>1.2472229645377086E-2</v>
      </c>
      <c r="BZ4" s="201">
        <f t="shared" si="5"/>
        <v>1.2356561381956566E-2</v>
      </c>
      <c r="CA4" s="201">
        <f t="shared" si="5"/>
        <v>1.355013820363199E-2</v>
      </c>
      <c r="CB4" s="201">
        <f t="shared" si="5"/>
        <v>1.3594012372515618E-2</v>
      </c>
      <c r="CC4" s="201">
        <f t="shared" si="5"/>
        <v>1.4323919000307106E-2</v>
      </c>
      <c r="CD4" s="201">
        <f t="shared" si="5"/>
        <v>1.1230790094010401E-2</v>
      </c>
      <c r="CE4" s="201">
        <f t="shared" si="5"/>
        <v>1.4407678777266786E-2</v>
      </c>
      <c r="CF4" s="201">
        <f t="shared" si="5"/>
        <v>1.4448561525544745E-2</v>
      </c>
      <c r="CG4" s="201">
        <f t="shared" si="5"/>
        <v>1.4526338461293031E-2</v>
      </c>
      <c r="CH4" s="201">
        <f t="shared" si="5"/>
        <v>1.4653972407136284E-2</v>
      </c>
      <c r="CI4" s="201">
        <f t="shared" si="5"/>
        <v>1.4785594913787281E-2</v>
      </c>
      <c r="CJ4" s="201">
        <f t="shared" si="5"/>
        <v>1.4536309863312002E-2</v>
      </c>
      <c r="CK4" s="201">
        <f t="shared" si="5"/>
        <v>1.1996593769070252E-2</v>
      </c>
      <c r="CL4" s="201">
        <f t="shared" si="5"/>
        <v>1.5342996286649924E-2</v>
      </c>
      <c r="CM4" s="201">
        <f t="shared" si="5"/>
        <v>1.4626052481483076E-2</v>
      </c>
      <c r="CN4" s="201">
        <f t="shared" si="5"/>
        <v>1.4710809398644664E-2</v>
      </c>
      <c r="CO4" s="201">
        <f t="shared" si="5"/>
        <v>1.6057945811412844E-2</v>
      </c>
      <c r="CP4" s="201">
        <f t="shared" si="5"/>
        <v>1.2692597629997193E-2</v>
      </c>
      <c r="CQ4" s="201">
        <f t="shared" si="5"/>
        <v>1.5734872385996912E-2</v>
      </c>
      <c r="CR4" s="201">
        <f t="shared" si="5"/>
        <v>1.5449690288253271E-2</v>
      </c>
      <c r="CS4" s="201">
        <f t="shared" si="5"/>
        <v>1.5166502470913445E-2</v>
      </c>
      <c r="CT4" s="201">
        <f t="shared" si="5"/>
        <v>1.4706820837837031E-2</v>
      </c>
      <c r="CU4" s="201">
        <f t="shared" si="5"/>
        <v>1.4657960967943917E-2</v>
      </c>
      <c r="CV4" s="201">
        <f t="shared" si="5"/>
        <v>1.5036874244666265E-2</v>
      </c>
      <c r="CW4" s="201">
        <f t="shared" si="5"/>
        <v>1.5077756992944225E-2</v>
      </c>
      <c r="CX4" s="201">
        <f t="shared" si="5"/>
        <v>1.5046845646685347E-2</v>
      </c>
      <c r="CY4" s="201">
        <f t="shared" si="5"/>
        <v>1.2805274472811989E-2</v>
      </c>
      <c r="CZ4" s="201">
        <f t="shared" ref="CZ4:EC4" si="6">CZ10-CY10</f>
        <v>1.3831331740568054E-2</v>
      </c>
      <c r="DA4" s="201">
        <f t="shared" si="6"/>
        <v>1.2727497537063703E-2</v>
      </c>
      <c r="DB4" s="201">
        <f t="shared" si="6"/>
        <v>1.4031756921150107E-2</v>
      </c>
      <c r="DC4" s="201">
        <f t="shared" si="6"/>
        <v>1.1753291559806422E-2</v>
      </c>
      <c r="DD4" s="201">
        <f t="shared" si="6"/>
        <v>1.0976519342525637E-2</v>
      </c>
      <c r="DE4" s="201">
        <f t="shared" si="6"/>
        <v>1.1609703370732749E-2</v>
      </c>
      <c r="DF4" s="201">
        <f t="shared" si="6"/>
        <v>1.191383113231248E-2</v>
      </c>
      <c r="DG4" s="201">
        <f t="shared" si="6"/>
        <v>1.2775360266754965E-2</v>
      </c>
      <c r="DH4" s="201">
        <f t="shared" si="6"/>
        <v>1.2846157221089949E-2</v>
      </c>
      <c r="DI4" s="201">
        <f t="shared" si="6"/>
        <v>1.2992736830769402E-2</v>
      </c>
      <c r="DJ4" s="201">
        <f t="shared" si="6"/>
        <v>6.5392454440663661E-3</v>
      </c>
      <c r="DK4" s="201">
        <f t="shared" si="6"/>
        <v>1.1241758636231336E-2</v>
      </c>
      <c r="DL4" s="201">
        <f t="shared" si="6"/>
        <v>1.1296601347335788E-2</v>
      </c>
      <c r="DM4" s="201">
        <f t="shared" si="6"/>
        <v>1.1044324876254952E-2</v>
      </c>
      <c r="DN4" s="201">
        <f t="shared" si="6"/>
        <v>7.0328298440074377E-3</v>
      </c>
      <c r="DO4" s="201">
        <f t="shared" si="6"/>
        <v>6.486397013365619E-3</v>
      </c>
      <c r="DP4" s="201">
        <f t="shared" si="6"/>
        <v>6.4754284711447951E-3</v>
      </c>
      <c r="DQ4" s="201">
        <f t="shared" si="6"/>
        <v>6.4784198917504643E-3</v>
      </c>
      <c r="DR4" s="201">
        <f t="shared" si="6"/>
        <v>4.9787210280913818E-3</v>
      </c>
      <c r="DS4" s="201">
        <f t="shared" si="6"/>
        <v>5.0006581125332517E-3</v>
      </c>
      <c r="DT4" s="201">
        <f t="shared" si="6"/>
        <v>4.9916838507161332E-3</v>
      </c>
      <c r="DU4" s="201">
        <f t="shared" si="6"/>
        <v>4.107220491630037E-3</v>
      </c>
      <c r="DV4" s="201">
        <f t="shared" si="6"/>
        <v>4.107220491630037E-3</v>
      </c>
      <c r="DW4" s="201">
        <f t="shared" si="6"/>
        <v>2.9744692222705149E-3</v>
      </c>
      <c r="DX4" s="201">
        <f t="shared" si="6"/>
        <v>2.9744692222705149E-3</v>
      </c>
      <c r="DY4" s="201">
        <f t="shared" si="6"/>
        <v>1.9882975625904464E-3</v>
      </c>
      <c r="DZ4" s="201">
        <f t="shared" si="6"/>
        <v>1.9942804038018958E-3</v>
      </c>
      <c r="EA4" s="201">
        <f t="shared" si="6"/>
        <v>1.9942804038018958E-3</v>
      </c>
      <c r="EB4" s="201">
        <f t="shared" si="6"/>
        <v>9.9714020190100339E-4</v>
      </c>
      <c r="EC4" s="201">
        <f t="shared" si="6"/>
        <v>9.9714020190100339E-4</v>
      </c>
    </row>
    <row r="5" spans="1:134" ht="13" x14ac:dyDescent="0.3">
      <c r="A5" s="189"/>
      <c r="B5" s="202"/>
      <c r="C5" s="202"/>
      <c r="D5" s="202"/>
      <c r="E5" s="202"/>
      <c r="F5" s="202"/>
      <c r="G5" s="203"/>
      <c r="H5" s="203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14"/>
      <c r="AH5" s="204"/>
      <c r="AI5" s="204"/>
      <c r="AJ5" s="204"/>
      <c r="AK5" s="204"/>
      <c r="AL5" s="249"/>
      <c r="AM5" s="204"/>
      <c r="AN5" s="204"/>
      <c r="AO5" s="204"/>
      <c r="AP5" s="204"/>
      <c r="AQ5" s="204"/>
      <c r="AR5" s="204"/>
      <c r="AS5" s="204"/>
      <c r="AT5" s="204"/>
      <c r="AU5" s="205"/>
      <c r="AV5" s="204"/>
      <c r="AW5" s="204"/>
      <c r="AX5" s="204"/>
      <c r="AY5" s="204"/>
      <c r="AZ5" s="204"/>
      <c r="BA5" s="204"/>
      <c r="BB5" s="204"/>
      <c r="BC5" s="204"/>
      <c r="BD5" s="204"/>
      <c r="BE5" s="346"/>
      <c r="BF5" s="204"/>
      <c r="BG5" s="204"/>
      <c r="BH5" s="204"/>
      <c r="BI5" s="204"/>
      <c r="BJ5" s="204"/>
      <c r="BK5" s="204"/>
      <c r="BL5" s="204"/>
      <c r="BM5" s="204"/>
      <c r="BN5" s="184"/>
      <c r="BO5" s="184"/>
      <c r="BP5" s="184"/>
      <c r="BQ5" s="184"/>
      <c r="BR5" s="184"/>
      <c r="BS5" s="184"/>
      <c r="BT5" s="184"/>
      <c r="BU5" s="184"/>
      <c r="BV5" s="184"/>
      <c r="BW5" s="184"/>
      <c r="BX5" s="184"/>
      <c r="BY5" s="184"/>
      <c r="BZ5" s="184"/>
      <c r="CA5" s="184"/>
      <c r="CB5" s="184"/>
      <c r="CC5" s="184"/>
      <c r="CD5" s="184"/>
      <c r="CE5" s="184"/>
      <c r="CF5" s="184"/>
      <c r="CG5" s="184"/>
      <c r="CH5" s="184"/>
      <c r="CI5" s="184"/>
      <c r="CJ5" s="184"/>
      <c r="CK5" s="184"/>
      <c r="CL5" s="184"/>
      <c r="CM5" s="184"/>
      <c r="CN5" s="184"/>
      <c r="CO5" s="184"/>
      <c r="CP5" s="184"/>
      <c r="CQ5" s="184"/>
      <c r="CR5" s="184"/>
      <c r="CS5" s="184"/>
      <c r="CT5" s="184"/>
      <c r="CU5" s="184"/>
      <c r="CV5" s="184"/>
      <c r="CW5" s="184"/>
      <c r="CX5" s="184"/>
      <c r="CY5" s="184"/>
      <c r="CZ5" s="184"/>
      <c r="DA5" s="184"/>
      <c r="DB5" s="184"/>
      <c r="DC5" s="184"/>
      <c r="DD5" s="184"/>
      <c r="DE5" s="184"/>
      <c r="DF5" s="184"/>
      <c r="DG5" s="184"/>
      <c r="DH5" s="184"/>
      <c r="DI5" s="184"/>
      <c r="DJ5" s="184"/>
      <c r="DK5" s="184"/>
      <c r="DL5" s="184"/>
      <c r="DM5" s="184"/>
      <c r="DN5" s="184"/>
      <c r="DO5" s="184"/>
      <c r="DP5" s="184"/>
      <c r="DQ5" s="184"/>
      <c r="DR5" s="184"/>
      <c r="DS5" s="184"/>
      <c r="DT5" s="184"/>
      <c r="DU5" s="184"/>
      <c r="DV5" s="184"/>
      <c r="DW5" s="184"/>
      <c r="DX5" s="184"/>
      <c r="DY5" s="184"/>
      <c r="DZ5" s="184"/>
      <c r="EA5" s="184"/>
      <c r="EB5" s="184"/>
      <c r="EC5" s="184"/>
    </row>
    <row r="6" spans="1:134" s="228" customFormat="1" ht="13" x14ac:dyDescent="0.3">
      <c r="A6" s="223" t="s">
        <v>243</v>
      </c>
      <c r="B6" s="224"/>
      <c r="C6" s="224"/>
      <c r="D6" s="224"/>
      <c r="E6" s="225"/>
      <c r="F6" s="225"/>
      <c r="G6" s="226"/>
      <c r="H6" s="226">
        <f t="shared" ref="H6:W7" si="7">H12-G12</f>
        <v>0</v>
      </c>
      <c r="I6" s="226">
        <f t="shared" si="7"/>
        <v>0</v>
      </c>
      <c r="J6" s="226">
        <f t="shared" si="7"/>
        <v>0</v>
      </c>
      <c r="K6" s="226">
        <f t="shared" si="7"/>
        <v>0</v>
      </c>
      <c r="L6" s="226">
        <f t="shared" si="7"/>
        <v>0</v>
      </c>
      <c r="M6" s="226">
        <f t="shared" si="7"/>
        <v>0</v>
      </c>
      <c r="N6" s="226">
        <f t="shared" si="7"/>
        <v>0</v>
      </c>
      <c r="O6" s="226">
        <f t="shared" si="7"/>
        <v>0</v>
      </c>
      <c r="P6" s="226">
        <f t="shared" si="7"/>
        <v>0</v>
      </c>
      <c r="Q6" s="226">
        <f t="shared" si="7"/>
        <v>0</v>
      </c>
      <c r="R6" s="226">
        <f t="shared" si="7"/>
        <v>0</v>
      </c>
      <c r="S6" s="226">
        <f t="shared" si="7"/>
        <v>0</v>
      </c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>
        <f t="shared" ref="AG6:AI6" si="8">AG12-AF12</f>
        <v>44678</v>
      </c>
      <c r="AH6" s="227">
        <f t="shared" si="8"/>
        <v>3625</v>
      </c>
      <c r="AI6" s="227">
        <f t="shared" si="8"/>
        <v>2311</v>
      </c>
      <c r="AJ6" s="227">
        <f>AJ12-AI12</f>
        <v>5108</v>
      </c>
      <c r="AK6" s="227">
        <f t="shared" ref="AK6:CV7" si="9">AK12-AJ12</f>
        <v>2538</v>
      </c>
      <c r="AL6" s="250">
        <f t="shared" si="9"/>
        <v>11479.430737999995</v>
      </c>
      <c r="AM6" s="227">
        <f t="shared" si="9"/>
        <v>11995.449490000028</v>
      </c>
      <c r="AN6" s="227">
        <f t="shared" si="9"/>
        <v>3751.4092249999812</v>
      </c>
      <c r="AO6" s="227">
        <f t="shared" si="9"/>
        <v>3602.0421200000565</v>
      </c>
      <c r="AP6" s="227">
        <f t="shared" si="9"/>
        <v>6468.6133050000499</v>
      </c>
      <c r="AQ6" s="227">
        <f t="shared" si="9"/>
        <v>6141.474774999966</v>
      </c>
      <c r="AR6" s="227">
        <f t="shared" si="9"/>
        <v>5871.3539749999763</v>
      </c>
      <c r="AS6" s="227">
        <f t="shared" si="9"/>
        <v>4890.0999549999979</v>
      </c>
      <c r="AT6" s="227">
        <f t="shared" si="9"/>
        <v>5975.1264169999486</v>
      </c>
      <c r="AU6" s="227">
        <f t="shared" si="9"/>
        <v>-474</v>
      </c>
      <c r="AV6" s="227">
        <f t="shared" si="9"/>
        <v>7883</v>
      </c>
      <c r="AW6" s="227">
        <f t="shared" si="9"/>
        <v>8018</v>
      </c>
      <c r="AX6" s="227">
        <f t="shared" si="9"/>
        <v>7910.5953900000895</v>
      </c>
      <c r="AY6" s="227">
        <f t="shared" si="9"/>
        <v>7467.7327099999529</v>
      </c>
      <c r="AZ6" s="227">
        <f t="shared" si="9"/>
        <v>7180.0228000000061</v>
      </c>
      <c r="BA6" s="227">
        <f t="shared" si="9"/>
        <v>9422.4173639999062</v>
      </c>
      <c r="BB6" s="227">
        <f t="shared" si="9"/>
        <v>2247.6217230000766</v>
      </c>
      <c r="BC6" s="227">
        <f t="shared" si="9"/>
        <v>10201.869827000104</v>
      </c>
      <c r="BD6" s="227">
        <f t="shared" si="9"/>
        <v>10390.624415999919</v>
      </c>
      <c r="BE6" s="347">
        <f t="shared" si="9"/>
        <v>16320.115769999946</v>
      </c>
      <c r="BF6" s="227">
        <f t="shared" si="9"/>
        <v>9774.929119999957</v>
      </c>
      <c r="BG6" s="227">
        <f t="shared" si="9"/>
        <v>9670.7605899999617</v>
      </c>
      <c r="BH6" s="227">
        <f t="shared" si="9"/>
        <v>11785.180500000046</v>
      </c>
      <c r="BI6" s="227">
        <f t="shared" si="9"/>
        <v>13712.119899999961</v>
      </c>
      <c r="BJ6" s="227">
        <f t="shared" si="9"/>
        <v>8276.2791800000414</v>
      </c>
      <c r="BK6" s="227">
        <f t="shared" si="9"/>
        <v>12273.730710000033</v>
      </c>
      <c r="BL6" s="227">
        <f>BL12-BK12</f>
        <v>11320</v>
      </c>
      <c r="BM6" s="227">
        <f t="shared" si="9"/>
        <v>12583</v>
      </c>
      <c r="BN6" s="227">
        <f t="shared" si="9"/>
        <v>5958</v>
      </c>
      <c r="BO6" s="227">
        <f t="shared" si="9"/>
        <v>7130</v>
      </c>
      <c r="BP6" s="227">
        <f t="shared" si="9"/>
        <v>10762</v>
      </c>
      <c r="BQ6" s="227">
        <f t="shared" si="9"/>
        <v>11481</v>
      </c>
      <c r="BR6" s="227">
        <f t="shared" si="9"/>
        <v>10539</v>
      </c>
      <c r="BS6" s="227">
        <f t="shared" si="9"/>
        <v>11962</v>
      </c>
      <c r="BT6" s="227">
        <f t="shared" si="9"/>
        <v>5526</v>
      </c>
      <c r="BU6" s="227">
        <f t="shared" si="9"/>
        <v>13857</v>
      </c>
      <c r="BV6" s="227">
        <f t="shared" si="9"/>
        <v>8948</v>
      </c>
      <c r="BW6" s="227">
        <f t="shared" si="9"/>
        <v>8862</v>
      </c>
      <c r="BX6" s="227">
        <f t="shared" si="9"/>
        <v>11097</v>
      </c>
      <c r="BY6" s="227">
        <f t="shared" si="9"/>
        <v>5860</v>
      </c>
      <c r="BZ6" s="227">
        <f t="shared" si="9"/>
        <v>10605</v>
      </c>
      <c r="CA6" s="227">
        <f t="shared" si="9"/>
        <v>6835</v>
      </c>
      <c r="CB6" s="227">
        <f t="shared" si="9"/>
        <v>11126</v>
      </c>
      <c r="CC6" s="227">
        <f t="shared" si="9"/>
        <v>10964</v>
      </c>
      <c r="CD6" s="227">
        <f t="shared" si="9"/>
        <v>8899</v>
      </c>
      <c r="CE6" s="227">
        <f t="shared" si="9"/>
        <v>13007</v>
      </c>
      <c r="CF6" s="227">
        <f t="shared" si="9"/>
        <v>12757</v>
      </c>
      <c r="CG6" s="227">
        <f t="shared" si="9"/>
        <v>11285</v>
      </c>
      <c r="CH6" s="227">
        <f t="shared" si="9"/>
        <v>-491859</v>
      </c>
      <c r="CI6" s="227">
        <f t="shared" si="9"/>
        <v>0</v>
      </c>
      <c r="CJ6" s="227">
        <f t="shared" si="9"/>
        <v>0</v>
      </c>
      <c r="CK6" s="227">
        <f t="shared" si="9"/>
        <v>0</v>
      </c>
      <c r="CL6" s="227">
        <f t="shared" si="9"/>
        <v>0</v>
      </c>
      <c r="CM6" s="227">
        <f t="shared" si="9"/>
        <v>0</v>
      </c>
      <c r="CN6" s="227">
        <f t="shared" si="9"/>
        <v>0</v>
      </c>
      <c r="CO6" s="227">
        <f t="shared" si="9"/>
        <v>0</v>
      </c>
      <c r="CP6" s="227">
        <f t="shared" si="9"/>
        <v>0</v>
      </c>
      <c r="CQ6" s="227">
        <f t="shared" si="9"/>
        <v>0</v>
      </c>
      <c r="CR6" s="227">
        <f t="shared" si="9"/>
        <v>0</v>
      </c>
      <c r="CS6" s="227">
        <f t="shared" si="9"/>
        <v>0</v>
      </c>
      <c r="CT6" s="227">
        <f t="shared" si="9"/>
        <v>0</v>
      </c>
      <c r="CU6" s="227">
        <f t="shared" si="9"/>
        <v>0</v>
      </c>
      <c r="CV6" s="227">
        <f t="shared" si="9"/>
        <v>0</v>
      </c>
      <c r="CW6" s="227">
        <f t="shared" ref="CW6:EC6" si="10">CW12-CV12</f>
        <v>0</v>
      </c>
      <c r="CX6" s="227">
        <f t="shared" si="10"/>
        <v>0</v>
      </c>
      <c r="CY6" s="227">
        <f t="shared" si="10"/>
        <v>0</v>
      </c>
      <c r="CZ6" s="227">
        <f t="shared" si="10"/>
        <v>0</v>
      </c>
      <c r="DA6" s="227">
        <f t="shared" si="10"/>
        <v>0</v>
      </c>
      <c r="DB6" s="227">
        <f t="shared" si="10"/>
        <v>0</v>
      </c>
      <c r="DC6" s="227">
        <f t="shared" si="10"/>
        <v>0</v>
      </c>
      <c r="DD6" s="227">
        <f t="shared" si="10"/>
        <v>0</v>
      </c>
      <c r="DE6" s="227">
        <f t="shared" si="10"/>
        <v>0</v>
      </c>
      <c r="DF6" s="227">
        <f t="shared" si="10"/>
        <v>0</v>
      </c>
      <c r="DG6" s="227">
        <f t="shared" si="10"/>
        <v>0</v>
      </c>
      <c r="DH6" s="227">
        <f t="shared" si="10"/>
        <v>0</v>
      </c>
      <c r="DI6" s="227">
        <f t="shared" si="10"/>
        <v>0</v>
      </c>
      <c r="DJ6" s="227">
        <f t="shared" si="10"/>
        <v>0</v>
      </c>
      <c r="DK6" s="227">
        <f t="shared" si="10"/>
        <v>0</v>
      </c>
      <c r="DL6" s="227">
        <f t="shared" si="10"/>
        <v>0</v>
      </c>
      <c r="DM6" s="227">
        <f t="shared" si="10"/>
        <v>0</v>
      </c>
      <c r="DN6" s="227">
        <f t="shared" si="10"/>
        <v>0</v>
      </c>
      <c r="DO6" s="227">
        <f t="shared" si="10"/>
        <v>0</v>
      </c>
      <c r="DP6" s="227">
        <f t="shared" si="10"/>
        <v>0</v>
      </c>
      <c r="DQ6" s="227">
        <f t="shared" si="10"/>
        <v>0</v>
      </c>
      <c r="DR6" s="227">
        <f t="shared" si="10"/>
        <v>0</v>
      </c>
      <c r="DS6" s="227">
        <f t="shared" si="10"/>
        <v>0</v>
      </c>
      <c r="DT6" s="227">
        <f t="shared" si="10"/>
        <v>0</v>
      </c>
      <c r="DU6" s="227">
        <f t="shared" si="10"/>
        <v>0</v>
      </c>
      <c r="DV6" s="227">
        <f t="shared" si="10"/>
        <v>0</v>
      </c>
      <c r="DW6" s="227">
        <f t="shared" si="10"/>
        <v>0</v>
      </c>
      <c r="DX6" s="227">
        <f t="shared" si="10"/>
        <v>0</v>
      </c>
      <c r="DY6" s="227">
        <f t="shared" si="10"/>
        <v>0</v>
      </c>
      <c r="DZ6" s="227">
        <f t="shared" si="10"/>
        <v>0</v>
      </c>
      <c r="EA6" s="227">
        <f t="shared" si="10"/>
        <v>0</v>
      </c>
      <c r="EB6" s="227">
        <f t="shared" si="10"/>
        <v>0</v>
      </c>
      <c r="EC6" s="227">
        <f t="shared" si="10"/>
        <v>0</v>
      </c>
    </row>
    <row r="7" spans="1:134" ht="13.5" thickBot="1" x14ac:dyDescent="0.35">
      <c r="A7" s="195" t="s">
        <v>242</v>
      </c>
      <c r="B7" s="208"/>
      <c r="C7" s="208"/>
      <c r="D7" s="208"/>
      <c r="E7" s="209">
        <f>E6/$AZ3</f>
        <v>0</v>
      </c>
      <c r="F7" s="209">
        <f>F6/$AZ3</f>
        <v>0</v>
      </c>
      <c r="G7" s="210">
        <f>G6/$AZ3</f>
        <v>0</v>
      </c>
      <c r="H7" s="210" t="e">
        <f t="shared" si="7"/>
        <v>#DIV/0!</v>
      </c>
      <c r="I7" s="210" t="e">
        <f t="shared" si="7"/>
        <v>#DIV/0!</v>
      </c>
      <c r="J7" s="210" t="e">
        <f t="shared" si="7"/>
        <v>#DIV/0!</v>
      </c>
      <c r="K7" s="210" t="e">
        <f t="shared" si="7"/>
        <v>#DIV/0!</v>
      </c>
      <c r="L7" s="210" t="e">
        <f t="shared" si="7"/>
        <v>#DIV/0!</v>
      </c>
      <c r="M7" s="210" t="e">
        <f t="shared" si="7"/>
        <v>#DIV/0!</v>
      </c>
      <c r="N7" s="210" t="e">
        <f t="shared" si="7"/>
        <v>#DIV/0!</v>
      </c>
      <c r="O7" s="210" t="e">
        <f t="shared" si="7"/>
        <v>#DIV/0!</v>
      </c>
      <c r="P7" s="210" t="e">
        <f t="shared" si="7"/>
        <v>#DIV/0!</v>
      </c>
      <c r="Q7" s="210" t="e">
        <f t="shared" si="7"/>
        <v>#DIV/0!</v>
      </c>
      <c r="R7" s="210" t="e">
        <f t="shared" si="7"/>
        <v>#DIV/0!</v>
      </c>
      <c r="S7" s="210" t="e">
        <f t="shared" si="7"/>
        <v>#DIV/0!</v>
      </c>
      <c r="T7" s="210" t="e">
        <f t="shared" si="7"/>
        <v>#DIV/0!</v>
      </c>
      <c r="U7" s="210" t="e">
        <f t="shared" si="7"/>
        <v>#DIV/0!</v>
      </c>
      <c r="V7" s="210" t="e">
        <f t="shared" si="7"/>
        <v>#DIV/0!</v>
      </c>
      <c r="W7" s="210" t="e">
        <f t="shared" si="7"/>
        <v>#DIV/0!</v>
      </c>
      <c r="X7" s="210" t="e">
        <f t="shared" ref="X7:AJ7" si="11">X13-W13</f>
        <v>#DIV/0!</v>
      </c>
      <c r="Y7" s="210" t="e">
        <f t="shared" si="11"/>
        <v>#DIV/0!</v>
      </c>
      <c r="Z7" s="210" t="e">
        <f t="shared" si="11"/>
        <v>#DIV/0!</v>
      </c>
      <c r="AA7" s="210" t="e">
        <f t="shared" si="11"/>
        <v>#DIV/0!</v>
      </c>
      <c r="AB7" s="210" t="e">
        <f t="shared" si="11"/>
        <v>#DIV/0!</v>
      </c>
      <c r="AC7" s="210" t="e">
        <f t="shared" si="11"/>
        <v>#DIV/0!</v>
      </c>
      <c r="AD7" s="210" t="e">
        <f t="shared" si="11"/>
        <v>#DIV/0!</v>
      </c>
      <c r="AE7" s="210" t="e">
        <f t="shared" si="11"/>
        <v>#DIV/0!</v>
      </c>
      <c r="AF7" s="210" t="e">
        <f t="shared" si="11"/>
        <v>#DIV/0!</v>
      </c>
      <c r="AG7" s="215" t="e">
        <f t="shared" si="11"/>
        <v>#DIV/0!</v>
      </c>
      <c r="AH7" s="210">
        <f t="shared" si="11"/>
        <v>3.6504178595560891E-3</v>
      </c>
      <c r="AI7" s="210">
        <f t="shared" si="11"/>
        <v>2.3272043237059642E-3</v>
      </c>
      <c r="AJ7" s="210">
        <f t="shared" si="11"/>
        <v>5.1438163935482797E-3</v>
      </c>
      <c r="AK7" s="210">
        <f t="shared" si="9"/>
        <v>2.5557960076009259E-3</v>
      </c>
      <c r="AL7" s="251">
        <f t="shared" si="9"/>
        <v>1.1559922478215807E-2</v>
      </c>
      <c r="AM7" s="210">
        <f t="shared" si="9"/>
        <v>1.2079559462537678E-2</v>
      </c>
      <c r="AN7" s="210">
        <f t="shared" si="9"/>
        <v>3.7777134437085302E-3</v>
      </c>
      <c r="AO7" s="210">
        <f t="shared" si="9"/>
        <v>3.6272990029576485E-3</v>
      </c>
      <c r="AP7" s="210">
        <f t="shared" si="9"/>
        <v>6.5139700786577409E-3</v>
      </c>
      <c r="AQ7" s="210">
        <f t="shared" si="9"/>
        <v>6.1845377110822386E-3</v>
      </c>
      <c r="AR7" s="210">
        <f t="shared" si="9"/>
        <v>5.9125228717560041E-3</v>
      </c>
      <c r="AS7" s="210">
        <f t="shared" si="9"/>
        <v>4.9243884719300524E-3</v>
      </c>
      <c r="AT7" s="210">
        <f t="shared" si="9"/>
        <v>6.0170229477853748E-3</v>
      </c>
      <c r="AU7" s="210">
        <f t="shared" si="9"/>
        <v>-4.7732360425643827E-4</v>
      </c>
      <c r="AV7" s="210">
        <f t="shared" si="9"/>
        <v>7.9382742032774317E-3</v>
      </c>
      <c r="AW7" s="210">
        <f t="shared" si="9"/>
        <v>8.074220799426407E-3</v>
      </c>
      <c r="AX7" s="210">
        <f t="shared" si="9"/>
        <v>7.9660630872767924E-3</v>
      </c>
      <c r="AY7" s="210">
        <f t="shared" si="9"/>
        <v>7.5200951324068954E-3</v>
      </c>
      <c r="AZ7" s="210">
        <f t="shared" si="9"/>
        <v>7.2303678513489511E-3</v>
      </c>
      <c r="BA7" s="210">
        <f t="shared" si="9"/>
        <v>9.4884856898583836E-3</v>
      </c>
      <c r="BB7" s="210">
        <f t="shared" si="9"/>
        <v>2.2633816494250225E-3</v>
      </c>
      <c r="BC7" s="210"/>
      <c r="BD7" s="210"/>
      <c r="BE7" s="348"/>
      <c r="BF7" s="210"/>
      <c r="BG7" s="372">
        <f>BG6/$ED3</f>
        <v>9.7385702546833215E-3</v>
      </c>
      <c r="BH7" s="372">
        <f t="shared" ref="BH7:DS7" si="12">BH6/$ED3</f>
        <v>1.1867816103528918E-2</v>
      </c>
      <c r="BI7" s="372">
        <f t="shared" si="12"/>
        <v>1.3808266862161189E-2</v>
      </c>
      <c r="BJ7" s="372">
        <f t="shared" si="12"/>
        <v>8.3343109874053443E-3</v>
      </c>
      <c r="BK7" s="372">
        <f t="shared" si="12"/>
        <v>1.2359791941287215E-2</v>
      </c>
      <c r="BL7" s="372">
        <f t="shared" si="12"/>
        <v>1.1399373840048256E-2</v>
      </c>
      <c r="BM7" s="372">
        <f t="shared" si="12"/>
        <v>1.2671229772908764E-2</v>
      </c>
      <c r="BN7" s="372">
        <f t="shared" si="12"/>
        <v>5.999776443375222E-3</v>
      </c>
      <c r="BO7" s="372">
        <f t="shared" si="12"/>
        <v>7.1799943003130803E-3</v>
      </c>
      <c r="BP7" s="372">
        <f t="shared" si="12"/>
        <v>1.083746124263245E-2</v>
      </c>
      <c r="BQ7" s="372">
        <f t="shared" si="12"/>
        <v>1.1561502743603713E-2</v>
      </c>
      <c r="BR7" s="372">
        <f t="shared" si="12"/>
        <v>1.0612897606030793E-2</v>
      </c>
      <c r="BS7" s="372">
        <f t="shared" si="12"/>
        <v>1.204587543062343E-2</v>
      </c>
      <c r="BT7" s="372">
        <f t="shared" si="12"/>
        <v>5.5647473356984683E-3</v>
      </c>
      <c r="BU7" s="372">
        <f t="shared" si="12"/>
        <v>1.3954162835825856E-2</v>
      </c>
      <c r="BV7" s="372">
        <f t="shared" si="12"/>
        <v>9.0107417951194157E-3</v>
      </c>
      <c r="BW7" s="372">
        <f t="shared" si="12"/>
        <v>8.9241387783133962E-3</v>
      </c>
      <c r="BX7" s="372">
        <f t="shared" si="12"/>
        <v>1.1174810203446598E-2</v>
      </c>
      <c r="BY7" s="372">
        <f t="shared" si="12"/>
        <v>5.9010892846892912E-3</v>
      </c>
      <c r="BZ7" s="372">
        <f t="shared" si="12"/>
        <v>1.0679360386370296E-2</v>
      </c>
      <c r="CA7" s="372">
        <f t="shared" si="12"/>
        <v>6.8829258124319635E-3</v>
      </c>
      <c r="CB7" s="372">
        <f t="shared" si="12"/>
        <v>1.1204013546323048E-2</v>
      </c>
      <c r="CC7" s="372">
        <f t="shared" si="12"/>
        <v>1.1040877630944265E-2</v>
      </c>
      <c r="CD7" s="372">
        <f t="shared" si="12"/>
        <v>8.9613982157764512E-3</v>
      </c>
      <c r="CE7" s="372">
        <f t="shared" si="12"/>
        <v>1.309820278599891E-2</v>
      </c>
      <c r="CF7" s="372">
        <f t="shared" si="12"/>
        <v>1.2846449830167457E-2</v>
      </c>
      <c r="CG7" s="372">
        <f t="shared" si="12"/>
        <v>1.1364128426231853E-2</v>
      </c>
      <c r="CH7" s="372">
        <f t="shared" si="12"/>
        <v>-0.49530782840921334</v>
      </c>
      <c r="CI7" s="372">
        <f t="shared" si="12"/>
        <v>0</v>
      </c>
      <c r="CJ7" s="372">
        <f t="shared" si="12"/>
        <v>0</v>
      </c>
      <c r="CK7" s="372">
        <f t="shared" si="12"/>
        <v>0</v>
      </c>
      <c r="CL7" s="372">
        <f t="shared" si="12"/>
        <v>0</v>
      </c>
      <c r="CM7" s="372">
        <f t="shared" si="12"/>
        <v>0</v>
      </c>
      <c r="CN7" s="372">
        <f t="shared" si="12"/>
        <v>0</v>
      </c>
      <c r="CO7" s="372">
        <f t="shared" si="12"/>
        <v>0</v>
      </c>
      <c r="CP7" s="372">
        <f t="shared" si="12"/>
        <v>0</v>
      </c>
      <c r="CQ7" s="372">
        <f t="shared" si="12"/>
        <v>0</v>
      </c>
      <c r="CR7" s="372">
        <f t="shared" si="12"/>
        <v>0</v>
      </c>
      <c r="CS7" s="372">
        <f t="shared" si="12"/>
        <v>0</v>
      </c>
      <c r="CT7" s="372">
        <f t="shared" si="12"/>
        <v>0</v>
      </c>
      <c r="CU7" s="372">
        <f t="shared" si="12"/>
        <v>0</v>
      </c>
      <c r="CV7" s="372">
        <f t="shared" si="12"/>
        <v>0</v>
      </c>
      <c r="CW7" s="372">
        <f t="shared" si="12"/>
        <v>0</v>
      </c>
      <c r="CX7" s="372">
        <f t="shared" si="12"/>
        <v>0</v>
      </c>
      <c r="CY7" s="372">
        <f t="shared" si="12"/>
        <v>0</v>
      </c>
      <c r="CZ7" s="372">
        <f t="shared" si="12"/>
        <v>0</v>
      </c>
      <c r="DA7" s="372">
        <f t="shared" si="12"/>
        <v>0</v>
      </c>
      <c r="DB7" s="372">
        <f t="shared" si="12"/>
        <v>0</v>
      </c>
      <c r="DC7" s="372">
        <f t="shared" si="12"/>
        <v>0</v>
      </c>
      <c r="DD7" s="372">
        <f t="shared" si="12"/>
        <v>0</v>
      </c>
      <c r="DE7" s="372">
        <f t="shared" si="12"/>
        <v>0</v>
      </c>
      <c r="DF7" s="372">
        <f t="shared" si="12"/>
        <v>0</v>
      </c>
      <c r="DG7" s="372">
        <f t="shared" si="12"/>
        <v>0</v>
      </c>
      <c r="DH7" s="372">
        <f t="shared" si="12"/>
        <v>0</v>
      </c>
      <c r="DI7" s="372">
        <f t="shared" si="12"/>
        <v>0</v>
      </c>
      <c r="DJ7" s="372">
        <f t="shared" si="12"/>
        <v>0</v>
      </c>
      <c r="DK7" s="372">
        <f t="shared" si="12"/>
        <v>0</v>
      </c>
      <c r="DL7" s="372">
        <f t="shared" si="12"/>
        <v>0</v>
      </c>
      <c r="DM7" s="372">
        <f t="shared" si="12"/>
        <v>0</v>
      </c>
      <c r="DN7" s="372">
        <f t="shared" si="12"/>
        <v>0</v>
      </c>
      <c r="DO7" s="372">
        <f t="shared" si="12"/>
        <v>0</v>
      </c>
      <c r="DP7" s="372">
        <f t="shared" si="12"/>
        <v>0</v>
      </c>
      <c r="DQ7" s="372">
        <f t="shared" si="12"/>
        <v>0</v>
      </c>
      <c r="DR7" s="372">
        <f t="shared" si="12"/>
        <v>0</v>
      </c>
      <c r="DS7" s="372">
        <f t="shared" si="12"/>
        <v>0</v>
      </c>
      <c r="DT7" s="372">
        <f t="shared" ref="DT7:EC7" si="13">DT6/$ED3</f>
        <v>0</v>
      </c>
      <c r="DU7" s="372">
        <f t="shared" si="13"/>
        <v>0</v>
      </c>
      <c r="DV7" s="372">
        <f t="shared" si="13"/>
        <v>0</v>
      </c>
      <c r="DW7" s="372">
        <f t="shared" si="13"/>
        <v>0</v>
      </c>
      <c r="DX7" s="372">
        <f t="shared" si="13"/>
        <v>0</v>
      </c>
      <c r="DY7" s="372">
        <f t="shared" si="13"/>
        <v>0</v>
      </c>
      <c r="DZ7" s="372">
        <f t="shared" si="13"/>
        <v>0</v>
      </c>
      <c r="EA7" s="372">
        <f t="shared" si="13"/>
        <v>0</v>
      </c>
      <c r="EB7" s="372">
        <f t="shared" si="13"/>
        <v>0</v>
      </c>
      <c r="EC7" s="372">
        <f t="shared" si="13"/>
        <v>0</v>
      </c>
    </row>
    <row r="8" spans="1:134" ht="13.5" thickTop="1" x14ac:dyDescent="0.3">
      <c r="A8" s="186"/>
      <c r="B8" s="206"/>
      <c r="C8" s="206"/>
      <c r="D8" s="206"/>
      <c r="E8" s="206"/>
      <c r="F8" s="206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16"/>
      <c r="AH8" s="207"/>
      <c r="AI8" s="207"/>
      <c r="AJ8" s="207"/>
      <c r="AK8" s="207"/>
      <c r="AL8" s="252"/>
      <c r="AM8" s="207"/>
      <c r="AN8" s="207"/>
      <c r="AO8" s="207"/>
      <c r="AP8" s="207"/>
      <c r="AQ8" s="207"/>
      <c r="AR8" s="207"/>
      <c r="AS8" s="207"/>
      <c r="AT8" s="207"/>
      <c r="AU8" s="16"/>
      <c r="AV8" s="207"/>
      <c r="AW8" s="207"/>
      <c r="AX8" s="207"/>
      <c r="AY8" s="207"/>
      <c r="AZ8" s="207"/>
      <c r="BA8" s="207"/>
      <c r="BB8" s="207"/>
      <c r="BC8" s="207"/>
      <c r="BD8" s="207"/>
      <c r="BE8" s="349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</row>
    <row r="9" spans="1:134" x14ac:dyDescent="0.25">
      <c r="A9" s="189" t="s">
        <v>241</v>
      </c>
      <c r="B9" s="190">
        <v>0</v>
      </c>
      <c r="C9" s="190">
        <v>0</v>
      </c>
      <c r="D9" s="190">
        <f>$ED$3*D10</f>
        <v>465.68669601287155</v>
      </c>
      <c r="E9" s="190">
        <f t="shared" ref="E9:BP9" si="14">$ED$3*E10</f>
        <v>1045.8654250233828</v>
      </c>
      <c r="F9" s="190">
        <f t="shared" si="14"/>
        <v>1626.0441540338941</v>
      </c>
      <c r="G9" s="190">
        <f t="shared" si="14"/>
        <v>2135.4693795065382</v>
      </c>
      <c r="H9" s="190">
        <f t="shared" si="14"/>
        <v>2644.8946049791825</v>
      </c>
      <c r="I9" s="190">
        <f t="shared" si="14"/>
        <v>3154.319830451826</v>
      </c>
      <c r="J9" s="190">
        <f t="shared" si="14"/>
        <v>3474.6402373778069</v>
      </c>
      <c r="K9" s="190">
        <f t="shared" si="14"/>
        <v>3984.0654628504508</v>
      </c>
      <c r="L9" s="190">
        <f t="shared" si="14"/>
        <v>4493.4906883230951</v>
      </c>
      <c r="M9" s="190">
        <f t="shared" si="14"/>
        <v>5002.9159137957386</v>
      </c>
      <c r="N9" s="190">
        <f t="shared" si="14"/>
        <v>5002.9159137957386</v>
      </c>
      <c r="O9" s="190">
        <f t="shared" si="14"/>
        <v>5002.9159137957386</v>
      </c>
      <c r="P9" s="190">
        <f t="shared" si="14"/>
        <v>5512.3411392683829</v>
      </c>
      <c r="Q9" s="190">
        <f t="shared" si="14"/>
        <v>6021.7663647410272</v>
      </c>
      <c r="R9" s="190">
        <f t="shared" si="14"/>
        <v>6531.1915902136716</v>
      </c>
      <c r="S9" s="190">
        <f t="shared" si="14"/>
        <v>7040.616815686315</v>
      </c>
      <c r="T9" s="190">
        <f t="shared" si="14"/>
        <v>7550.0420411589594</v>
      </c>
      <c r="U9" s="190">
        <f t="shared" si="14"/>
        <v>8059.4672666316037</v>
      </c>
      <c r="V9" s="190">
        <f t="shared" si="14"/>
        <v>8568.8924921042471</v>
      </c>
      <c r="W9" s="190">
        <f t="shared" si="14"/>
        <v>9078.3177175768906</v>
      </c>
      <c r="X9" s="190">
        <f t="shared" si="14"/>
        <v>9587.7429430495358</v>
      </c>
      <c r="Y9" s="190">
        <f t="shared" si="14"/>
        <v>10097.168168522179</v>
      </c>
      <c r="Z9" s="190">
        <f t="shared" si="14"/>
        <v>10606.593393994825</v>
      </c>
      <c r="AA9" s="190">
        <f t="shared" si="14"/>
        <v>11116.018619467468</v>
      </c>
      <c r="AB9" s="190">
        <f t="shared" si="14"/>
        <v>11908.457859091579</v>
      </c>
      <c r="AC9" s="190">
        <f t="shared" si="14"/>
        <v>12700.897098715694</v>
      </c>
      <c r="AD9" s="190">
        <f t="shared" si="14"/>
        <v>13606.541944000395</v>
      </c>
      <c r="AE9" s="190">
        <f t="shared" si="14"/>
        <v>14625.392394945682</v>
      </c>
      <c r="AF9" s="190">
        <f t="shared" si="14"/>
        <v>16210.27087419391</v>
      </c>
      <c r="AG9" s="191">
        <f t="shared" si="14"/>
        <v>18361.17738174507</v>
      </c>
      <c r="AH9" s="219">
        <f t="shared" si="14"/>
        <v>21078.111917599173</v>
      </c>
      <c r="AI9" s="190">
        <f t="shared" si="14"/>
        <v>23908.252059113864</v>
      </c>
      <c r="AJ9" s="190">
        <f t="shared" si="14"/>
        <v>26738.39220062855</v>
      </c>
      <c r="AK9" s="190">
        <f t="shared" si="14"/>
        <v>30700.588398749118</v>
      </c>
      <c r="AL9" s="253">
        <f t="shared" si="14"/>
        <v>74634.899415763823</v>
      </c>
      <c r="AM9" s="190">
        <f t="shared" si="14"/>
        <v>81913.197463428718</v>
      </c>
      <c r="AN9" s="190">
        <f t="shared" si="14"/>
        <v>89191.495511093584</v>
      </c>
      <c r="AO9" s="190">
        <f t="shared" si="14"/>
        <v>96469.79355875848</v>
      </c>
      <c r="AP9" s="190">
        <f t="shared" si="14"/>
        <v>102300.34435263489</v>
      </c>
      <c r="AQ9" s="190">
        <f t="shared" si="14"/>
        <v>109578.64240029977</v>
      </c>
      <c r="AR9" s="190">
        <f t="shared" si="14"/>
        <v>116856.94044796465</v>
      </c>
      <c r="AS9" s="190">
        <f t="shared" si="14"/>
        <v>124135.23849562954</v>
      </c>
      <c r="AT9" s="190">
        <f t="shared" si="14"/>
        <v>131413.53654329444</v>
      </c>
      <c r="AU9" s="190">
        <f t="shared" si="14"/>
        <v>138691.8345909593</v>
      </c>
      <c r="AV9" s="190">
        <f t="shared" si="14"/>
        <v>145970.13263862417</v>
      </c>
      <c r="AW9" s="190">
        <f t="shared" si="14"/>
        <v>153248.4306862891</v>
      </c>
      <c r="AX9" s="190">
        <f t="shared" si="14"/>
        <v>160526.72873395396</v>
      </c>
      <c r="AY9" s="190">
        <f t="shared" si="14"/>
        <v>166357.27952783034</v>
      </c>
      <c r="AZ9" s="190">
        <f t="shared" si="14"/>
        <v>173635.57757549523</v>
      </c>
      <c r="BA9" s="190">
        <f t="shared" si="14"/>
        <v>180913.87562316013</v>
      </c>
      <c r="BB9" s="190">
        <f t="shared" si="14"/>
        <v>188192.17367082502</v>
      </c>
      <c r="BC9" s="190">
        <f t="shared" si="14"/>
        <v>195470.47171848989</v>
      </c>
      <c r="BD9" s="190">
        <f t="shared" si="14"/>
        <v>202748.76976615479</v>
      </c>
      <c r="BE9" s="350">
        <f>$ED$3*BE10</f>
        <v>0</v>
      </c>
      <c r="BF9" s="190">
        <f t="shared" si="14"/>
        <v>211112.00524296321</v>
      </c>
      <c r="BG9" s="190">
        <f t="shared" si="14"/>
        <v>219372.22957358297</v>
      </c>
      <c r="BH9" s="190">
        <f t="shared" si="14"/>
        <v>228098.83674521471</v>
      </c>
      <c r="BI9" s="190">
        <f t="shared" si="14"/>
        <v>236886.83613795633</v>
      </c>
      <c r="BJ9" s="190">
        <f t="shared" si="14"/>
        <v>242160.62597071601</v>
      </c>
      <c r="BK9" s="190">
        <f t="shared" si="14"/>
        <v>250948.6253634576</v>
      </c>
      <c r="BL9" s="190">
        <f t="shared" si="14"/>
        <v>260184.19385203236</v>
      </c>
      <c r="BM9" s="190">
        <f t="shared" si="14"/>
        <v>269967.34134502249</v>
      </c>
      <c r="BN9" s="190">
        <f t="shared" si="14"/>
        <v>277867.1339259005</v>
      </c>
      <c r="BO9" s="190">
        <f t="shared" si="14"/>
        <v>285856.04424709931</v>
      </c>
      <c r="BP9" s="190">
        <f t="shared" si="14"/>
        <v>296165.97660509654</v>
      </c>
      <c r="BQ9" s="190">
        <f t="shared" ref="BQ9:EC9" si="15">$ED$3*BQ10</f>
        <v>306475.90896309383</v>
      </c>
      <c r="BR9" s="190">
        <f t="shared" si="15"/>
        <v>317415.60668602446</v>
      </c>
      <c r="BS9" s="190">
        <f t="shared" si="15"/>
        <v>328639.49098086689</v>
      </c>
      <c r="BT9" s="190">
        <f t="shared" si="15"/>
        <v>339979.22833812627</v>
      </c>
      <c r="BU9" s="190">
        <f t="shared" si="15"/>
        <v>350872.38679666718</v>
      </c>
      <c r="BV9" s="190">
        <f t="shared" si="15"/>
        <v>361693.26086583675</v>
      </c>
      <c r="BW9" s="190">
        <f t="shared" si="15"/>
        <v>372749.80184829904</v>
      </c>
      <c r="BX9" s="190">
        <f t="shared" si="15"/>
        <v>384151.92162378295</v>
      </c>
      <c r="BY9" s="190">
        <f t="shared" si="15"/>
        <v>396537.30713413929</v>
      </c>
      <c r="BZ9" s="190">
        <f t="shared" si="15"/>
        <v>408807.82977919327</v>
      </c>
      <c r="CA9" s="190">
        <f t="shared" si="15"/>
        <v>422263.61837051337</v>
      </c>
      <c r="CB9" s="190">
        <f t="shared" si="15"/>
        <v>435762.9756348792</v>
      </c>
      <c r="CC9" s="190">
        <f t="shared" si="15"/>
        <v>449987.15718718717</v>
      </c>
      <c r="CD9" s="190">
        <f t="shared" si="15"/>
        <v>461139.74728977296</v>
      </c>
      <c r="CE9" s="190">
        <f t="shared" si="15"/>
        <v>475447.10539971362</v>
      </c>
      <c r="CF9" s="190">
        <f t="shared" si="15"/>
        <v>489795.061591356</v>
      </c>
      <c r="CG9" s="190">
        <f t="shared" si="15"/>
        <v>504220.25315794308</v>
      </c>
      <c r="CH9" s="190">
        <f t="shared" si="15"/>
        <v>518772.18995520845</v>
      </c>
      <c r="CI9" s="190">
        <f t="shared" si="15"/>
        <v>533454.83277161105</v>
      </c>
      <c r="CJ9" s="190">
        <f t="shared" si="15"/>
        <v>547889.92630934482</v>
      </c>
      <c r="CK9" s="190">
        <f t="shared" si="15"/>
        <v>559802.98779600102</v>
      </c>
      <c r="CL9" s="190">
        <f t="shared" si="15"/>
        <v>575039.15079950704</v>
      </c>
      <c r="CM9" s="190">
        <f t="shared" si="15"/>
        <v>589563.36207756156</v>
      </c>
      <c r="CN9" s="190">
        <f t="shared" si="15"/>
        <v>604171.74011036346</v>
      </c>
      <c r="CO9" s="190">
        <f t="shared" si="15"/>
        <v>620117.87444509135</v>
      </c>
      <c r="CP9" s="190">
        <f t="shared" si="15"/>
        <v>632722.0935177909</v>
      </c>
      <c r="CQ9" s="190">
        <f t="shared" si="15"/>
        <v>648347.40398736414</v>
      </c>
      <c r="CR9" s="190">
        <f t="shared" si="15"/>
        <v>663689.51808214025</v>
      </c>
      <c r="CS9" s="190">
        <f t="shared" si="15"/>
        <v>678750.41619634873</v>
      </c>
      <c r="CT9" s="190">
        <f t="shared" si="15"/>
        <v>693354.83344069193</v>
      </c>
      <c r="CU9" s="190">
        <f t="shared" si="15"/>
        <v>707910.73102641606</v>
      </c>
      <c r="CV9" s="190">
        <f t="shared" si="15"/>
        <v>722842.90351571667</v>
      </c>
      <c r="CW9" s="190">
        <f t="shared" si="15"/>
        <v>737815.67408671905</v>
      </c>
      <c r="CX9" s="190">
        <f t="shared" si="15"/>
        <v>752757.74854716659</v>
      </c>
      <c r="CY9" s="190">
        <f t="shared" si="15"/>
        <v>765473.85989382432</v>
      </c>
      <c r="CZ9" s="190">
        <f t="shared" si="15"/>
        <v>779208.88407148281</v>
      </c>
      <c r="DA9" s="190">
        <f t="shared" si="15"/>
        <v>791847.76004319591</v>
      </c>
      <c r="DB9" s="190">
        <f t="shared" si="15"/>
        <v>805781.81384090404</v>
      </c>
      <c r="DC9" s="190">
        <f t="shared" si="15"/>
        <v>817453.26723157964</v>
      </c>
      <c r="DD9" s="190">
        <f t="shared" si="15"/>
        <v>828353.35706992319</v>
      </c>
      <c r="DE9" s="190">
        <f t="shared" si="15"/>
        <v>839882.22207608551</v>
      </c>
      <c r="DF9" s="190">
        <f t="shared" si="15"/>
        <v>851713.09720222373</v>
      </c>
      <c r="DG9" s="190">
        <f t="shared" si="15"/>
        <v>864399.50263544125</v>
      </c>
      <c r="DH9" s="190">
        <f t="shared" si="15"/>
        <v>877156.21206380078</v>
      </c>
      <c r="DI9" s="190">
        <f t="shared" si="15"/>
        <v>890058.48046801751</v>
      </c>
      <c r="DJ9" s="190">
        <f t="shared" si="15"/>
        <v>896552.19314605684</v>
      </c>
      <c r="DK9" s="190">
        <f t="shared" si="15"/>
        <v>907715.67541690415</v>
      </c>
      <c r="DL9" s="190">
        <f t="shared" si="15"/>
        <v>918933.61852905841</v>
      </c>
      <c r="DM9" s="190">
        <f t="shared" si="15"/>
        <v>929901.04177120002</v>
      </c>
      <c r="DN9" s="190">
        <f t="shared" si="15"/>
        <v>936884.90202100365</v>
      </c>
      <c r="DO9" s="190">
        <f t="shared" si="15"/>
        <v>943326.13425196521</v>
      </c>
      <c r="DP9" s="190">
        <f t="shared" si="15"/>
        <v>949756.47431466542</v>
      </c>
      <c r="DQ9" s="190">
        <f t="shared" si="15"/>
        <v>956189.78496870957</v>
      </c>
      <c r="DR9" s="190">
        <f t="shared" si="15"/>
        <v>961133.83916228241</v>
      </c>
      <c r="DS9" s="190">
        <f t="shared" si="15"/>
        <v>966099.67769237806</v>
      </c>
      <c r="DT9" s="190">
        <f t="shared" si="15"/>
        <v>971056.60444844165</v>
      </c>
      <c r="DU9" s="190">
        <f t="shared" si="15"/>
        <v>975135.22636378848</v>
      </c>
      <c r="DV9" s="190">
        <f t="shared" si="15"/>
        <v>979213.8482791353</v>
      </c>
      <c r="DW9" s="190">
        <f t="shared" si="15"/>
        <v>982167.60627221118</v>
      </c>
      <c r="DX9" s="190">
        <f t="shared" si="15"/>
        <v>985121.36426528695</v>
      </c>
      <c r="DY9" s="190">
        <f t="shared" si="15"/>
        <v>987095.8173119491</v>
      </c>
      <c r="DZ9" s="190">
        <f t="shared" si="15"/>
        <v>989076.21154129936</v>
      </c>
      <c r="EA9" s="190">
        <f t="shared" si="15"/>
        <v>991056.6057706495</v>
      </c>
      <c r="EB9" s="190">
        <f t="shared" si="15"/>
        <v>992046.80288532469</v>
      </c>
      <c r="EC9" s="190">
        <f t="shared" si="15"/>
        <v>993036.99999999988</v>
      </c>
    </row>
    <row r="10" spans="1:134" x14ac:dyDescent="0.25">
      <c r="A10" s="193" t="s">
        <v>240</v>
      </c>
      <c r="B10" s="192">
        <v>0</v>
      </c>
      <c r="C10" s="192">
        <v>0</v>
      </c>
      <c r="D10" s="192">
        <v>4.6895200885049756E-4</v>
      </c>
      <c r="E10" s="192">
        <v>1.053198848606228E-3</v>
      </c>
      <c r="F10" s="192">
        <v>1.6374456883619583E-3</v>
      </c>
      <c r="G10" s="192">
        <v>2.1504429135133316E-3</v>
      </c>
      <c r="H10" s="192">
        <v>2.6634401386647047E-3</v>
      </c>
      <c r="I10" s="192">
        <v>3.1764373638160774E-3</v>
      </c>
      <c r="J10" s="192">
        <v>3.4990038008430773E-3</v>
      </c>
      <c r="K10" s="192">
        <v>4.0120010259944499E-3</v>
      </c>
      <c r="L10" s="192">
        <v>4.5249982511458234E-3</v>
      </c>
      <c r="M10" s="192">
        <v>5.0379954762971961E-3</v>
      </c>
      <c r="N10" s="192">
        <v>5.0379954762971961E-3</v>
      </c>
      <c r="O10" s="192">
        <v>5.0379954762971961E-3</v>
      </c>
      <c r="P10" s="192">
        <v>5.5509927014485696E-3</v>
      </c>
      <c r="Q10" s="192">
        <v>6.0639899265999423E-3</v>
      </c>
      <c r="R10" s="192">
        <v>6.5769871517513158E-3</v>
      </c>
      <c r="S10" s="192">
        <v>7.0899843769026884E-3</v>
      </c>
      <c r="T10" s="192">
        <v>7.602981602054062E-3</v>
      </c>
      <c r="U10" s="192">
        <v>8.1159788272054355E-3</v>
      </c>
      <c r="V10" s="192">
        <v>8.6289760523568081E-3</v>
      </c>
      <c r="W10" s="192">
        <v>9.1419732775081808E-3</v>
      </c>
      <c r="X10" s="192">
        <v>9.6549705026595534E-3</v>
      </c>
      <c r="Y10" s="192">
        <v>1.0167967727810926E-2</v>
      </c>
      <c r="Z10" s="192">
        <v>1.06809649529623E-2</v>
      </c>
      <c r="AA10" s="192">
        <v>1.1193962178113673E-2</v>
      </c>
      <c r="AB10" s="192">
        <v>1.1991957861682475E-2</v>
      </c>
      <c r="AC10" s="192">
        <v>1.2789953545251278E-2</v>
      </c>
      <c r="AD10" s="192">
        <v>1.3701948612187053E-2</v>
      </c>
      <c r="AE10" s="192">
        <v>1.4727943062489798E-2</v>
      </c>
      <c r="AF10" s="192">
        <v>1.6323934429627405E-2</v>
      </c>
      <c r="AG10" s="217">
        <v>1.8489922713599866E-2</v>
      </c>
      <c r="AH10" s="220">
        <v>2.1225907914407191E-2</v>
      </c>
      <c r="AI10" s="220">
        <v>2.4075892498581487E-2</v>
      </c>
      <c r="AJ10" s="220">
        <v>2.6925877082755779E-2</v>
      </c>
      <c r="AK10" s="220">
        <v>3.0915855500599793E-2</v>
      </c>
      <c r="AL10" s="373">
        <v>7.5158226144407328E-2</v>
      </c>
      <c r="AM10" s="159">
        <v>8.248755833209509E-2</v>
      </c>
      <c r="AN10" s="159">
        <v>8.9816890519782838E-2</v>
      </c>
      <c r="AO10" s="159">
        <v>9.71462227074706E-2</v>
      </c>
      <c r="AP10" s="159">
        <v>0.10301765629340587</v>
      </c>
      <c r="AQ10" s="159">
        <v>0.11034698848109362</v>
      </c>
      <c r="AR10" s="159">
        <v>0.11767632066878138</v>
      </c>
      <c r="AS10" s="159">
        <v>0.12500565285646914</v>
      </c>
      <c r="AT10" s="159">
        <v>0.13233498504415689</v>
      </c>
      <c r="AU10" s="159">
        <v>0.13966431723184464</v>
      </c>
      <c r="AV10" s="159">
        <v>0.14699364941953239</v>
      </c>
      <c r="AW10" s="159">
        <v>0.15432298160722016</v>
      </c>
      <c r="AX10" s="159">
        <v>0.16165231379490791</v>
      </c>
      <c r="AY10" s="159">
        <v>0.16752374738084316</v>
      </c>
      <c r="AZ10" s="159">
        <v>0.17485307956853091</v>
      </c>
      <c r="BA10" s="159">
        <v>0.18218241175621869</v>
      </c>
      <c r="BB10" s="159">
        <v>0.18951174394390644</v>
      </c>
      <c r="BC10" s="159">
        <v>0.19684107613159418</v>
      </c>
      <c r="BD10" s="159">
        <v>0.20417040831928196</v>
      </c>
      <c r="BE10" s="374"/>
      <c r="BF10" s="375">
        <v>0.21259228532568594</v>
      </c>
      <c r="BG10" s="375">
        <v>0.22091042888994364</v>
      </c>
      <c r="BH10" s="375">
        <v>0.22969822548929669</v>
      </c>
      <c r="BI10" s="375">
        <v>0.23854784478116761</v>
      </c>
      <c r="BJ10" s="375">
        <v>0.24385861349649207</v>
      </c>
      <c r="BK10" s="375">
        <v>0.25270823278836296</v>
      </c>
      <c r="BL10" s="375">
        <v>0.26200855945149309</v>
      </c>
      <c r="BM10" s="375">
        <v>0.27186030464627448</v>
      </c>
      <c r="BN10" s="375">
        <v>0.27981548917704024</v>
      </c>
      <c r="BO10" s="375">
        <v>0.28786041632597709</v>
      </c>
      <c r="BP10" s="375">
        <v>0.29824264010816975</v>
      </c>
      <c r="BQ10" s="375">
        <v>0.30862486389036242</v>
      </c>
      <c r="BR10" s="375">
        <v>0.31964126884096411</v>
      </c>
      <c r="BS10" s="375">
        <v>0.33094385302951135</v>
      </c>
      <c r="BT10" s="375">
        <v>0.34236310262168101</v>
      </c>
      <c r="BU10" s="375">
        <v>0.35333264198279335</v>
      </c>
      <c r="BV10" s="375">
        <v>0.36422939010916688</v>
      </c>
      <c r="BW10" s="375">
        <v>0.37536345760359285</v>
      </c>
      <c r="BX10" s="375">
        <v>0.38684552702848229</v>
      </c>
      <c r="BY10" s="375">
        <v>0.39931775667385938</v>
      </c>
      <c r="BZ10" s="375">
        <v>0.41167431805581595</v>
      </c>
      <c r="CA10" s="375">
        <v>0.42522445625944794</v>
      </c>
      <c r="CB10" s="375">
        <v>0.43881846863196355</v>
      </c>
      <c r="CC10" s="375">
        <v>0.45314238763227066</v>
      </c>
      <c r="CD10" s="375">
        <v>0.46437317772628106</v>
      </c>
      <c r="CE10" s="375">
        <v>0.47878085650354785</v>
      </c>
      <c r="CF10" s="375">
        <v>0.49322941802909259</v>
      </c>
      <c r="CG10" s="375">
        <v>0.50775575649038562</v>
      </c>
      <c r="CH10" s="375">
        <v>0.52240972889752191</v>
      </c>
      <c r="CI10" s="375">
        <v>0.53719532381130919</v>
      </c>
      <c r="CJ10" s="375">
        <v>0.55173163367462119</v>
      </c>
      <c r="CK10" s="375">
        <v>0.56372822744369144</v>
      </c>
      <c r="CL10" s="375">
        <v>0.57907122373034137</v>
      </c>
      <c r="CM10" s="375">
        <v>0.59369727621182444</v>
      </c>
      <c r="CN10" s="375">
        <v>0.60840808561046911</v>
      </c>
      <c r="CO10" s="375">
        <v>0.62446603142188195</v>
      </c>
      <c r="CP10" s="375">
        <v>0.63715862905187914</v>
      </c>
      <c r="CQ10" s="375">
        <v>0.65289350143787606</v>
      </c>
      <c r="CR10" s="375">
        <v>0.66834319172612933</v>
      </c>
      <c r="CS10" s="375">
        <v>0.68350969419704277</v>
      </c>
      <c r="CT10" s="375">
        <v>0.6982165150348798</v>
      </c>
      <c r="CU10" s="375">
        <v>0.71287447600282372</v>
      </c>
      <c r="CV10" s="375">
        <v>0.72791135024748999</v>
      </c>
      <c r="CW10" s="375">
        <v>0.74298910724043421</v>
      </c>
      <c r="CX10" s="375">
        <v>0.75803595288711956</v>
      </c>
      <c r="CY10" s="375">
        <v>0.77084122735993155</v>
      </c>
      <c r="CZ10" s="375">
        <v>0.7846725591004996</v>
      </c>
      <c r="DA10" s="375">
        <v>0.7974000566375633</v>
      </c>
      <c r="DB10" s="375">
        <v>0.81143181355871341</v>
      </c>
      <c r="DC10" s="375">
        <v>0.82318510511851983</v>
      </c>
      <c r="DD10" s="375">
        <v>0.83416162446104547</v>
      </c>
      <c r="DE10" s="375">
        <v>0.84577132783177822</v>
      </c>
      <c r="DF10" s="375">
        <v>0.8576851589640907</v>
      </c>
      <c r="DG10" s="375">
        <v>0.87046051923084566</v>
      </c>
      <c r="DH10" s="375">
        <v>0.88330667645193561</v>
      </c>
      <c r="DI10" s="375">
        <v>0.89629941328270502</v>
      </c>
      <c r="DJ10" s="375">
        <v>0.90283865872677138</v>
      </c>
      <c r="DK10" s="375">
        <v>0.91408041736300272</v>
      </c>
      <c r="DL10" s="375">
        <v>0.92537701871033851</v>
      </c>
      <c r="DM10" s="375">
        <v>0.93642134358659346</v>
      </c>
      <c r="DN10" s="375">
        <v>0.9434541734306009</v>
      </c>
      <c r="DO10" s="375">
        <v>0.94994057044396651</v>
      </c>
      <c r="DP10" s="375">
        <v>0.95641599891511131</v>
      </c>
      <c r="DQ10" s="375">
        <v>0.96289441880686177</v>
      </c>
      <c r="DR10" s="375">
        <v>0.96787313983495316</v>
      </c>
      <c r="DS10" s="375">
        <v>0.97287379794748641</v>
      </c>
      <c r="DT10" s="375">
        <v>0.97786548179820254</v>
      </c>
      <c r="DU10" s="375">
        <v>0.98197270228983258</v>
      </c>
      <c r="DV10" s="375">
        <v>0.98607992278146261</v>
      </c>
      <c r="DW10" s="375">
        <v>0.98905439200373313</v>
      </c>
      <c r="DX10" s="375">
        <v>0.99202886122600364</v>
      </c>
      <c r="DY10" s="375">
        <v>0.99401715878859409</v>
      </c>
      <c r="DZ10" s="375">
        <v>0.99601143919239599</v>
      </c>
      <c r="EA10" s="375">
        <v>0.99800571959619788</v>
      </c>
      <c r="EB10" s="375">
        <v>0.99900285979809889</v>
      </c>
      <c r="EC10" s="375">
        <v>0.99999999999999989</v>
      </c>
    </row>
    <row r="11" spans="1:134" ht="13" x14ac:dyDescent="0.3">
      <c r="A11" s="186"/>
      <c r="B11" s="198"/>
      <c r="C11" s="198"/>
      <c r="D11" s="198"/>
      <c r="E11" s="198"/>
      <c r="F11" s="198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200"/>
      <c r="AH11" s="184"/>
      <c r="AI11" s="184"/>
      <c r="AJ11" s="184"/>
      <c r="AK11" s="184"/>
      <c r="AL11" s="254"/>
      <c r="AM11" s="184"/>
      <c r="AN11" s="184"/>
      <c r="AO11" s="184"/>
      <c r="AP11" s="184"/>
      <c r="AQ11" s="184"/>
      <c r="AR11" s="184"/>
      <c r="AS11" s="184"/>
      <c r="AT11" s="184"/>
      <c r="AU11" s="6"/>
      <c r="AV11" s="184"/>
      <c r="AW11" s="184"/>
      <c r="AX11" s="184"/>
      <c r="AY11" s="184"/>
      <c r="AZ11" s="184"/>
      <c r="BA11" s="184"/>
      <c r="BB11" s="184"/>
      <c r="BC11" s="184"/>
      <c r="BD11" s="184"/>
      <c r="BE11" s="345"/>
      <c r="BF11" s="184"/>
      <c r="BG11" s="184"/>
      <c r="BH11" s="184"/>
      <c r="BI11" s="184"/>
      <c r="BJ11" s="184"/>
      <c r="BK11" s="184"/>
      <c r="BL11" s="184"/>
      <c r="BM11" s="184"/>
      <c r="BN11" s="184"/>
      <c r="BO11" s="184"/>
      <c r="BP11" s="184"/>
      <c r="BQ11" s="184"/>
      <c r="BR11" s="184"/>
      <c r="BS11" s="184"/>
      <c r="BT11" s="184"/>
      <c r="BU11" s="184"/>
      <c r="BV11" s="184"/>
      <c r="BW11" s="184"/>
      <c r="BX11" s="184"/>
      <c r="BY11" s="184"/>
      <c r="BZ11" s="184"/>
      <c r="CA11" s="184"/>
      <c r="CB11" s="184"/>
      <c r="CC11" s="184"/>
      <c r="CD11" s="184"/>
      <c r="CE11" s="184"/>
      <c r="CF11" s="184"/>
      <c r="CG11" s="184"/>
      <c r="CH11" s="184"/>
      <c r="CI11" s="184"/>
      <c r="CJ11" s="184"/>
      <c r="CK11" s="184"/>
      <c r="CL11" s="184"/>
      <c r="CM11" s="184"/>
      <c r="CN11" s="184"/>
      <c r="CO11" s="184"/>
      <c r="CP11" s="184"/>
      <c r="CQ11" s="184"/>
      <c r="CR11" s="184"/>
      <c r="CS11" s="184"/>
      <c r="CT11" s="184"/>
      <c r="CU11" s="184"/>
      <c r="CV11" s="184"/>
      <c r="CW11" s="184"/>
      <c r="CX11" s="184"/>
      <c r="CY11" s="184"/>
      <c r="CZ11" s="184"/>
      <c r="DA11" s="184"/>
      <c r="DB11" s="184"/>
      <c r="DC11" s="184"/>
      <c r="DD11" s="184"/>
      <c r="DE11" s="184"/>
      <c r="DF11" s="184"/>
      <c r="DG11" s="184"/>
      <c r="DH11" s="184"/>
      <c r="DI11" s="184"/>
      <c r="DJ11" s="184"/>
      <c r="DK11" s="184"/>
      <c r="DL11" s="184"/>
      <c r="DM11" s="184"/>
      <c r="DN11" s="184"/>
      <c r="DO11" s="184"/>
      <c r="DP11" s="184"/>
      <c r="DQ11" s="184"/>
      <c r="DR11" s="184"/>
      <c r="DS11" s="184"/>
      <c r="DT11" s="184"/>
      <c r="DU11" s="184"/>
      <c r="DV11" s="184"/>
      <c r="DW11" s="184"/>
      <c r="DX11" s="184"/>
      <c r="DY11" s="184"/>
      <c r="DZ11" s="184"/>
      <c r="EA11" s="184"/>
      <c r="EB11" s="184"/>
      <c r="EC11" s="184"/>
    </row>
    <row r="12" spans="1:134" s="234" customFormat="1" ht="13" x14ac:dyDescent="0.3">
      <c r="A12" s="376" t="s">
        <v>239</v>
      </c>
      <c r="B12" s="230"/>
      <c r="C12" s="230"/>
      <c r="D12" s="230"/>
      <c r="E12" s="230"/>
      <c r="F12" s="230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31"/>
      <c r="AC12" s="229"/>
      <c r="AD12" s="229"/>
      <c r="AE12" s="229"/>
      <c r="AF12" s="229"/>
      <c r="AG12" s="232">
        <v>44678</v>
      </c>
      <c r="AH12" s="229">
        <v>48303</v>
      </c>
      <c r="AI12" s="229">
        <v>50614</v>
      </c>
      <c r="AJ12" s="229">
        <v>55722</v>
      </c>
      <c r="AK12" s="229">
        <v>58260</v>
      </c>
      <c r="AL12" s="255">
        <v>69739.430737999995</v>
      </c>
      <c r="AM12" s="229">
        <v>81734.880228000024</v>
      </c>
      <c r="AN12" s="229">
        <v>85486.289453000005</v>
      </c>
      <c r="AO12" s="229">
        <v>89088.331573000061</v>
      </c>
      <c r="AP12" s="229">
        <v>95556.944878000111</v>
      </c>
      <c r="AQ12" s="229">
        <v>101698.41965300008</v>
      </c>
      <c r="AR12" s="229">
        <v>107569.77362800005</v>
      </c>
      <c r="AS12" s="229">
        <v>112459.87358300005</v>
      </c>
      <c r="AT12" s="229">
        <v>118435</v>
      </c>
      <c r="AU12" s="229">
        <v>117961</v>
      </c>
      <c r="AV12" s="229">
        <v>125844</v>
      </c>
      <c r="AW12" s="229">
        <v>133862</v>
      </c>
      <c r="AX12" s="229">
        <v>141772.59539000009</v>
      </c>
      <c r="AY12" s="229">
        <v>149240.32810000004</v>
      </c>
      <c r="AZ12" s="229">
        <v>156420.35090000005</v>
      </c>
      <c r="BA12" s="377">
        <v>165842.76826399995</v>
      </c>
      <c r="BB12" s="377">
        <v>168090.38998700003</v>
      </c>
      <c r="BC12" s="377">
        <v>178292.25981400014</v>
      </c>
      <c r="BD12" s="377">
        <v>188682.88423000005</v>
      </c>
      <c r="BE12" s="351">
        <v>205003</v>
      </c>
      <c r="BF12" s="377">
        <v>214777.92911999996</v>
      </c>
      <c r="BG12" s="377">
        <v>224448.68970999992</v>
      </c>
      <c r="BH12" s="377">
        <v>236233.87020999996</v>
      </c>
      <c r="BI12" s="377">
        <v>249945.99010999993</v>
      </c>
      <c r="BJ12" s="377">
        <v>258222.26928999997</v>
      </c>
      <c r="BK12" s="377">
        <v>270496</v>
      </c>
      <c r="BL12" s="377">
        <v>281816</v>
      </c>
      <c r="BM12" s="377">
        <v>294399</v>
      </c>
      <c r="BN12" s="377">
        <v>300357</v>
      </c>
      <c r="BO12" s="377">
        <v>307487</v>
      </c>
      <c r="BP12" s="377">
        <v>318249</v>
      </c>
      <c r="BQ12" s="377">
        <v>329730</v>
      </c>
      <c r="BR12" s="377">
        <v>340269</v>
      </c>
      <c r="BS12" s="377">
        <v>352231</v>
      </c>
      <c r="BT12" s="377">
        <v>357757</v>
      </c>
      <c r="BU12" s="377">
        <v>371614</v>
      </c>
      <c r="BV12" s="377">
        <v>380562</v>
      </c>
      <c r="BW12" s="377">
        <v>389424</v>
      </c>
      <c r="BX12" s="377">
        <v>400521</v>
      </c>
      <c r="BY12" s="377">
        <v>406381</v>
      </c>
      <c r="BZ12" s="377">
        <v>416986</v>
      </c>
      <c r="CA12" s="377">
        <v>423821</v>
      </c>
      <c r="CB12" s="377">
        <v>434947</v>
      </c>
      <c r="CC12" s="377">
        <v>445911</v>
      </c>
      <c r="CD12" s="377">
        <v>454810</v>
      </c>
      <c r="CE12" s="233">
        <v>467817</v>
      </c>
      <c r="CF12" s="233">
        <v>480574</v>
      </c>
      <c r="CG12" s="233">
        <v>491859</v>
      </c>
      <c r="CH12" s="233"/>
      <c r="CI12" s="233"/>
      <c r="CJ12" s="233"/>
      <c r="CK12" s="233"/>
      <c r="CL12" s="233"/>
      <c r="CM12" s="233"/>
      <c r="CN12" s="233"/>
      <c r="CO12" s="233"/>
      <c r="CP12" s="233"/>
      <c r="CQ12" s="233"/>
      <c r="CR12" s="233"/>
      <c r="CS12" s="233"/>
      <c r="CT12" s="233"/>
      <c r="CU12" s="233"/>
      <c r="CV12" s="233"/>
      <c r="CW12" s="233"/>
      <c r="CX12" s="233"/>
      <c r="CY12" s="233"/>
      <c r="CZ12" s="233"/>
      <c r="DA12" s="233"/>
      <c r="DB12" s="233"/>
      <c r="DC12" s="233"/>
      <c r="DD12" s="233"/>
      <c r="DE12" s="233"/>
      <c r="DF12" s="233"/>
      <c r="DG12" s="233"/>
      <c r="DH12" s="233"/>
      <c r="DI12" s="233"/>
      <c r="DJ12" s="233"/>
      <c r="DK12" s="233"/>
      <c r="DL12" s="233"/>
      <c r="DM12" s="233"/>
      <c r="DN12" s="233"/>
      <c r="DO12" s="233"/>
      <c r="DP12" s="233"/>
      <c r="DQ12" s="233"/>
      <c r="DR12" s="233"/>
      <c r="DS12" s="233"/>
      <c r="DT12" s="233"/>
      <c r="DU12" s="233"/>
      <c r="DV12" s="233"/>
      <c r="DW12" s="233"/>
      <c r="DX12" s="233"/>
      <c r="DY12" s="233"/>
      <c r="DZ12" s="233"/>
      <c r="EA12" s="233"/>
      <c r="EB12" s="233"/>
      <c r="EC12" s="233"/>
    </row>
    <row r="13" spans="1:134" x14ac:dyDescent="0.25">
      <c r="A13" s="189" t="s">
        <v>238</v>
      </c>
      <c r="B13" s="188"/>
      <c r="C13" s="188"/>
      <c r="D13" s="188"/>
      <c r="E13" s="188">
        <f>E12/$AZ3</f>
        <v>0</v>
      </c>
      <c r="F13" s="188">
        <f>F12/$AZ3</f>
        <v>0</v>
      </c>
      <c r="G13" s="188">
        <f>G12/$AZ3</f>
        <v>0</v>
      </c>
      <c r="H13" s="188" t="e">
        <f t="shared" ref="H13:AF13" si="16">H12/$CE2</f>
        <v>#DIV/0!</v>
      </c>
      <c r="I13" s="188" t="e">
        <f t="shared" si="16"/>
        <v>#DIV/0!</v>
      </c>
      <c r="J13" s="188" t="e">
        <f t="shared" si="16"/>
        <v>#DIV/0!</v>
      </c>
      <c r="K13" s="188" t="e">
        <f t="shared" si="16"/>
        <v>#DIV/0!</v>
      </c>
      <c r="L13" s="188" t="e">
        <f t="shared" si="16"/>
        <v>#DIV/0!</v>
      </c>
      <c r="M13" s="188" t="e">
        <f t="shared" si="16"/>
        <v>#DIV/0!</v>
      </c>
      <c r="N13" s="188" t="e">
        <f t="shared" si="16"/>
        <v>#DIV/0!</v>
      </c>
      <c r="O13" s="188" t="e">
        <f t="shared" si="16"/>
        <v>#DIV/0!</v>
      </c>
      <c r="P13" s="188" t="e">
        <f t="shared" si="16"/>
        <v>#DIV/0!</v>
      </c>
      <c r="Q13" s="188" t="e">
        <f t="shared" si="16"/>
        <v>#DIV/0!</v>
      </c>
      <c r="R13" s="188" t="e">
        <f t="shared" si="16"/>
        <v>#DIV/0!</v>
      </c>
      <c r="S13" s="188" t="e">
        <f t="shared" si="16"/>
        <v>#DIV/0!</v>
      </c>
      <c r="T13" s="188" t="e">
        <f t="shared" si="16"/>
        <v>#DIV/0!</v>
      </c>
      <c r="U13" s="188" t="e">
        <f t="shared" si="16"/>
        <v>#DIV/0!</v>
      </c>
      <c r="V13" s="188" t="e">
        <f t="shared" si="16"/>
        <v>#DIV/0!</v>
      </c>
      <c r="W13" s="188" t="e">
        <f t="shared" si="16"/>
        <v>#DIV/0!</v>
      </c>
      <c r="X13" s="188" t="e">
        <f t="shared" si="16"/>
        <v>#DIV/0!</v>
      </c>
      <c r="Y13" s="188" t="e">
        <f t="shared" si="16"/>
        <v>#DIV/0!</v>
      </c>
      <c r="Z13" s="188" t="e">
        <f t="shared" si="16"/>
        <v>#DIV/0!</v>
      </c>
      <c r="AA13" s="188" t="e">
        <f t="shared" si="16"/>
        <v>#DIV/0!</v>
      </c>
      <c r="AB13" s="188" t="e">
        <f t="shared" si="16"/>
        <v>#DIV/0!</v>
      </c>
      <c r="AC13" s="188" t="e">
        <f t="shared" si="16"/>
        <v>#DIV/0!</v>
      </c>
      <c r="AD13" s="188" t="e">
        <f t="shared" si="16"/>
        <v>#DIV/0!</v>
      </c>
      <c r="AE13" s="188" t="e">
        <f t="shared" si="16"/>
        <v>#DIV/0!</v>
      </c>
      <c r="AF13" s="188" t="e">
        <f t="shared" si="16"/>
        <v>#DIV/0!</v>
      </c>
      <c r="AG13" s="187">
        <f>AG12/$ED3</f>
        <v>4.499127424255088E-2</v>
      </c>
      <c r="AH13" s="188">
        <f>AH12/$ED3</f>
        <v>4.8641692102106969E-2</v>
      </c>
      <c r="AI13" s="188">
        <f t="shared" ref="AI13:CT13" si="17">AI12/$ED3</f>
        <v>5.0968896425812933E-2</v>
      </c>
      <c r="AJ13" s="188">
        <f t="shared" si="17"/>
        <v>5.6112712819361213E-2</v>
      </c>
      <c r="AK13" s="188">
        <f t="shared" si="17"/>
        <v>5.8668508826962139E-2</v>
      </c>
      <c r="AL13" s="256">
        <f t="shared" si="17"/>
        <v>7.0228431305177946E-2</v>
      </c>
      <c r="AM13" s="188">
        <f t="shared" si="17"/>
        <v>8.2307990767715625E-2</v>
      </c>
      <c r="AN13" s="188">
        <f t="shared" si="17"/>
        <v>8.6085704211424155E-2</v>
      </c>
      <c r="AO13" s="188">
        <f t="shared" si="17"/>
        <v>8.9713003214381803E-2</v>
      </c>
      <c r="AP13" s="188">
        <f t="shared" si="17"/>
        <v>9.6226973293039544E-2</v>
      </c>
      <c r="AQ13" s="188">
        <f t="shared" si="17"/>
        <v>0.10241151100412178</v>
      </c>
      <c r="AR13" s="188">
        <f t="shared" si="17"/>
        <v>0.10832403387587779</v>
      </c>
      <c r="AS13" s="188">
        <f t="shared" si="17"/>
        <v>0.11324842234780784</v>
      </c>
      <c r="AT13" s="188">
        <f t="shared" si="17"/>
        <v>0.11926544529559321</v>
      </c>
      <c r="AU13" s="188">
        <f t="shared" si="17"/>
        <v>0.11878812169133678</v>
      </c>
      <c r="AV13" s="188">
        <f t="shared" si="17"/>
        <v>0.12672639589461421</v>
      </c>
      <c r="AW13" s="188">
        <f t="shared" si="17"/>
        <v>0.13480061669404061</v>
      </c>
      <c r="AX13" s="188">
        <f t="shared" si="17"/>
        <v>0.14276667978131741</v>
      </c>
      <c r="AY13" s="188">
        <f t="shared" si="17"/>
        <v>0.1502867749137243</v>
      </c>
      <c r="AZ13" s="188">
        <f t="shared" si="17"/>
        <v>0.15751714276507325</v>
      </c>
      <c r="BA13" s="188">
        <f t="shared" si="17"/>
        <v>0.16700562845493164</v>
      </c>
      <c r="BB13" s="188">
        <f t="shared" si="17"/>
        <v>0.16926901010435666</v>
      </c>
      <c r="BC13" s="188">
        <f t="shared" si="17"/>
        <v>0.17954241364017667</v>
      </c>
      <c r="BD13" s="188">
        <f t="shared" si="17"/>
        <v>0.19000589527882653</v>
      </c>
      <c r="BE13" s="352">
        <v>0.219</v>
      </c>
      <c r="BF13" s="188">
        <f t="shared" si="17"/>
        <v>0.21628391401327438</v>
      </c>
      <c r="BG13" s="188">
        <f t="shared" si="17"/>
        <v>0.22602248426795771</v>
      </c>
      <c r="BH13" s="188">
        <f t="shared" si="17"/>
        <v>0.23789030037148662</v>
      </c>
      <c r="BI13" s="188">
        <f t="shared" si="17"/>
        <v>0.25169856723364781</v>
      </c>
      <c r="BJ13" s="188">
        <f t="shared" si="17"/>
        <v>0.26003287822105314</v>
      </c>
      <c r="BK13" s="188">
        <f t="shared" si="17"/>
        <v>0.27239267016234037</v>
      </c>
      <c r="BL13" s="188">
        <f>BL12/$ED3</f>
        <v>0.28379204400238861</v>
      </c>
      <c r="BM13" s="188">
        <f t="shared" si="17"/>
        <v>0.29646327377529741</v>
      </c>
      <c r="BN13" s="188">
        <f t="shared" si="17"/>
        <v>0.30246305021867259</v>
      </c>
      <c r="BO13" s="188">
        <f>BO12/$ED3</f>
        <v>0.30964304451898572</v>
      </c>
      <c r="BP13" s="188">
        <f t="shared" si="17"/>
        <v>0.32048050576161813</v>
      </c>
      <c r="BQ13" s="188">
        <f t="shared" si="17"/>
        <v>0.33204200850522186</v>
      </c>
      <c r="BR13" s="188">
        <f t="shared" si="17"/>
        <v>0.34265490611125266</v>
      </c>
      <c r="BS13" s="188">
        <f t="shared" si="17"/>
        <v>0.35470078154187606</v>
      </c>
      <c r="BT13" s="188">
        <f t="shared" si="17"/>
        <v>0.36026552887757457</v>
      </c>
      <c r="BU13" s="188">
        <f t="shared" si="17"/>
        <v>0.37421969171340042</v>
      </c>
      <c r="BV13" s="188">
        <f t="shared" si="17"/>
        <v>0.38323043350851982</v>
      </c>
      <c r="BW13" s="188">
        <f t="shared" si="17"/>
        <v>0.3921545722868332</v>
      </c>
      <c r="BX13" s="188">
        <f t="shared" si="17"/>
        <v>0.40332938249027983</v>
      </c>
      <c r="BY13" s="188">
        <f t="shared" si="17"/>
        <v>0.40923047177496913</v>
      </c>
      <c r="BZ13" s="188">
        <f t="shared" si="17"/>
        <v>0.41990983216133942</v>
      </c>
      <c r="CA13" s="188">
        <f t="shared" si="17"/>
        <v>0.42679275797377136</v>
      </c>
      <c r="CB13" s="188">
        <f t="shared" si="17"/>
        <v>0.43799677152009442</v>
      </c>
      <c r="CC13" s="188">
        <f t="shared" si="17"/>
        <v>0.44903764915103866</v>
      </c>
      <c r="CD13" s="188">
        <f t="shared" si="17"/>
        <v>0.45799904736681513</v>
      </c>
      <c r="CE13" s="188">
        <f t="shared" si="17"/>
        <v>0.47109725015281406</v>
      </c>
      <c r="CF13" s="188">
        <f t="shared" si="17"/>
        <v>0.48394369998298148</v>
      </c>
      <c r="CG13" s="188">
        <f t="shared" si="17"/>
        <v>0.49530782840921334</v>
      </c>
      <c r="CH13" s="188">
        <f t="shared" si="17"/>
        <v>0</v>
      </c>
      <c r="CI13" s="188">
        <f t="shared" si="17"/>
        <v>0</v>
      </c>
      <c r="CJ13" s="188">
        <f t="shared" si="17"/>
        <v>0</v>
      </c>
      <c r="CK13" s="188">
        <f t="shared" si="17"/>
        <v>0</v>
      </c>
      <c r="CL13" s="188">
        <f t="shared" si="17"/>
        <v>0</v>
      </c>
      <c r="CM13" s="188">
        <f t="shared" si="17"/>
        <v>0</v>
      </c>
      <c r="CN13" s="188">
        <f t="shared" si="17"/>
        <v>0</v>
      </c>
      <c r="CO13" s="188">
        <f t="shared" si="17"/>
        <v>0</v>
      </c>
      <c r="CP13" s="188">
        <f t="shared" si="17"/>
        <v>0</v>
      </c>
      <c r="CQ13" s="188">
        <f t="shared" si="17"/>
        <v>0</v>
      </c>
      <c r="CR13" s="188">
        <f t="shared" si="17"/>
        <v>0</v>
      </c>
      <c r="CS13" s="188">
        <f t="shared" si="17"/>
        <v>0</v>
      </c>
      <c r="CT13" s="188">
        <f t="shared" si="17"/>
        <v>0</v>
      </c>
      <c r="CU13" s="188">
        <f t="shared" ref="CU13:EC13" si="18">CU12/$ED3</f>
        <v>0</v>
      </c>
      <c r="CV13" s="188">
        <f t="shared" si="18"/>
        <v>0</v>
      </c>
      <c r="CW13" s="188">
        <f t="shared" si="18"/>
        <v>0</v>
      </c>
      <c r="CX13" s="188">
        <f t="shared" si="18"/>
        <v>0</v>
      </c>
      <c r="CY13" s="188">
        <f t="shared" si="18"/>
        <v>0</v>
      </c>
      <c r="CZ13" s="188">
        <f t="shared" si="18"/>
        <v>0</v>
      </c>
      <c r="DA13" s="188">
        <f t="shared" si="18"/>
        <v>0</v>
      </c>
      <c r="DB13" s="188">
        <f t="shared" si="18"/>
        <v>0</v>
      </c>
      <c r="DC13" s="188">
        <f t="shared" si="18"/>
        <v>0</v>
      </c>
      <c r="DD13" s="188">
        <f t="shared" si="18"/>
        <v>0</v>
      </c>
      <c r="DE13" s="188">
        <f t="shared" si="18"/>
        <v>0</v>
      </c>
      <c r="DF13" s="188">
        <f t="shared" si="18"/>
        <v>0</v>
      </c>
      <c r="DG13" s="188">
        <f t="shared" si="18"/>
        <v>0</v>
      </c>
      <c r="DH13" s="188">
        <f t="shared" si="18"/>
        <v>0</v>
      </c>
      <c r="DI13" s="188">
        <f t="shared" si="18"/>
        <v>0</v>
      </c>
      <c r="DJ13" s="188">
        <f t="shared" si="18"/>
        <v>0</v>
      </c>
      <c r="DK13" s="188">
        <f t="shared" si="18"/>
        <v>0</v>
      </c>
      <c r="DL13" s="188">
        <f t="shared" si="18"/>
        <v>0</v>
      </c>
      <c r="DM13" s="188">
        <f t="shared" si="18"/>
        <v>0</v>
      </c>
      <c r="DN13" s="188">
        <f t="shared" si="18"/>
        <v>0</v>
      </c>
      <c r="DO13" s="188">
        <f t="shared" si="18"/>
        <v>0</v>
      </c>
      <c r="DP13" s="188">
        <f t="shared" si="18"/>
        <v>0</v>
      </c>
      <c r="DQ13" s="188">
        <f t="shared" si="18"/>
        <v>0</v>
      </c>
      <c r="DR13" s="188">
        <f t="shared" si="18"/>
        <v>0</v>
      </c>
      <c r="DS13" s="188">
        <f t="shared" si="18"/>
        <v>0</v>
      </c>
      <c r="DT13" s="188">
        <f t="shared" si="18"/>
        <v>0</v>
      </c>
      <c r="DU13" s="188">
        <f t="shared" si="18"/>
        <v>0</v>
      </c>
      <c r="DV13" s="188">
        <f t="shared" si="18"/>
        <v>0</v>
      </c>
      <c r="DW13" s="188">
        <f t="shared" si="18"/>
        <v>0</v>
      </c>
      <c r="DX13" s="188">
        <f t="shared" si="18"/>
        <v>0</v>
      </c>
      <c r="DY13" s="188">
        <f t="shared" si="18"/>
        <v>0</v>
      </c>
      <c r="DZ13" s="188">
        <f t="shared" si="18"/>
        <v>0</v>
      </c>
      <c r="EA13" s="188">
        <f t="shared" si="18"/>
        <v>0</v>
      </c>
      <c r="EB13" s="188">
        <f t="shared" si="18"/>
        <v>0</v>
      </c>
      <c r="EC13" s="188">
        <f t="shared" si="18"/>
        <v>0</v>
      </c>
    </row>
    <row r="14" spans="1:134" ht="13" x14ac:dyDescent="0.3">
      <c r="A14" s="221"/>
      <c r="B14" s="198"/>
      <c r="C14" s="198"/>
      <c r="D14" s="198"/>
      <c r="E14" s="198"/>
      <c r="F14" s="198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200"/>
      <c r="AH14" s="378"/>
      <c r="AI14" s="379"/>
      <c r="AJ14" s="379"/>
      <c r="AK14" s="379"/>
      <c r="AL14" s="257"/>
      <c r="AM14" s="379"/>
      <c r="AN14" s="379"/>
      <c r="AO14" s="379"/>
      <c r="AP14" s="379"/>
      <c r="AQ14" s="379"/>
      <c r="AR14" s="379"/>
      <c r="AS14" s="379"/>
      <c r="AT14" s="379"/>
      <c r="AU14" s="379"/>
      <c r="AV14" s="379"/>
      <c r="AW14" s="184"/>
      <c r="AX14" s="184"/>
      <c r="AY14" s="184"/>
      <c r="AZ14" s="184"/>
      <c r="BA14" s="184"/>
      <c r="BB14" s="184"/>
      <c r="BC14" s="184"/>
      <c r="BD14" s="184"/>
      <c r="BE14" s="345"/>
      <c r="BF14" s="184"/>
      <c r="BG14" s="184"/>
      <c r="BH14" s="184"/>
      <c r="BI14" s="184"/>
      <c r="BJ14" s="184"/>
      <c r="BK14" s="184"/>
      <c r="BL14" s="184"/>
      <c r="BM14" s="184"/>
      <c r="BN14" s="184"/>
      <c r="BO14" s="184"/>
      <c r="BP14" s="184"/>
      <c r="BQ14" s="184"/>
      <c r="BR14" s="184"/>
      <c r="BS14" s="184"/>
      <c r="BT14" s="184"/>
      <c r="BU14" s="184"/>
      <c r="BV14" s="184"/>
      <c r="BW14" s="184"/>
      <c r="BX14" s="184"/>
      <c r="BY14" s="184"/>
      <c r="BZ14" s="184"/>
      <c r="CA14" s="184"/>
      <c r="CB14" s="184"/>
      <c r="CC14" s="184"/>
      <c r="CD14" s="184"/>
      <c r="CE14" s="184"/>
      <c r="CF14" s="184"/>
      <c r="CG14" s="184"/>
      <c r="CH14" s="184"/>
      <c r="CI14" s="184"/>
      <c r="CJ14" s="184"/>
      <c r="CK14" s="184"/>
      <c r="CL14" s="184"/>
      <c r="CM14" s="184"/>
      <c r="CN14" s="184"/>
      <c r="CO14" s="184"/>
      <c r="CP14" s="184"/>
      <c r="CQ14" s="184"/>
      <c r="CR14" s="184"/>
      <c r="CS14" s="184"/>
      <c r="CT14" s="184"/>
      <c r="CU14" s="184"/>
      <c r="CV14" s="184"/>
      <c r="CW14" s="184"/>
      <c r="CX14" s="184"/>
      <c r="CY14" s="184"/>
      <c r="CZ14" s="184"/>
      <c r="DA14" s="184"/>
      <c r="DB14" s="184"/>
      <c r="DC14" s="184"/>
      <c r="DD14" s="184"/>
      <c r="DE14" s="184"/>
      <c r="DF14" s="184"/>
      <c r="DG14" s="184"/>
      <c r="DH14" s="184"/>
      <c r="DI14" s="184"/>
      <c r="DJ14" s="184"/>
      <c r="DK14" s="184"/>
      <c r="DL14" s="184"/>
      <c r="DM14" s="184"/>
      <c r="DN14" s="184"/>
      <c r="DO14" s="184"/>
      <c r="DP14" s="184"/>
      <c r="DQ14" s="184"/>
      <c r="DR14" s="184"/>
      <c r="DS14" s="184"/>
      <c r="DT14" s="184"/>
      <c r="DU14" s="184"/>
      <c r="DV14" s="184"/>
      <c r="DW14" s="184"/>
      <c r="DX14" s="184"/>
      <c r="DY14" s="184"/>
      <c r="DZ14" s="184"/>
      <c r="EA14" s="184"/>
      <c r="EB14" s="184"/>
      <c r="EC14" s="184"/>
    </row>
    <row r="15" spans="1:134" ht="13" x14ac:dyDescent="0.3">
      <c r="A15" s="182" t="s">
        <v>532</v>
      </c>
      <c r="B15" s="198"/>
      <c r="C15" s="198"/>
      <c r="D15" s="198"/>
      <c r="E15" s="198"/>
      <c r="F15" s="198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200"/>
      <c r="AH15" s="378"/>
      <c r="AI15" s="379"/>
      <c r="AJ15" s="379"/>
      <c r="AK15" s="379"/>
      <c r="AL15" s="257"/>
      <c r="AM15" s="379"/>
      <c r="AN15" s="379"/>
      <c r="AO15" s="379"/>
      <c r="AP15" s="379"/>
      <c r="AQ15" s="379"/>
      <c r="AR15" s="379"/>
      <c r="AS15" s="379"/>
      <c r="AT15" s="379"/>
      <c r="AU15" s="379"/>
      <c r="AV15" s="379"/>
      <c r="AW15" s="184"/>
      <c r="AX15" s="184"/>
      <c r="AY15" s="184"/>
      <c r="AZ15" s="184"/>
      <c r="BA15" s="184"/>
      <c r="BB15" s="184"/>
      <c r="BC15" s="184"/>
      <c r="BD15" s="184"/>
      <c r="BE15" s="345"/>
      <c r="BF15" s="188">
        <f>BF13-BF10</f>
        <v>3.691628687588433E-3</v>
      </c>
      <c r="BG15" s="188">
        <f t="shared" ref="BG15:DR15" si="19">BG13-BG10</f>
        <v>5.1120553780140687E-3</v>
      </c>
      <c r="BH15" s="188">
        <f t="shared" si="19"/>
        <v>8.1920748821899259E-3</v>
      </c>
      <c r="BI15" s="188">
        <f t="shared" si="19"/>
        <v>1.3150722452480196E-2</v>
      </c>
      <c r="BJ15" s="188">
        <f t="shared" si="19"/>
        <v>1.6174264724561072E-2</v>
      </c>
      <c r="BK15" s="188">
        <f t="shared" si="19"/>
        <v>1.9684437373977404E-2</v>
      </c>
      <c r="BL15" s="188">
        <f t="shared" si="19"/>
        <v>2.1783484550895515E-2</v>
      </c>
      <c r="BM15" s="188">
        <f t="shared" si="19"/>
        <v>2.4602969129022934E-2</v>
      </c>
      <c r="BN15" s="188">
        <f t="shared" si="19"/>
        <v>2.2647561041632347E-2</v>
      </c>
      <c r="BO15" s="188">
        <f t="shared" si="19"/>
        <v>2.1782628193008635E-2</v>
      </c>
      <c r="BP15" s="188">
        <f t="shared" si="19"/>
        <v>2.2237865653448374E-2</v>
      </c>
      <c r="BQ15" s="188">
        <f t="shared" si="19"/>
        <v>2.3417144614859442E-2</v>
      </c>
      <c r="BR15" s="188">
        <f t="shared" si="19"/>
        <v>2.3013637270288545E-2</v>
      </c>
      <c r="BS15" s="188">
        <f t="shared" si="19"/>
        <v>2.3756928512364717E-2</v>
      </c>
      <c r="BT15" s="188">
        <f t="shared" si="19"/>
        <v>1.7902426255893555E-2</v>
      </c>
      <c r="BU15" s="188">
        <f t="shared" si="19"/>
        <v>2.0887049730607066E-2</v>
      </c>
      <c r="BV15" s="188">
        <f t="shared" si="19"/>
        <v>1.9001043399352935E-2</v>
      </c>
      <c r="BW15" s="188">
        <f t="shared" si="19"/>
        <v>1.6791114683240349E-2</v>
      </c>
      <c r="BX15" s="188">
        <f t="shared" si="19"/>
        <v>1.6483855461797536E-2</v>
      </c>
      <c r="BY15" s="188">
        <f t="shared" si="19"/>
        <v>9.9127151011097481E-3</v>
      </c>
      <c r="BZ15" s="188">
        <f t="shared" si="19"/>
        <v>8.2355141055234782E-3</v>
      </c>
      <c r="CA15" s="188">
        <f t="shared" si="19"/>
        <v>1.5683017143234279E-3</v>
      </c>
      <c r="CB15" s="188">
        <f t="shared" si="19"/>
        <v>-8.2169711186913519E-4</v>
      </c>
      <c r="CC15" s="188">
        <f t="shared" si="19"/>
        <v>-4.1047384812319954E-3</v>
      </c>
      <c r="CD15" s="188">
        <f t="shared" si="19"/>
        <v>-6.3741303594659349E-3</v>
      </c>
      <c r="CE15" s="188">
        <f t="shared" si="19"/>
        <v>-7.6836063507337848E-3</v>
      </c>
      <c r="CF15" s="188">
        <f t="shared" si="19"/>
        <v>-9.2857180461111133E-3</v>
      </c>
      <c r="CG15" s="188">
        <f t="shared" si="19"/>
        <v>-1.2447928081172288E-2</v>
      </c>
      <c r="CH15" s="188">
        <f t="shared" si="19"/>
        <v>-0.52240972889752191</v>
      </c>
      <c r="CI15" s="188">
        <f t="shared" si="19"/>
        <v>-0.53719532381130919</v>
      </c>
      <c r="CJ15" s="188">
        <f t="shared" si="19"/>
        <v>-0.55173163367462119</v>
      </c>
      <c r="CK15" s="188">
        <f t="shared" si="19"/>
        <v>-0.56372822744369144</v>
      </c>
      <c r="CL15" s="188">
        <f t="shared" si="19"/>
        <v>-0.57907122373034137</v>
      </c>
      <c r="CM15" s="188">
        <f t="shared" si="19"/>
        <v>-0.59369727621182444</v>
      </c>
      <c r="CN15" s="188">
        <f t="shared" si="19"/>
        <v>-0.60840808561046911</v>
      </c>
      <c r="CO15" s="188">
        <f t="shared" si="19"/>
        <v>-0.62446603142188195</v>
      </c>
      <c r="CP15" s="188">
        <f t="shared" si="19"/>
        <v>-0.63715862905187914</v>
      </c>
      <c r="CQ15" s="188">
        <f t="shared" si="19"/>
        <v>-0.65289350143787606</v>
      </c>
      <c r="CR15" s="188">
        <f t="shared" si="19"/>
        <v>-0.66834319172612933</v>
      </c>
      <c r="CS15" s="188">
        <f t="shared" si="19"/>
        <v>-0.68350969419704277</v>
      </c>
      <c r="CT15" s="188">
        <f t="shared" si="19"/>
        <v>-0.6982165150348798</v>
      </c>
      <c r="CU15" s="188">
        <f t="shared" si="19"/>
        <v>-0.71287447600282372</v>
      </c>
      <c r="CV15" s="188">
        <f t="shared" si="19"/>
        <v>-0.72791135024748999</v>
      </c>
      <c r="CW15" s="188">
        <f t="shared" si="19"/>
        <v>-0.74298910724043421</v>
      </c>
      <c r="CX15" s="188">
        <f t="shared" si="19"/>
        <v>-0.75803595288711956</v>
      </c>
      <c r="CY15" s="188">
        <f t="shared" si="19"/>
        <v>-0.77084122735993155</v>
      </c>
      <c r="CZ15" s="188">
        <f t="shared" si="19"/>
        <v>-0.7846725591004996</v>
      </c>
      <c r="DA15" s="188">
        <f t="shared" si="19"/>
        <v>-0.7974000566375633</v>
      </c>
      <c r="DB15" s="188">
        <f t="shared" si="19"/>
        <v>-0.81143181355871341</v>
      </c>
      <c r="DC15" s="188">
        <f t="shared" si="19"/>
        <v>-0.82318510511851983</v>
      </c>
      <c r="DD15" s="188">
        <f t="shared" si="19"/>
        <v>-0.83416162446104547</v>
      </c>
      <c r="DE15" s="188">
        <f t="shared" si="19"/>
        <v>-0.84577132783177822</v>
      </c>
      <c r="DF15" s="188">
        <f t="shared" si="19"/>
        <v>-0.8576851589640907</v>
      </c>
      <c r="DG15" s="188">
        <f t="shared" si="19"/>
        <v>-0.87046051923084566</v>
      </c>
      <c r="DH15" s="188">
        <f t="shared" si="19"/>
        <v>-0.88330667645193561</v>
      </c>
      <c r="DI15" s="188">
        <f t="shared" si="19"/>
        <v>-0.89629941328270502</v>
      </c>
      <c r="DJ15" s="188">
        <f t="shared" si="19"/>
        <v>-0.90283865872677138</v>
      </c>
      <c r="DK15" s="188">
        <f t="shared" si="19"/>
        <v>-0.91408041736300272</v>
      </c>
      <c r="DL15" s="188">
        <f t="shared" si="19"/>
        <v>-0.92537701871033851</v>
      </c>
      <c r="DM15" s="188">
        <f t="shared" si="19"/>
        <v>-0.93642134358659346</v>
      </c>
      <c r="DN15" s="188">
        <f t="shared" si="19"/>
        <v>-0.9434541734306009</v>
      </c>
      <c r="DO15" s="188">
        <f t="shared" si="19"/>
        <v>-0.94994057044396651</v>
      </c>
      <c r="DP15" s="188">
        <f t="shared" si="19"/>
        <v>-0.95641599891511131</v>
      </c>
      <c r="DQ15" s="188">
        <f t="shared" si="19"/>
        <v>-0.96289441880686177</v>
      </c>
      <c r="DR15" s="188">
        <f t="shared" si="19"/>
        <v>-0.96787313983495316</v>
      </c>
      <c r="DS15" s="188">
        <f t="shared" ref="DS15:EC15" si="20">DS13-DS10</f>
        <v>-0.97287379794748641</v>
      </c>
      <c r="DT15" s="188">
        <f t="shared" si="20"/>
        <v>-0.97786548179820254</v>
      </c>
      <c r="DU15" s="188">
        <f t="shared" si="20"/>
        <v>-0.98197270228983258</v>
      </c>
      <c r="DV15" s="188">
        <f t="shared" si="20"/>
        <v>-0.98607992278146261</v>
      </c>
      <c r="DW15" s="188">
        <f t="shared" si="20"/>
        <v>-0.98905439200373313</v>
      </c>
      <c r="DX15" s="188">
        <f t="shared" si="20"/>
        <v>-0.99202886122600364</v>
      </c>
      <c r="DY15" s="188">
        <f t="shared" si="20"/>
        <v>-0.99401715878859409</v>
      </c>
      <c r="DZ15" s="188">
        <f t="shared" si="20"/>
        <v>-0.99601143919239599</v>
      </c>
      <c r="EA15" s="188">
        <f t="shared" si="20"/>
        <v>-0.99800571959619788</v>
      </c>
      <c r="EB15" s="188">
        <f t="shared" si="20"/>
        <v>-0.99900285979809889</v>
      </c>
      <c r="EC15" s="188">
        <f t="shared" si="20"/>
        <v>-0.99999999999999989</v>
      </c>
    </row>
    <row r="16" spans="1:134" ht="13" x14ac:dyDescent="0.3">
      <c r="A16" s="221"/>
      <c r="B16" s="198"/>
      <c r="C16" s="198"/>
      <c r="D16" s="198"/>
      <c r="E16" s="198"/>
      <c r="F16" s="198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200"/>
      <c r="AH16" s="378"/>
      <c r="AI16" s="379"/>
      <c r="AJ16" s="379"/>
      <c r="AK16" s="379"/>
      <c r="AL16" s="257"/>
      <c r="AM16" s="379"/>
      <c r="AN16" s="379"/>
      <c r="AO16" s="379"/>
      <c r="AP16" s="379"/>
      <c r="AQ16" s="379"/>
      <c r="AR16" s="379"/>
      <c r="AS16" s="379"/>
      <c r="AT16" s="379"/>
      <c r="AU16" s="379"/>
      <c r="AV16" s="379"/>
      <c r="AW16" s="184"/>
      <c r="AX16" s="184"/>
      <c r="AY16" s="184"/>
      <c r="AZ16" s="184"/>
      <c r="BA16" s="184"/>
      <c r="BB16" s="184"/>
      <c r="BC16" s="184"/>
      <c r="BD16" s="184"/>
      <c r="BE16" s="345"/>
      <c r="BF16" s="184"/>
      <c r="BG16" s="184"/>
      <c r="BH16" s="184"/>
      <c r="BI16" s="184"/>
      <c r="BJ16" s="184"/>
      <c r="BK16" s="184"/>
      <c r="BL16" s="184"/>
      <c r="BM16" s="184"/>
      <c r="BN16" s="184"/>
      <c r="BO16" s="184"/>
      <c r="BP16" s="184"/>
      <c r="BQ16" s="184"/>
      <c r="BR16" s="184"/>
      <c r="BS16" s="184"/>
      <c r="BT16" s="184"/>
      <c r="BU16" s="184"/>
      <c r="BV16" s="184"/>
      <c r="BW16" s="184"/>
      <c r="BX16" s="184"/>
      <c r="BY16" s="184"/>
      <c r="BZ16" s="184"/>
      <c r="CA16" s="184"/>
      <c r="CB16" s="184"/>
      <c r="CC16" s="184"/>
      <c r="CD16" s="184"/>
      <c r="CE16" s="184"/>
      <c r="CF16" s="184"/>
      <c r="CG16" s="184"/>
      <c r="CH16" s="184"/>
      <c r="CI16" s="184"/>
      <c r="CJ16" s="184"/>
      <c r="CK16" s="184"/>
      <c r="CL16" s="184"/>
      <c r="CM16" s="184"/>
      <c r="CN16" s="184"/>
      <c r="CO16" s="184"/>
      <c r="CP16" s="184"/>
      <c r="CQ16" s="184"/>
      <c r="CR16" s="184"/>
      <c r="CS16" s="184"/>
      <c r="CT16" s="184"/>
      <c r="CU16" s="184"/>
      <c r="CV16" s="184"/>
      <c r="CW16" s="184"/>
      <c r="CX16" s="184"/>
      <c r="CY16" s="184"/>
      <c r="CZ16" s="184"/>
      <c r="DA16" s="184"/>
      <c r="DB16" s="184"/>
      <c r="DC16" s="184"/>
      <c r="DD16" s="184"/>
      <c r="DE16" s="184"/>
      <c r="DF16" s="184"/>
      <c r="DG16" s="184"/>
      <c r="DH16" s="184"/>
      <c r="DI16" s="184"/>
      <c r="DJ16" s="184"/>
      <c r="DK16" s="184"/>
      <c r="DL16" s="184"/>
      <c r="DM16" s="184"/>
      <c r="DN16" s="184"/>
      <c r="DO16" s="184"/>
      <c r="DP16" s="184"/>
      <c r="DQ16" s="184"/>
      <c r="DR16" s="184"/>
      <c r="DS16" s="184"/>
      <c r="DT16" s="184"/>
      <c r="DU16" s="184"/>
      <c r="DV16" s="184"/>
      <c r="DW16" s="184"/>
      <c r="DX16" s="184"/>
      <c r="DY16" s="184"/>
      <c r="DZ16" s="184"/>
      <c r="EA16" s="184"/>
      <c r="EB16" s="184"/>
      <c r="EC16" s="184"/>
    </row>
    <row r="17" spans="1:134" x14ac:dyDescent="0.25">
      <c r="A17" s="186" t="s">
        <v>533</v>
      </c>
      <c r="B17" s="198"/>
      <c r="C17" s="198"/>
      <c r="D17" s="198"/>
      <c r="E17" s="198"/>
      <c r="F17" s="198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200"/>
      <c r="AH17" s="378">
        <f>AH6-AH3</f>
        <v>908.06546414589866</v>
      </c>
      <c r="AI17" s="378">
        <f t="shared" ref="AI17:BD17" si="21">AI6-AI3</f>
        <v>-519.14014151468928</v>
      </c>
      <c r="AJ17" s="378">
        <f t="shared" si="21"/>
        <v>2277.8598584853107</v>
      </c>
      <c r="AK17" s="378">
        <f t="shared" si="21"/>
        <v>-1424.196198120565</v>
      </c>
      <c r="AL17" s="258">
        <f t="shared" si="21"/>
        <v>6840.5737605900094</v>
      </c>
      <c r="AM17" s="378">
        <f t="shared" si="21"/>
        <v>4717.1514423351364</v>
      </c>
      <c r="AN17" s="378">
        <f t="shared" si="21"/>
        <v>-3526.8888226648969</v>
      </c>
      <c r="AO17" s="378">
        <f t="shared" si="21"/>
        <v>-3676.2559276648353</v>
      </c>
      <c r="AP17" s="378">
        <f t="shared" si="21"/>
        <v>638.06251112364953</v>
      </c>
      <c r="AQ17" s="378">
        <f t="shared" si="21"/>
        <v>-1136.8232726649121</v>
      </c>
      <c r="AR17" s="378">
        <f t="shared" si="21"/>
        <v>-1406.9440726649154</v>
      </c>
      <c r="AS17" s="378">
        <f t="shared" si="21"/>
        <v>-2388.1980926648939</v>
      </c>
      <c r="AT17" s="378">
        <f t="shared" si="21"/>
        <v>-1303.1716306649296</v>
      </c>
      <c r="AU17" s="378">
        <f t="shared" si="21"/>
        <v>-7752.2980476648781</v>
      </c>
      <c r="AV17" s="378">
        <f t="shared" si="21"/>
        <v>604.70195233512186</v>
      </c>
      <c r="AW17" s="378">
        <f t="shared" si="21"/>
        <v>739.70195233509367</v>
      </c>
      <c r="AX17" s="378">
        <f t="shared" si="21"/>
        <v>632.2973423352114</v>
      </c>
      <c r="AY17" s="378">
        <f t="shared" si="21"/>
        <v>1637.1819161235662</v>
      </c>
      <c r="AZ17" s="378">
        <f t="shared" si="21"/>
        <v>-98.27524766487204</v>
      </c>
      <c r="BA17" s="378">
        <f t="shared" si="21"/>
        <v>2144.1193163349999</v>
      </c>
      <c r="BB17" s="378">
        <f t="shared" si="21"/>
        <v>-5030.6763246648015</v>
      </c>
      <c r="BC17" s="378">
        <f t="shared" si="21"/>
        <v>2923.571779335226</v>
      </c>
      <c r="BD17" s="378">
        <f t="shared" si="21"/>
        <v>3112.3263683350124</v>
      </c>
      <c r="BE17" s="353">
        <f>BE12-BE9</f>
        <v>205003</v>
      </c>
      <c r="BF17" s="378">
        <f>BF12-BF9</f>
        <v>3665.9238770367519</v>
      </c>
      <c r="BG17" s="378">
        <f t="shared" ref="BG17:DR17" si="22">BG12-BG9</f>
        <v>5076.4601364169503</v>
      </c>
      <c r="BH17" s="378">
        <f t="shared" si="22"/>
        <v>8135.0334647852578</v>
      </c>
      <c r="BI17" s="378">
        <f>BI12-BI9</f>
        <v>13059.153972043598</v>
      </c>
      <c r="BJ17" s="378">
        <f t="shared" si="22"/>
        <v>16061.643319283961</v>
      </c>
      <c r="BK17" s="378">
        <f t="shared" si="22"/>
        <v>19547.374636542401</v>
      </c>
      <c r="BL17" s="378">
        <f t="shared" si="22"/>
        <v>21631.80614796764</v>
      </c>
      <c r="BM17" s="378">
        <f t="shared" si="22"/>
        <v>24431.658654977509</v>
      </c>
      <c r="BN17" s="378">
        <f t="shared" si="22"/>
        <v>22489.866074099496</v>
      </c>
      <c r="BO17" s="378">
        <f t="shared" si="22"/>
        <v>21630.955752900685</v>
      </c>
      <c r="BP17" s="378">
        <f t="shared" si="22"/>
        <v>22083.023394903459</v>
      </c>
      <c r="BQ17" s="378">
        <f t="shared" si="22"/>
        <v>23254.091036906175</v>
      </c>
      <c r="BR17" s="378">
        <f t="shared" si="22"/>
        <v>22853.393313975539</v>
      </c>
      <c r="BS17" s="378">
        <f t="shared" si="22"/>
        <v>23591.509019133111</v>
      </c>
      <c r="BT17" s="378">
        <f t="shared" si="22"/>
        <v>17777.771661873732</v>
      </c>
      <c r="BU17" s="378">
        <f t="shared" si="22"/>
        <v>20741.613203332818</v>
      </c>
      <c r="BV17" s="378">
        <f t="shared" si="22"/>
        <v>18868.739134163246</v>
      </c>
      <c r="BW17" s="378">
        <f t="shared" si="22"/>
        <v>16674.198151700955</v>
      </c>
      <c r="BX17" s="378">
        <f t="shared" si="22"/>
        <v>16369.078376217047</v>
      </c>
      <c r="BY17" s="378">
        <f t="shared" si="22"/>
        <v>9843.6928658607067</v>
      </c>
      <c r="BZ17" s="378">
        <f t="shared" si="22"/>
        <v>8178.170220806729</v>
      </c>
      <c r="CA17" s="378">
        <f t="shared" si="22"/>
        <v>1557.3816294866265</v>
      </c>
      <c r="CB17" s="378">
        <f t="shared" si="22"/>
        <v>-815.97563487919979</v>
      </c>
      <c r="CC17" s="378">
        <f t="shared" si="22"/>
        <v>-4076.1571871871711</v>
      </c>
      <c r="CD17" s="378">
        <f t="shared" si="22"/>
        <v>-6329.7472897729604</v>
      </c>
      <c r="CE17" s="378">
        <f t="shared" si="22"/>
        <v>-7630.1053997136187</v>
      </c>
      <c r="CF17" s="378">
        <f t="shared" si="22"/>
        <v>-9221.0615913560032</v>
      </c>
      <c r="CG17" s="378">
        <f t="shared" si="22"/>
        <v>-12361.25315794308</v>
      </c>
      <c r="CH17" s="378">
        <f t="shared" si="22"/>
        <v>-518772.18995520845</v>
      </c>
      <c r="CI17" s="378">
        <f t="shared" si="22"/>
        <v>-533454.83277161105</v>
      </c>
      <c r="CJ17" s="378">
        <f t="shared" si="22"/>
        <v>-547889.92630934482</v>
      </c>
      <c r="CK17" s="378">
        <f t="shared" si="22"/>
        <v>-559802.98779600102</v>
      </c>
      <c r="CL17" s="378">
        <f t="shared" si="22"/>
        <v>-575039.15079950704</v>
      </c>
      <c r="CM17" s="378">
        <f t="shared" si="22"/>
        <v>-589563.36207756156</v>
      </c>
      <c r="CN17" s="378">
        <f t="shared" si="22"/>
        <v>-604171.74011036346</v>
      </c>
      <c r="CO17" s="378">
        <f t="shared" si="22"/>
        <v>-620117.87444509135</v>
      </c>
      <c r="CP17" s="378">
        <f t="shared" si="22"/>
        <v>-632722.0935177909</v>
      </c>
      <c r="CQ17" s="378">
        <f t="shared" si="22"/>
        <v>-648347.40398736414</v>
      </c>
      <c r="CR17" s="378">
        <f t="shared" si="22"/>
        <v>-663689.51808214025</v>
      </c>
      <c r="CS17" s="378">
        <f t="shared" si="22"/>
        <v>-678750.41619634873</v>
      </c>
      <c r="CT17" s="378">
        <f t="shared" si="22"/>
        <v>-693354.83344069193</v>
      </c>
      <c r="CU17" s="378">
        <f t="shared" si="22"/>
        <v>-707910.73102641606</v>
      </c>
      <c r="CV17" s="378">
        <f t="shared" si="22"/>
        <v>-722842.90351571667</v>
      </c>
      <c r="CW17" s="378">
        <f t="shared" si="22"/>
        <v>-737815.67408671905</v>
      </c>
      <c r="CX17" s="378">
        <f t="shared" si="22"/>
        <v>-752757.74854716659</v>
      </c>
      <c r="CY17" s="378">
        <f t="shared" si="22"/>
        <v>-765473.85989382432</v>
      </c>
      <c r="CZ17" s="378">
        <f t="shared" si="22"/>
        <v>-779208.88407148281</v>
      </c>
      <c r="DA17" s="378">
        <f t="shared" si="22"/>
        <v>-791847.76004319591</v>
      </c>
      <c r="DB17" s="378">
        <f t="shared" si="22"/>
        <v>-805781.81384090404</v>
      </c>
      <c r="DC17" s="378">
        <f t="shared" si="22"/>
        <v>-817453.26723157964</v>
      </c>
      <c r="DD17" s="378">
        <f t="shared" si="22"/>
        <v>-828353.35706992319</v>
      </c>
      <c r="DE17" s="378">
        <f t="shared" si="22"/>
        <v>-839882.22207608551</v>
      </c>
      <c r="DF17" s="378">
        <f t="shared" si="22"/>
        <v>-851713.09720222373</v>
      </c>
      <c r="DG17" s="378">
        <f t="shared" si="22"/>
        <v>-864399.50263544125</v>
      </c>
      <c r="DH17" s="378">
        <f t="shared" si="22"/>
        <v>-877156.21206380078</v>
      </c>
      <c r="DI17" s="378">
        <f t="shared" si="22"/>
        <v>-890058.48046801751</v>
      </c>
      <c r="DJ17" s="378">
        <f t="shared" si="22"/>
        <v>-896552.19314605684</v>
      </c>
      <c r="DK17" s="378">
        <f t="shared" si="22"/>
        <v>-907715.67541690415</v>
      </c>
      <c r="DL17" s="378">
        <f t="shared" si="22"/>
        <v>-918933.61852905841</v>
      </c>
      <c r="DM17" s="378">
        <f t="shared" si="22"/>
        <v>-929901.04177120002</v>
      </c>
      <c r="DN17" s="378">
        <f t="shared" si="22"/>
        <v>-936884.90202100365</v>
      </c>
      <c r="DO17" s="378">
        <f t="shared" si="22"/>
        <v>-943326.13425196521</v>
      </c>
      <c r="DP17" s="378">
        <f t="shared" si="22"/>
        <v>-949756.47431466542</v>
      </c>
      <c r="DQ17" s="378">
        <f t="shared" si="22"/>
        <v>-956189.78496870957</v>
      </c>
      <c r="DR17" s="378">
        <f t="shared" si="22"/>
        <v>-961133.83916228241</v>
      </c>
      <c r="DS17" s="378">
        <f t="shared" ref="DS17:EC17" si="23">DS12-DS9</f>
        <v>-966099.67769237806</v>
      </c>
      <c r="DT17" s="378">
        <f t="shared" si="23"/>
        <v>-971056.60444844165</v>
      </c>
      <c r="DU17" s="378">
        <f t="shared" si="23"/>
        <v>-975135.22636378848</v>
      </c>
      <c r="DV17" s="378">
        <f t="shared" si="23"/>
        <v>-979213.8482791353</v>
      </c>
      <c r="DW17" s="378">
        <f t="shared" si="23"/>
        <v>-982167.60627221118</v>
      </c>
      <c r="DX17" s="378">
        <f t="shared" si="23"/>
        <v>-985121.36426528695</v>
      </c>
      <c r="DY17" s="378">
        <f t="shared" si="23"/>
        <v>-987095.8173119491</v>
      </c>
      <c r="DZ17" s="378">
        <f t="shared" si="23"/>
        <v>-989076.21154129936</v>
      </c>
      <c r="EA17" s="378">
        <f t="shared" si="23"/>
        <v>-991056.6057706495</v>
      </c>
      <c r="EB17" s="378">
        <f t="shared" si="23"/>
        <v>-992046.80288532469</v>
      </c>
      <c r="EC17" s="378">
        <f t="shared" si="23"/>
        <v>-993036.99999999988</v>
      </c>
    </row>
    <row r="18" spans="1:134" ht="47.4" customHeight="1" x14ac:dyDescent="0.3">
      <c r="A18" s="221"/>
      <c r="B18" s="198"/>
      <c r="C18" s="198"/>
      <c r="D18" s="198"/>
      <c r="E18" s="198"/>
      <c r="F18" s="198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200"/>
      <c r="AH18" s="378"/>
      <c r="AI18" s="379"/>
      <c r="AJ18" s="379"/>
      <c r="AK18" s="379"/>
      <c r="AL18" s="257"/>
      <c r="AM18" s="379"/>
      <c r="AN18" s="379"/>
      <c r="AO18" s="379"/>
      <c r="AP18" s="379"/>
      <c r="AQ18" s="379"/>
      <c r="AR18" s="379"/>
      <c r="AS18" s="379"/>
      <c r="AT18" s="379"/>
      <c r="AU18" s="379"/>
      <c r="AV18" s="379"/>
      <c r="AW18" s="184"/>
      <c r="AX18" s="184"/>
      <c r="AY18" s="184"/>
      <c r="AZ18" s="184"/>
      <c r="BA18" s="184"/>
      <c r="BB18" s="184"/>
      <c r="BC18" s="184"/>
      <c r="BD18" s="184"/>
      <c r="BE18" s="345"/>
      <c r="BF18" s="184"/>
      <c r="BG18" s="184"/>
      <c r="BH18" s="184"/>
      <c r="BI18" s="184"/>
      <c r="BJ18" s="184"/>
      <c r="BK18" s="184"/>
      <c r="BL18" s="184"/>
      <c r="BM18" s="184"/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4"/>
      <c r="CA18" s="184"/>
      <c r="CB18" s="184"/>
      <c r="CC18" s="184"/>
      <c r="CD18" s="184"/>
      <c r="CE18" s="184"/>
      <c r="CF18" s="184"/>
      <c r="CG18" s="184"/>
      <c r="CH18" s="184"/>
      <c r="CI18" s="184"/>
      <c r="CJ18" s="184"/>
      <c r="CK18" s="184"/>
      <c r="CL18" s="184"/>
      <c r="CM18" s="184"/>
      <c r="CN18" s="184"/>
      <c r="CO18" s="184"/>
      <c r="CP18" s="184"/>
      <c r="CQ18" s="184"/>
      <c r="CR18" s="184"/>
      <c r="CS18" s="184"/>
      <c r="CT18" s="184"/>
      <c r="CU18" s="184"/>
      <c r="CV18" s="184"/>
      <c r="CW18" s="184"/>
      <c r="CX18" s="184"/>
      <c r="CY18" s="184"/>
      <c r="CZ18" s="184"/>
      <c r="DA18" s="184"/>
      <c r="DB18" s="184"/>
      <c r="DC18" s="184"/>
      <c r="DD18" s="184"/>
      <c r="DE18" s="184"/>
      <c r="DF18" s="184"/>
      <c r="DG18" s="184"/>
      <c r="DH18" s="184"/>
      <c r="DI18" s="184"/>
      <c r="DJ18" s="184"/>
      <c r="DK18" s="184"/>
      <c r="DL18" s="184"/>
      <c r="DM18" s="184"/>
      <c r="DN18" s="184"/>
      <c r="DO18" s="184"/>
      <c r="DP18" s="184"/>
      <c r="DQ18" s="184"/>
      <c r="DR18" s="184"/>
      <c r="DS18" s="184"/>
      <c r="DT18" s="184"/>
      <c r="DU18" s="184"/>
      <c r="DV18" s="184"/>
      <c r="DW18" s="184"/>
      <c r="DX18" s="184"/>
      <c r="DY18" s="184"/>
      <c r="DZ18" s="184"/>
      <c r="EA18" s="184"/>
      <c r="EB18" s="184"/>
      <c r="EC18" s="184"/>
    </row>
    <row r="19" spans="1:134" ht="13" x14ac:dyDescent="0.3">
      <c r="A19" s="380" t="s">
        <v>530</v>
      </c>
      <c r="B19" s="381"/>
      <c r="C19" s="381"/>
      <c r="D19" s="381"/>
      <c r="E19" s="381"/>
      <c r="F19" s="381"/>
      <c r="G19" s="381"/>
      <c r="H19" s="381"/>
      <c r="I19" s="382"/>
      <c r="J19" s="382">
        <f t="shared" ref="J19:BB19" si="24">J12-J9</f>
        <v>-3474.6402373778069</v>
      </c>
      <c r="K19" s="382">
        <f t="shared" si="24"/>
        <v>-3984.0654628504508</v>
      </c>
      <c r="L19" s="382">
        <f t="shared" si="24"/>
        <v>-4493.4906883230951</v>
      </c>
      <c r="M19" s="382">
        <f t="shared" si="24"/>
        <v>-5002.9159137957386</v>
      </c>
      <c r="N19" s="382">
        <f t="shared" si="24"/>
        <v>-5002.9159137957386</v>
      </c>
      <c r="O19" s="382">
        <f t="shared" si="24"/>
        <v>-5002.9159137957386</v>
      </c>
      <c r="P19" s="382">
        <f t="shared" si="24"/>
        <v>-5512.3411392683829</v>
      </c>
      <c r="Q19" s="382">
        <f t="shared" si="24"/>
        <v>-6021.7663647410272</v>
      </c>
      <c r="R19" s="382">
        <f t="shared" si="24"/>
        <v>-6531.1915902136716</v>
      </c>
      <c r="S19" s="382">
        <f t="shared" si="24"/>
        <v>-7040.616815686315</v>
      </c>
      <c r="T19" s="382">
        <f t="shared" si="24"/>
        <v>-7550.0420411589594</v>
      </c>
      <c r="U19" s="382">
        <f t="shared" si="24"/>
        <v>-8059.4672666316037</v>
      </c>
      <c r="V19" s="382">
        <f t="shared" si="24"/>
        <v>-8568.8924921042471</v>
      </c>
      <c r="W19" s="382">
        <f t="shared" si="24"/>
        <v>-9078.3177175768906</v>
      </c>
      <c r="X19" s="382">
        <f t="shared" si="24"/>
        <v>-9587.7429430495358</v>
      </c>
      <c r="Y19" s="382">
        <f t="shared" si="24"/>
        <v>-10097.168168522179</v>
      </c>
      <c r="Z19" s="382">
        <f t="shared" si="24"/>
        <v>-10606.593393994825</v>
      </c>
      <c r="AA19" s="382">
        <f t="shared" si="24"/>
        <v>-11116.018619467468</v>
      </c>
      <c r="AB19" s="382">
        <f t="shared" si="24"/>
        <v>-11908.457859091579</v>
      </c>
      <c r="AC19" s="382">
        <f t="shared" si="24"/>
        <v>-12700.897098715694</v>
      </c>
      <c r="AD19" s="382">
        <f t="shared" si="24"/>
        <v>-13606.541944000395</v>
      </c>
      <c r="AE19" s="382">
        <f t="shared" si="24"/>
        <v>-14625.392394945682</v>
      </c>
      <c r="AF19" s="382">
        <f t="shared" si="24"/>
        <v>-16210.27087419391</v>
      </c>
      <c r="AG19" s="383">
        <f t="shared" si="24"/>
        <v>26316.82261825493</v>
      </c>
      <c r="AH19" s="382">
        <f t="shared" si="24"/>
        <v>27224.888082400827</v>
      </c>
      <c r="AI19" s="382">
        <f t="shared" si="24"/>
        <v>26705.747940886136</v>
      </c>
      <c r="AJ19" s="382">
        <f t="shared" si="24"/>
        <v>28983.60779937145</v>
      </c>
      <c r="AK19" s="382">
        <f t="shared" si="24"/>
        <v>27559.411601250882</v>
      </c>
      <c r="AL19" s="384">
        <f t="shared" si="24"/>
        <v>-4895.4686777638271</v>
      </c>
      <c r="AM19" s="382">
        <f t="shared" si="24"/>
        <v>-178.3172354286944</v>
      </c>
      <c r="AN19" s="382">
        <f t="shared" si="24"/>
        <v>-3705.2060580935795</v>
      </c>
      <c r="AO19" s="382">
        <f t="shared" si="24"/>
        <v>-7381.4619857584185</v>
      </c>
      <c r="AP19" s="382">
        <f t="shared" si="24"/>
        <v>-6743.3994746347744</v>
      </c>
      <c r="AQ19" s="382">
        <f t="shared" si="24"/>
        <v>-7880.2227472996892</v>
      </c>
      <c r="AR19" s="382">
        <f t="shared" si="24"/>
        <v>-9287.1668199645937</v>
      </c>
      <c r="AS19" s="382">
        <f t="shared" si="24"/>
        <v>-11675.364912629491</v>
      </c>
      <c r="AT19" s="382">
        <f t="shared" si="24"/>
        <v>-12978.536543294438</v>
      </c>
      <c r="AU19" s="382">
        <f t="shared" si="24"/>
        <v>-20730.834590959304</v>
      </c>
      <c r="AV19" s="382">
        <f t="shared" si="24"/>
        <v>-20126.132638624171</v>
      </c>
      <c r="AW19" s="382">
        <f t="shared" si="24"/>
        <v>-19386.430686289095</v>
      </c>
      <c r="AX19" s="382">
        <f t="shared" si="24"/>
        <v>-18754.133343953872</v>
      </c>
      <c r="AY19" s="382">
        <f t="shared" si="24"/>
        <v>-17116.951427830296</v>
      </c>
      <c r="AZ19" s="382">
        <f t="shared" si="24"/>
        <v>-17215.226675495185</v>
      </c>
      <c r="BA19" s="382">
        <f t="shared" si="24"/>
        <v>-15071.107359160174</v>
      </c>
      <c r="BB19" s="382">
        <f t="shared" si="24"/>
        <v>-20101.783683824993</v>
      </c>
      <c r="BC19" s="381">
        <v>1.02</v>
      </c>
      <c r="BD19" s="381">
        <v>0.89</v>
      </c>
      <c r="BE19" s="385">
        <v>0.98</v>
      </c>
      <c r="BF19" s="381">
        <v>1.05</v>
      </c>
      <c r="BG19" s="381">
        <v>1.0900000000000001</v>
      </c>
      <c r="BH19" s="381">
        <v>0.94</v>
      </c>
      <c r="BI19" s="381">
        <v>0.99</v>
      </c>
      <c r="BJ19" s="381">
        <v>0.96</v>
      </c>
      <c r="BK19" s="381">
        <v>1.05</v>
      </c>
      <c r="BL19" s="381">
        <v>1.02</v>
      </c>
      <c r="BM19" s="381">
        <v>0.91</v>
      </c>
      <c r="BN19" s="381">
        <v>1.02</v>
      </c>
      <c r="BO19" s="381">
        <v>0.96</v>
      </c>
      <c r="BP19" s="381">
        <v>1.08</v>
      </c>
      <c r="BQ19" s="381">
        <v>1.1000000000000001</v>
      </c>
      <c r="BR19" s="381">
        <v>1.17</v>
      </c>
      <c r="BS19" s="381">
        <v>0.92</v>
      </c>
      <c r="BT19" s="381">
        <v>1.1299999999999999</v>
      </c>
      <c r="BU19" s="381">
        <v>1.06</v>
      </c>
      <c r="BV19" s="381">
        <v>1.0900000000000001</v>
      </c>
      <c r="BW19" s="381">
        <v>1.28</v>
      </c>
      <c r="BX19" s="381">
        <v>0.98</v>
      </c>
      <c r="BY19" s="381">
        <v>1.42</v>
      </c>
      <c r="BZ19" s="381">
        <v>1.08</v>
      </c>
      <c r="CA19" s="381">
        <v>1.46</v>
      </c>
      <c r="CB19" s="381">
        <v>1.22</v>
      </c>
      <c r="CC19" s="381">
        <v>1.42</v>
      </c>
      <c r="CD19" s="381">
        <v>1.3</v>
      </c>
      <c r="CE19" s="381">
        <v>1.21</v>
      </c>
      <c r="CF19" s="381">
        <v>1.2</v>
      </c>
      <c r="CG19" s="381">
        <v>1.19</v>
      </c>
      <c r="CH19" s="381"/>
      <c r="CI19" s="381"/>
      <c r="CJ19" s="381"/>
      <c r="CK19" s="381"/>
      <c r="CL19" s="381"/>
      <c r="CM19" s="381"/>
      <c r="CN19" s="381"/>
      <c r="CO19" s="381"/>
      <c r="CP19" s="381"/>
      <c r="CQ19" s="381"/>
      <c r="CR19" s="381"/>
      <c r="CS19" s="381"/>
      <c r="CT19" s="381"/>
      <c r="CU19" s="381"/>
      <c r="CV19" s="381"/>
      <c r="CW19" s="381"/>
      <c r="CX19" s="381"/>
      <c r="CY19" s="381"/>
      <c r="CZ19" s="381"/>
      <c r="DA19" s="381"/>
      <c r="DB19" s="381"/>
      <c r="DC19" s="381"/>
      <c r="DD19" s="381"/>
      <c r="DE19" s="381"/>
      <c r="DF19" s="381"/>
      <c r="DG19" s="381"/>
      <c r="DH19" s="381"/>
      <c r="DI19" s="381"/>
      <c r="DJ19" s="381"/>
      <c r="DK19" s="381"/>
      <c r="DL19" s="381"/>
      <c r="DM19" s="381"/>
      <c r="DN19" s="381"/>
      <c r="DO19" s="381"/>
      <c r="DP19" s="381"/>
      <c r="DQ19" s="381"/>
      <c r="DR19" s="381"/>
      <c r="DS19" s="381"/>
      <c r="DT19" s="381"/>
      <c r="DU19" s="381"/>
      <c r="DV19" s="381"/>
      <c r="DW19" s="381"/>
      <c r="DX19" s="381"/>
      <c r="DY19" s="381"/>
      <c r="DZ19" s="381"/>
      <c r="EA19" s="381"/>
      <c r="EB19" s="381"/>
      <c r="EC19" s="381"/>
      <c r="ED19" s="386"/>
    </row>
    <row r="20" spans="1:134" ht="13" thickBot="1" x14ac:dyDescent="0.3">
      <c r="A20" s="387"/>
      <c r="AG20" s="183"/>
      <c r="AL20" s="259"/>
      <c r="BE20" s="354"/>
    </row>
    <row r="21" spans="1:134" ht="13.5" thickTop="1" x14ac:dyDescent="0.3">
      <c r="A21" s="182" t="s">
        <v>249</v>
      </c>
      <c r="D21" s="9">
        <f>D3/50</f>
        <v>9.3137339202574303</v>
      </c>
      <c r="E21" s="9">
        <f t="shared" ref="E21:BP21" si="25">E3/50</f>
        <v>11.603574580210225</v>
      </c>
      <c r="F21" s="9">
        <f t="shared" si="25"/>
        <v>11.603574580210225</v>
      </c>
      <c r="G21" s="9">
        <f t="shared" si="25"/>
        <v>10.188504509452882</v>
      </c>
      <c r="H21" s="9">
        <f t="shared" si="25"/>
        <v>10.188504509452882</v>
      </c>
      <c r="I21" s="9">
        <f t="shared" si="25"/>
        <v>10.188504509452882</v>
      </c>
      <c r="J21" s="9">
        <f t="shared" si="25"/>
        <v>6.4064081385196143</v>
      </c>
      <c r="K21" s="9">
        <f t="shared" si="25"/>
        <v>10.188504509452882</v>
      </c>
      <c r="L21" s="9">
        <f t="shared" si="25"/>
        <v>10.188504509452882</v>
      </c>
      <c r="M21" s="9">
        <f t="shared" si="25"/>
        <v>10.188504509452882</v>
      </c>
      <c r="N21" s="9">
        <f t="shared" si="25"/>
        <v>0</v>
      </c>
      <c r="O21" s="9">
        <f t="shared" si="25"/>
        <v>0</v>
      </c>
      <c r="P21" s="9">
        <f t="shared" si="25"/>
        <v>10.188504509452882</v>
      </c>
      <c r="Q21" s="9">
        <f t="shared" si="25"/>
        <v>10.188504509452882</v>
      </c>
      <c r="R21" s="9">
        <f t="shared" si="25"/>
        <v>10.188504509452882</v>
      </c>
      <c r="S21" s="9">
        <f t="shared" si="25"/>
        <v>10.188504509452882</v>
      </c>
      <c r="T21" s="9">
        <f t="shared" si="25"/>
        <v>10.188504509452882</v>
      </c>
      <c r="U21" s="9">
        <f t="shared" si="25"/>
        <v>10.188504509452882</v>
      </c>
      <c r="V21" s="9">
        <f t="shared" si="25"/>
        <v>10.188504509452882</v>
      </c>
      <c r="W21" s="9">
        <f t="shared" si="25"/>
        <v>10.188504509452882</v>
      </c>
      <c r="X21" s="9">
        <f t="shared" si="25"/>
        <v>10.188504509452882</v>
      </c>
      <c r="Y21" s="9">
        <f t="shared" si="25"/>
        <v>10.188504509452882</v>
      </c>
      <c r="Z21" s="9">
        <f t="shared" si="25"/>
        <v>10.188504509452882</v>
      </c>
      <c r="AA21" s="9">
        <f t="shared" si="25"/>
        <v>10.188504509452882</v>
      </c>
      <c r="AB21" s="9">
        <f t="shared" si="25"/>
        <v>15.848784792482258</v>
      </c>
      <c r="AC21" s="9">
        <f t="shared" si="25"/>
        <v>15.848784792482258</v>
      </c>
      <c r="AD21" s="9">
        <f t="shared" si="25"/>
        <v>18.112896905694011</v>
      </c>
      <c r="AE21" s="9">
        <f t="shared" si="25"/>
        <v>20.377009018905763</v>
      </c>
      <c r="AF21" s="9">
        <f t="shared" si="25"/>
        <v>31.697569584964516</v>
      </c>
      <c r="AG21" s="218">
        <f t="shared" si="25"/>
        <v>43.018130151023271</v>
      </c>
      <c r="AH21" s="9">
        <f t="shared" si="25"/>
        <v>54.338690717082024</v>
      </c>
      <c r="AI21" s="9">
        <f t="shared" si="25"/>
        <v>56.602802830293783</v>
      </c>
      <c r="AJ21" s="9">
        <f t="shared" si="25"/>
        <v>56.602802830293783</v>
      </c>
      <c r="AK21" s="9">
        <f t="shared" si="25"/>
        <v>79.243923962411301</v>
      </c>
      <c r="AL21" s="260">
        <f t="shared" si="25"/>
        <v>92.777139548199727</v>
      </c>
      <c r="AM21" s="9">
        <f t="shared" si="25"/>
        <v>145.56596095329783</v>
      </c>
      <c r="AN21" s="9">
        <f t="shared" si="25"/>
        <v>145.56596095329758</v>
      </c>
      <c r="AO21" s="9">
        <f t="shared" si="25"/>
        <v>145.56596095329783</v>
      </c>
      <c r="AP21" s="9">
        <f t="shared" si="25"/>
        <v>116.611015877528</v>
      </c>
      <c r="AQ21" s="9">
        <f t="shared" si="25"/>
        <v>145.56596095329758</v>
      </c>
      <c r="AR21" s="9">
        <f t="shared" si="25"/>
        <v>145.56596095329783</v>
      </c>
      <c r="AS21" s="9">
        <f t="shared" si="25"/>
        <v>145.56596095329783</v>
      </c>
      <c r="AT21" s="9">
        <f t="shared" si="25"/>
        <v>145.56596095329758</v>
      </c>
      <c r="AU21" s="9">
        <f t="shared" si="25"/>
        <v>145.56596095329758</v>
      </c>
      <c r="AV21" s="9">
        <f t="shared" si="25"/>
        <v>145.56596095329758</v>
      </c>
      <c r="AW21" s="9">
        <f t="shared" si="25"/>
        <v>145.56596095329812</v>
      </c>
      <c r="AX21" s="9">
        <f t="shared" si="25"/>
        <v>145.56596095329758</v>
      </c>
      <c r="AY21" s="9">
        <f t="shared" si="25"/>
        <v>116.61101587752773</v>
      </c>
      <c r="AZ21" s="9">
        <f t="shared" si="25"/>
        <v>145.56596095329758</v>
      </c>
      <c r="BA21" s="9">
        <f t="shared" si="25"/>
        <v>145.56596095329812</v>
      </c>
      <c r="BB21" s="9">
        <f t="shared" si="25"/>
        <v>145.56596095329758</v>
      </c>
      <c r="BC21" s="9">
        <f t="shared" si="25"/>
        <v>145.56596095329758</v>
      </c>
      <c r="BD21" s="9">
        <f t="shared" si="25"/>
        <v>145.56596095329812</v>
      </c>
      <c r="BE21" s="355">
        <f t="shared" si="25"/>
        <v>-4054.9753953230957</v>
      </c>
      <c r="BF21" s="9">
        <f t="shared" si="25"/>
        <v>150.94162399999999</v>
      </c>
      <c r="BG21" s="9">
        <f t="shared" si="25"/>
        <v>165.20448661239541</v>
      </c>
      <c r="BH21" s="9">
        <f t="shared" si="25"/>
        <v>174.53214343263517</v>
      </c>
      <c r="BI21" s="9">
        <f t="shared" si="25"/>
        <v>175.75998785483245</v>
      </c>
      <c r="BJ21" s="9">
        <f t="shared" si="25"/>
        <v>105.47579665519312</v>
      </c>
      <c r="BK21" s="9">
        <f t="shared" si="25"/>
        <v>175.75998785483188</v>
      </c>
      <c r="BL21" s="9">
        <f t="shared" si="25"/>
        <v>184.71136977149513</v>
      </c>
      <c r="BM21" s="9">
        <f t="shared" si="25"/>
        <v>195.66294985980235</v>
      </c>
      <c r="BN21" s="9">
        <f t="shared" si="25"/>
        <v>157.99585161756093</v>
      </c>
      <c r="BO21" s="9">
        <f t="shared" si="25"/>
        <v>159.77820642397589</v>
      </c>
      <c r="BP21" s="9">
        <f t="shared" si="25"/>
        <v>206.19864715994521</v>
      </c>
      <c r="BQ21" s="9">
        <f t="shared" ref="BQ21:EC21" si="26">BQ3/50</f>
        <v>206.19864715994521</v>
      </c>
      <c r="BR21" s="9">
        <f t="shared" si="26"/>
        <v>218.79395445861297</v>
      </c>
      <c r="BS21" s="9">
        <f t="shared" si="26"/>
        <v>224.47768589684765</v>
      </c>
      <c r="BT21" s="9">
        <f t="shared" si="26"/>
        <v>226.79474714518778</v>
      </c>
      <c r="BU21" s="9">
        <f t="shared" si="26"/>
        <v>217.8631691708182</v>
      </c>
      <c r="BV21" s="9">
        <f t="shared" si="26"/>
        <v>216.4174813833919</v>
      </c>
      <c r="BW21" s="9">
        <f t="shared" si="26"/>
        <v>221.13081964924564</v>
      </c>
      <c r="BX21" s="9">
        <f t="shared" si="26"/>
        <v>228.04239550967873</v>
      </c>
      <c r="BY21" s="9">
        <f t="shared" si="26"/>
        <v>247.70771020712652</v>
      </c>
      <c r="BZ21" s="9">
        <f t="shared" si="26"/>
        <v>245.41045290108002</v>
      </c>
      <c r="CA21" s="9">
        <f t="shared" si="26"/>
        <v>269.11577182640201</v>
      </c>
      <c r="CB21" s="9">
        <f t="shared" si="26"/>
        <v>269.98714528731585</v>
      </c>
      <c r="CC21" s="9">
        <f t="shared" si="26"/>
        <v>284.48363104615936</v>
      </c>
      <c r="CD21" s="9">
        <v>225</v>
      </c>
      <c r="CE21" s="9">
        <v>289</v>
      </c>
      <c r="CF21" s="9">
        <v>290</v>
      </c>
      <c r="CG21" s="9">
        <f t="shared" si="26"/>
        <v>288.50383133174097</v>
      </c>
      <c r="CH21" s="9">
        <f t="shared" si="26"/>
        <v>291.03873594530791</v>
      </c>
      <c r="CI21" s="9">
        <f t="shared" si="26"/>
        <v>293.6528563280516</v>
      </c>
      <c r="CJ21" s="9">
        <f t="shared" si="26"/>
        <v>288.70187075467521</v>
      </c>
      <c r="CK21" s="9">
        <f t="shared" si="26"/>
        <v>238.26122973312431</v>
      </c>
      <c r="CL21" s="9">
        <f t="shared" si="26"/>
        <v>304.72326007011964</v>
      </c>
      <c r="CM21" s="9">
        <f t="shared" si="26"/>
        <v>290.48422556109023</v>
      </c>
      <c r="CN21" s="9">
        <f t="shared" si="26"/>
        <v>292.16756065603806</v>
      </c>
      <c r="CO21" s="9">
        <f t="shared" si="26"/>
        <v>318.9226866945595</v>
      </c>
      <c r="CP21" s="9">
        <f t="shared" si="26"/>
        <v>252.08438145399046</v>
      </c>
      <c r="CQ21" s="9">
        <f t="shared" si="26"/>
        <v>312.50620939146432</v>
      </c>
      <c r="CR21" s="9">
        <f t="shared" si="26"/>
        <v>306.84228189552329</v>
      </c>
      <c r="CS21" s="9">
        <f t="shared" si="26"/>
        <v>301.21796228416952</v>
      </c>
      <c r="CT21" s="9">
        <f t="shared" si="26"/>
        <v>292.08834488686347</v>
      </c>
      <c r="CU21" s="9">
        <f t="shared" si="26"/>
        <v>291.1179517144825</v>
      </c>
      <c r="CV21" s="9">
        <f t="shared" si="26"/>
        <v>298.64344978601309</v>
      </c>
      <c r="CW21" s="9">
        <f t="shared" si="26"/>
        <v>299.45541142004708</v>
      </c>
      <c r="CX21" s="9">
        <f t="shared" si="26"/>
        <v>298.84148920894955</v>
      </c>
      <c r="CY21" s="9">
        <f t="shared" si="26"/>
        <v>254.32222693315597</v>
      </c>
      <c r="CZ21" s="9">
        <f t="shared" si="26"/>
        <v>274.70048355316959</v>
      </c>
      <c r="DA21" s="9">
        <f t="shared" si="26"/>
        <v>252.77751943426259</v>
      </c>
      <c r="DB21" s="9">
        <f t="shared" si="26"/>
        <v>278.68107595416279</v>
      </c>
      <c r="DC21" s="9">
        <f t="shared" si="26"/>
        <v>233.42906781350979</v>
      </c>
      <c r="DD21" s="9">
        <f t="shared" si="26"/>
        <v>218.00179676687262</v>
      </c>
      <c r="DE21" s="9">
        <f t="shared" si="26"/>
        <v>230.57730012324674</v>
      </c>
      <c r="DF21" s="9">
        <f t="shared" si="26"/>
        <v>236.61750252276374</v>
      </c>
      <c r="DG21" s="9">
        <f t="shared" si="26"/>
        <v>253.728108664351</v>
      </c>
      <c r="DH21" s="9">
        <f t="shared" si="26"/>
        <v>255.13418856718999</v>
      </c>
      <c r="DI21" s="9">
        <f t="shared" si="26"/>
        <v>258.04536808433511</v>
      </c>
      <c r="DJ21" s="9">
        <f t="shared" si="26"/>
        <v>129.87425356078663</v>
      </c>
      <c r="DK21" s="9">
        <f t="shared" si="26"/>
        <v>223.26964541694514</v>
      </c>
      <c r="DL21" s="9">
        <f t="shared" si="26"/>
        <v>224.35886224308578</v>
      </c>
      <c r="DM21" s="9">
        <f t="shared" si="26"/>
        <v>219.34846484283179</v>
      </c>
      <c r="DN21" s="9">
        <f t="shared" si="26"/>
        <v>139.67720499607228</v>
      </c>
      <c r="DO21" s="9">
        <f t="shared" si="26"/>
        <v>128.82464461923107</v>
      </c>
      <c r="DP21" s="9">
        <f t="shared" si="26"/>
        <v>128.60680125400427</v>
      </c>
      <c r="DQ21" s="9">
        <f t="shared" si="26"/>
        <v>128.66621308088412</v>
      </c>
      <c r="DR21" s="9">
        <f t="shared" si="26"/>
        <v>98.88108387145563</v>
      </c>
      <c r="DS21" s="9">
        <f t="shared" si="26"/>
        <v>99.316770601913646</v>
      </c>
      <c r="DT21" s="9">
        <f t="shared" si="26"/>
        <v>99.138535121271943</v>
      </c>
      <c r="DU21" s="9">
        <f t="shared" si="26"/>
        <v>81.572438306936334</v>
      </c>
      <c r="DV21" s="9">
        <f t="shared" si="26"/>
        <v>81.572438306936334</v>
      </c>
      <c r="DW21" s="9">
        <f t="shared" si="26"/>
        <v>59.075159861516902</v>
      </c>
      <c r="DX21" s="9">
        <f t="shared" si="26"/>
        <v>59.075159861516902</v>
      </c>
      <c r="DY21" s="9">
        <f t="shared" si="26"/>
        <v>39.489060933242584</v>
      </c>
      <c r="DZ21" s="9">
        <f t="shared" si="26"/>
        <v>39.607884587004463</v>
      </c>
      <c r="EA21" s="9">
        <f t="shared" si="26"/>
        <v>39.607884587004463</v>
      </c>
      <c r="EB21" s="9">
        <f t="shared" si="26"/>
        <v>19.803942293503336</v>
      </c>
      <c r="EC21" s="9">
        <f t="shared" si="26"/>
        <v>19.803942293503336</v>
      </c>
    </row>
    <row r="22" spans="1:134" ht="15" customHeight="1" x14ac:dyDescent="0.3">
      <c r="A22" s="380" t="s">
        <v>534</v>
      </c>
      <c r="B22" s="386"/>
      <c r="C22" s="386"/>
      <c r="D22" s="386"/>
      <c r="E22" s="386"/>
      <c r="F22" s="386"/>
      <c r="G22" s="386"/>
      <c r="H22" s="386"/>
      <c r="I22" s="386"/>
      <c r="J22" s="386"/>
      <c r="K22" s="386"/>
      <c r="L22" s="386"/>
      <c r="M22" s="386"/>
      <c r="N22" s="386"/>
      <c r="O22" s="386"/>
      <c r="P22" s="386"/>
      <c r="Q22" s="386"/>
      <c r="R22" s="386"/>
      <c r="S22" s="386"/>
      <c r="T22" s="386"/>
      <c r="U22" s="386"/>
      <c r="V22" s="386"/>
      <c r="W22" s="386"/>
      <c r="X22" s="386"/>
      <c r="Y22" s="386"/>
      <c r="Z22" s="386"/>
      <c r="AA22" s="386"/>
      <c r="AB22" s="386"/>
      <c r="AC22" s="386"/>
      <c r="AD22" s="386"/>
      <c r="AE22" s="386"/>
      <c r="AF22" s="386"/>
      <c r="AG22" s="386"/>
      <c r="AH22" s="386"/>
      <c r="AI22" s="386"/>
      <c r="AJ22" s="386"/>
      <c r="AK22" s="386"/>
      <c r="AL22" s="388"/>
      <c r="AM22" s="386"/>
      <c r="AN22" s="386"/>
      <c r="AO22" s="386"/>
      <c r="AP22" s="386"/>
      <c r="AQ22" s="386"/>
      <c r="AR22" s="386"/>
      <c r="AS22" s="386"/>
      <c r="AT22" s="386"/>
      <c r="AU22" s="386"/>
      <c r="AV22" s="386"/>
      <c r="AW22" s="386"/>
      <c r="AX22" s="386"/>
      <c r="AY22" s="386"/>
      <c r="AZ22" s="386"/>
      <c r="BA22" s="386"/>
      <c r="BB22" s="386"/>
      <c r="BC22" s="386">
        <v>208</v>
      </c>
      <c r="BD22" s="386">
        <v>186</v>
      </c>
      <c r="BE22" s="389">
        <v>202</v>
      </c>
      <c r="BF22" s="386">
        <v>205</v>
      </c>
      <c r="BG22" s="386">
        <v>218</v>
      </c>
      <c r="BH22" s="386">
        <v>225</v>
      </c>
      <c r="BI22" s="386">
        <v>280</v>
      </c>
      <c r="BJ22" s="386">
        <v>165</v>
      </c>
      <c r="BK22" s="386">
        <v>228</v>
      </c>
      <c r="BL22" s="386">
        <v>231</v>
      </c>
      <c r="BM22" s="386">
        <v>228</v>
      </c>
      <c r="BN22" s="386">
        <v>121</v>
      </c>
      <c r="BO22" s="386">
        <v>136</v>
      </c>
      <c r="BP22" s="386">
        <v>232</v>
      </c>
      <c r="BQ22" s="386">
        <v>253</v>
      </c>
      <c r="BR22" s="386">
        <v>245</v>
      </c>
      <c r="BS22" s="386">
        <v>215</v>
      </c>
      <c r="BT22" s="386">
        <v>123</v>
      </c>
      <c r="BU22" s="386">
        <v>294</v>
      </c>
      <c r="BV22" s="386">
        <v>195</v>
      </c>
      <c r="BW22" s="386">
        <v>225</v>
      </c>
      <c r="BX22" s="386">
        <v>217</v>
      </c>
      <c r="BY22" s="386">
        <v>165</v>
      </c>
      <c r="BZ22" s="386">
        <v>228</v>
      </c>
      <c r="CA22" s="386">
        <v>198</v>
      </c>
      <c r="CB22" s="386">
        <v>271</v>
      </c>
      <c r="CC22" s="386">
        <v>311</v>
      </c>
      <c r="CD22" s="386">
        <v>230</v>
      </c>
      <c r="CE22" s="386">
        <v>315</v>
      </c>
      <c r="CF22" s="386">
        <v>305</v>
      </c>
      <c r="CG22" s="386">
        <v>268</v>
      </c>
      <c r="CH22" s="386"/>
      <c r="CI22" s="386"/>
      <c r="CJ22" s="386"/>
      <c r="CK22" s="386"/>
      <c r="CL22" s="386"/>
      <c r="CM22" s="386"/>
      <c r="CN22" s="386"/>
      <c r="CO22" s="386"/>
      <c r="CP22" s="386"/>
      <c r="CQ22" s="386"/>
      <c r="CR22" s="386"/>
      <c r="CS22" s="386"/>
      <c r="CT22" s="386"/>
      <c r="CU22" s="386"/>
      <c r="CV22" s="386"/>
      <c r="CW22" s="386"/>
      <c r="CX22" s="386"/>
      <c r="CY22" s="386"/>
      <c r="CZ22" s="386"/>
      <c r="DA22" s="386"/>
      <c r="DB22" s="386"/>
      <c r="DC22" s="386"/>
      <c r="DD22" s="386"/>
      <c r="DE22" s="386"/>
      <c r="DF22" s="386"/>
      <c r="DG22" s="386"/>
      <c r="DH22" s="386"/>
      <c r="DI22" s="386"/>
      <c r="DJ22" s="386"/>
      <c r="DK22" s="386"/>
      <c r="DL22" s="386"/>
      <c r="DM22" s="386"/>
      <c r="DN22" s="386"/>
      <c r="DO22" s="386"/>
      <c r="DP22" s="386"/>
      <c r="DQ22" s="386"/>
      <c r="DR22" s="386"/>
      <c r="DS22" s="386"/>
      <c r="DT22" s="386"/>
      <c r="DU22" s="386"/>
      <c r="DV22" s="386"/>
      <c r="DW22" s="386"/>
      <c r="DX22" s="386"/>
      <c r="DY22" s="386"/>
      <c r="DZ22" s="386"/>
      <c r="EA22" s="386"/>
      <c r="EB22" s="386"/>
      <c r="EC22" s="386"/>
      <c r="ED22" s="386"/>
    </row>
    <row r="23" spans="1:134" ht="13" x14ac:dyDescent="0.3">
      <c r="A23" s="130" t="s">
        <v>535</v>
      </c>
      <c r="V23" s="181"/>
      <c r="W23" s="181"/>
      <c r="X23" s="181"/>
      <c r="Y23" s="181"/>
      <c r="Z23" s="181"/>
      <c r="AA23" s="181"/>
      <c r="AB23" s="181"/>
      <c r="AC23" s="181"/>
      <c r="AD23" s="180"/>
      <c r="AE23" s="180"/>
      <c r="AF23" s="181"/>
      <c r="AG23" s="180"/>
      <c r="AL23" s="259" t="s">
        <v>273</v>
      </c>
      <c r="BC23" s="9">
        <f>BC22-BC21</f>
        <v>62.434039046702424</v>
      </c>
      <c r="BD23" s="9">
        <f t="shared" ref="BD23:DO23" si="27">BD22-BD21</f>
        <v>40.434039046701884</v>
      </c>
      <c r="BE23" s="390">
        <f t="shared" si="27"/>
        <v>4256.9753953230957</v>
      </c>
      <c r="BF23" s="9">
        <f t="shared" si="27"/>
        <v>54.05837600000001</v>
      </c>
      <c r="BG23" s="9">
        <f t="shared" si="27"/>
        <v>52.795513387604586</v>
      </c>
      <c r="BH23" s="9">
        <f t="shared" si="27"/>
        <v>50.467856567364834</v>
      </c>
      <c r="BI23" s="9">
        <f t="shared" si="27"/>
        <v>104.24001214516755</v>
      </c>
      <c r="BJ23" s="9">
        <f t="shared" si="27"/>
        <v>59.524203344806878</v>
      </c>
      <c r="BK23" s="9">
        <f t="shared" si="27"/>
        <v>52.240012145168123</v>
      </c>
      <c r="BL23" s="9">
        <f t="shared" si="27"/>
        <v>46.288630228504871</v>
      </c>
      <c r="BM23" s="9">
        <f t="shared" si="27"/>
        <v>32.337050140197647</v>
      </c>
      <c r="BN23" s="9">
        <f t="shared" si="27"/>
        <v>-36.99585161756093</v>
      </c>
      <c r="BO23" s="9">
        <f t="shared" si="27"/>
        <v>-23.778206423975888</v>
      </c>
      <c r="BP23" s="9">
        <f t="shared" si="27"/>
        <v>25.80135284005479</v>
      </c>
      <c r="BQ23" s="9">
        <f t="shared" si="27"/>
        <v>46.80135284005479</v>
      </c>
      <c r="BR23" s="9">
        <f t="shared" si="27"/>
        <v>26.206045541387027</v>
      </c>
      <c r="BS23" s="9">
        <f t="shared" si="27"/>
        <v>-9.4776858968476461</v>
      </c>
      <c r="BT23" s="9">
        <f t="shared" si="27"/>
        <v>-103.79474714518778</v>
      </c>
      <c r="BU23" s="9">
        <f t="shared" si="27"/>
        <v>76.136830829181804</v>
      </c>
      <c r="BV23" s="9">
        <f t="shared" si="27"/>
        <v>-21.417481383391902</v>
      </c>
      <c r="BW23" s="9">
        <f t="shared" si="27"/>
        <v>3.8691803507543625</v>
      </c>
      <c r="BX23" s="9">
        <f t="shared" si="27"/>
        <v>-11.042395509678727</v>
      </c>
      <c r="BY23" s="9">
        <f t="shared" si="27"/>
        <v>-82.707710207126524</v>
      </c>
      <c r="BZ23" s="9">
        <f t="shared" si="27"/>
        <v>-17.410452901080021</v>
      </c>
      <c r="CA23" s="9">
        <f t="shared" si="27"/>
        <v>-71.11577182640201</v>
      </c>
      <c r="CB23" s="9">
        <f t="shared" si="27"/>
        <v>1.0128547126841454</v>
      </c>
      <c r="CC23" s="9">
        <f t="shared" si="27"/>
        <v>26.51636895384064</v>
      </c>
      <c r="CD23" s="9">
        <f t="shared" si="27"/>
        <v>5</v>
      </c>
      <c r="CE23" s="9">
        <f t="shared" si="27"/>
        <v>26</v>
      </c>
      <c r="CF23" s="9">
        <f t="shared" si="27"/>
        <v>15</v>
      </c>
      <c r="CG23" s="9">
        <f t="shared" si="27"/>
        <v>-20.503831331740969</v>
      </c>
      <c r="CH23" s="9">
        <f t="shared" si="27"/>
        <v>-291.03873594530791</v>
      </c>
      <c r="CI23" s="9">
        <f t="shared" si="27"/>
        <v>-293.6528563280516</v>
      </c>
      <c r="CJ23" s="9">
        <f t="shared" si="27"/>
        <v>-288.70187075467521</v>
      </c>
      <c r="CK23" s="9">
        <f t="shared" si="27"/>
        <v>-238.26122973312431</v>
      </c>
      <c r="CL23" s="9">
        <f t="shared" si="27"/>
        <v>-304.72326007011964</v>
      </c>
      <c r="CM23" s="9">
        <f t="shared" si="27"/>
        <v>-290.48422556109023</v>
      </c>
      <c r="CN23" s="9">
        <f t="shared" si="27"/>
        <v>-292.16756065603806</v>
      </c>
      <c r="CO23" s="9">
        <f t="shared" si="27"/>
        <v>-318.9226866945595</v>
      </c>
      <c r="CP23" s="9">
        <f t="shared" si="27"/>
        <v>-252.08438145399046</v>
      </c>
      <c r="CQ23" s="9">
        <f t="shared" si="27"/>
        <v>-312.50620939146432</v>
      </c>
      <c r="CR23" s="9">
        <f t="shared" si="27"/>
        <v>-306.84228189552329</v>
      </c>
      <c r="CS23" s="9">
        <f t="shared" si="27"/>
        <v>-301.21796228416952</v>
      </c>
      <c r="CT23" s="9">
        <f t="shared" si="27"/>
        <v>-292.08834488686347</v>
      </c>
      <c r="CU23" s="9">
        <f t="shared" si="27"/>
        <v>-291.1179517144825</v>
      </c>
      <c r="CV23" s="9">
        <f t="shared" si="27"/>
        <v>-298.64344978601309</v>
      </c>
      <c r="CW23" s="9">
        <f t="shared" si="27"/>
        <v>-299.45541142004708</v>
      </c>
      <c r="CX23" s="9">
        <f t="shared" si="27"/>
        <v>-298.84148920894955</v>
      </c>
      <c r="CY23" s="9">
        <f t="shared" si="27"/>
        <v>-254.32222693315597</v>
      </c>
      <c r="CZ23" s="9">
        <f t="shared" si="27"/>
        <v>-274.70048355316959</v>
      </c>
      <c r="DA23" s="9">
        <f t="shared" si="27"/>
        <v>-252.77751943426259</v>
      </c>
      <c r="DB23" s="9">
        <f t="shared" si="27"/>
        <v>-278.68107595416279</v>
      </c>
      <c r="DC23" s="9">
        <f t="shared" si="27"/>
        <v>-233.42906781350979</v>
      </c>
      <c r="DD23" s="9">
        <f t="shared" si="27"/>
        <v>-218.00179676687262</v>
      </c>
      <c r="DE23" s="9">
        <f t="shared" si="27"/>
        <v>-230.57730012324674</v>
      </c>
      <c r="DF23" s="9">
        <f t="shared" si="27"/>
        <v>-236.61750252276374</v>
      </c>
      <c r="DG23" s="9">
        <f t="shared" si="27"/>
        <v>-253.728108664351</v>
      </c>
      <c r="DH23" s="9">
        <f t="shared" si="27"/>
        <v>-255.13418856718999</v>
      </c>
      <c r="DI23" s="9">
        <f t="shared" si="27"/>
        <v>-258.04536808433511</v>
      </c>
      <c r="DJ23" s="9">
        <f t="shared" si="27"/>
        <v>-129.87425356078663</v>
      </c>
      <c r="DK23" s="9">
        <f t="shared" si="27"/>
        <v>-223.26964541694514</v>
      </c>
      <c r="DL23" s="9">
        <f t="shared" si="27"/>
        <v>-224.35886224308578</v>
      </c>
      <c r="DM23" s="9">
        <f t="shared" si="27"/>
        <v>-219.34846484283179</v>
      </c>
      <c r="DN23" s="9">
        <f t="shared" si="27"/>
        <v>-139.67720499607228</v>
      </c>
      <c r="DO23" s="9">
        <f t="shared" si="27"/>
        <v>-128.82464461923107</v>
      </c>
      <c r="DP23" s="9">
        <f t="shared" ref="DP23:EC23" si="28">DP22-DP21</f>
        <v>-128.60680125400427</v>
      </c>
      <c r="DQ23" s="9">
        <f t="shared" si="28"/>
        <v>-128.66621308088412</v>
      </c>
      <c r="DR23" s="9">
        <f t="shared" si="28"/>
        <v>-98.88108387145563</v>
      </c>
      <c r="DS23" s="9">
        <f t="shared" si="28"/>
        <v>-99.316770601913646</v>
      </c>
      <c r="DT23" s="9">
        <f t="shared" si="28"/>
        <v>-99.138535121271943</v>
      </c>
      <c r="DU23" s="9">
        <f t="shared" si="28"/>
        <v>-81.572438306936334</v>
      </c>
      <c r="DV23" s="9">
        <f t="shared" si="28"/>
        <v>-81.572438306936334</v>
      </c>
      <c r="DW23" s="9">
        <f t="shared" si="28"/>
        <v>-59.075159861516902</v>
      </c>
      <c r="DX23" s="9">
        <f t="shared" si="28"/>
        <v>-59.075159861516902</v>
      </c>
      <c r="DY23" s="9">
        <f t="shared" si="28"/>
        <v>-39.489060933242584</v>
      </c>
      <c r="DZ23" s="9">
        <f t="shared" si="28"/>
        <v>-39.607884587004463</v>
      </c>
      <c r="EA23" s="9">
        <f t="shared" si="28"/>
        <v>-39.607884587004463</v>
      </c>
      <c r="EB23" s="9">
        <f t="shared" si="28"/>
        <v>-19.803942293503336</v>
      </c>
      <c r="EC23" s="9">
        <f t="shared" si="28"/>
        <v>-19.803942293503336</v>
      </c>
    </row>
    <row r="24" spans="1:134" x14ac:dyDescent="0.25">
      <c r="A24" s="235"/>
      <c r="B24" s="235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5"/>
      <c r="BG24" s="235"/>
      <c r="BH24" s="235"/>
      <c r="BI24" s="235"/>
      <c r="BJ24" s="235"/>
      <c r="BK24" s="235"/>
      <c r="BL24" s="235"/>
      <c r="BM24" s="235"/>
      <c r="BN24" s="235"/>
      <c r="BO24" s="235"/>
      <c r="BP24" s="235"/>
      <c r="BQ24" s="235"/>
      <c r="BR24" s="235"/>
      <c r="BS24" s="235"/>
      <c r="BT24" s="235"/>
      <c r="BU24" s="235"/>
      <c r="BV24" s="235"/>
      <c r="BW24" s="235"/>
      <c r="BX24" s="235"/>
      <c r="BY24" s="235"/>
      <c r="BZ24" s="235"/>
      <c r="CA24" s="235"/>
      <c r="CB24" s="235"/>
      <c r="CC24" s="235"/>
      <c r="CD24" s="235"/>
      <c r="CE24" s="235"/>
      <c r="CF24" s="235"/>
      <c r="CG24" s="235"/>
      <c r="CH24" s="235"/>
      <c r="CI24" s="235"/>
      <c r="CJ24" s="235"/>
      <c r="CK24" s="235"/>
      <c r="CL24" s="235"/>
      <c r="CM24" s="235"/>
      <c r="CN24" s="235"/>
      <c r="CO24" s="235"/>
      <c r="CP24" s="235"/>
      <c r="CQ24" s="235"/>
      <c r="CR24" s="235"/>
      <c r="CS24" s="235"/>
      <c r="CT24" s="235"/>
      <c r="CU24" s="235"/>
      <c r="CV24" s="235"/>
      <c r="CW24" s="235"/>
      <c r="CX24" s="235"/>
      <c r="CY24" s="235"/>
      <c r="CZ24" s="235"/>
      <c r="DA24" s="235"/>
      <c r="DB24" s="235"/>
      <c r="DC24" s="235"/>
      <c r="DD24" s="235"/>
      <c r="DE24" s="235"/>
      <c r="DF24" s="235"/>
      <c r="DG24" s="235"/>
      <c r="DH24" s="235"/>
      <c r="DI24" s="235"/>
      <c r="DJ24" s="235"/>
      <c r="DK24" s="235"/>
      <c r="DL24" s="235"/>
      <c r="DM24" s="235"/>
      <c r="DN24" s="235"/>
      <c r="DO24" s="235"/>
      <c r="DP24" s="235"/>
      <c r="DQ24" s="235"/>
      <c r="DR24" s="235"/>
      <c r="DS24" s="235"/>
      <c r="DT24" s="235"/>
      <c r="DU24" s="235"/>
      <c r="DV24" s="235"/>
      <c r="DW24" s="235"/>
      <c r="DX24" s="235"/>
      <c r="DY24" s="235"/>
      <c r="DZ24" s="235"/>
      <c r="EA24" s="235"/>
      <c r="EB24" s="235"/>
      <c r="EC24" s="235"/>
    </row>
    <row r="25" spans="1:134" x14ac:dyDescent="0.25">
      <c r="A25" s="391" t="s">
        <v>536</v>
      </c>
      <c r="BK25" s="2">
        <v>274</v>
      </c>
      <c r="BL25" s="2">
        <v>271</v>
      </c>
      <c r="BM25" s="2">
        <v>274</v>
      </c>
      <c r="BN25" s="2">
        <v>276</v>
      </c>
      <c r="BO25" s="2">
        <v>277</v>
      </c>
      <c r="BP25" s="2">
        <v>286</v>
      </c>
      <c r="BQ25" s="2">
        <v>288</v>
      </c>
      <c r="BR25" s="2">
        <v>285</v>
      </c>
      <c r="BS25" s="2">
        <v>279</v>
      </c>
      <c r="BT25" s="2">
        <v>273</v>
      </c>
      <c r="BU25" s="2">
        <v>273</v>
      </c>
      <c r="BV25" s="2">
        <v>261</v>
      </c>
      <c r="BW25" s="2">
        <v>258</v>
      </c>
      <c r="BX25" s="2">
        <v>251</v>
      </c>
      <c r="BY25" s="2">
        <v>254</v>
      </c>
      <c r="BZ25" s="2">
        <v>267</v>
      </c>
      <c r="CA25" s="2">
        <v>283</v>
      </c>
      <c r="CB25" s="2">
        <v>291</v>
      </c>
      <c r="CC25" s="2">
        <v>306</v>
      </c>
      <c r="CD25" s="2">
        <v>317</v>
      </c>
      <c r="CE25" s="2">
        <v>327</v>
      </c>
      <c r="CF25" s="2">
        <v>330</v>
      </c>
      <c r="CG25" s="2">
        <v>348</v>
      </c>
    </row>
    <row r="26" spans="1:134" x14ac:dyDescent="0.25">
      <c r="A26" s="27"/>
    </row>
    <row r="28" spans="1:134" x14ac:dyDescent="0.25">
      <c r="A28" s="27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134" x14ac:dyDescent="0.25">
      <c r="A29" s="27"/>
      <c r="BL29" s="9"/>
    </row>
    <row r="31" spans="1:134" x14ac:dyDescent="0.25">
      <c r="A31" s="27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</row>
    <row r="32" spans="1:134" x14ac:dyDescent="0.25">
      <c r="A32" s="27"/>
    </row>
    <row r="41" spans="1:134" s="356" customForma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</row>
    <row r="42" spans="1:134" s="222" customForma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</row>
    <row r="43" spans="1:134" s="222" customFormat="1" x14ac:dyDescent="0.25">
      <c r="A43" s="359" t="s">
        <v>528</v>
      </c>
      <c r="B43" s="356"/>
      <c r="C43" s="356"/>
      <c r="D43" s="356"/>
      <c r="E43" s="356"/>
      <c r="F43" s="356"/>
      <c r="G43" s="356"/>
      <c r="H43" s="356"/>
      <c r="I43" s="356"/>
      <c r="J43" s="356"/>
      <c r="K43" s="356"/>
      <c r="L43" s="356"/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  <c r="AG43" s="356"/>
      <c r="AH43" s="356"/>
      <c r="AI43" s="356"/>
      <c r="AJ43" s="356"/>
      <c r="AK43" s="356"/>
      <c r="AL43" s="356"/>
      <c r="AM43" s="356"/>
      <c r="AN43" s="356"/>
      <c r="AO43" s="356"/>
      <c r="AP43" s="356"/>
      <c r="AQ43" s="356"/>
      <c r="AR43" s="356"/>
      <c r="AS43" s="356"/>
      <c r="AT43" s="356"/>
      <c r="AU43" s="356"/>
      <c r="AV43" s="356"/>
      <c r="AW43" s="356"/>
      <c r="AX43" s="356"/>
      <c r="AY43" s="356"/>
      <c r="AZ43" s="356"/>
      <c r="BA43" s="356"/>
      <c r="BB43" s="356"/>
      <c r="BC43" s="356"/>
      <c r="BD43" s="356"/>
      <c r="BE43" s="357">
        <v>44492</v>
      </c>
      <c r="BF43" s="363">
        <v>44499</v>
      </c>
      <c r="BG43" s="363">
        <v>44506</v>
      </c>
      <c r="BH43" s="363">
        <v>44513</v>
      </c>
      <c r="BI43" s="363">
        <v>44520</v>
      </c>
      <c r="BJ43" s="363">
        <v>44527</v>
      </c>
      <c r="BK43" s="363">
        <v>44534</v>
      </c>
      <c r="BL43" s="363">
        <v>44541</v>
      </c>
      <c r="BM43" s="363">
        <v>44548</v>
      </c>
      <c r="BN43" s="363">
        <v>44555</v>
      </c>
      <c r="BO43" s="363">
        <v>44562</v>
      </c>
      <c r="BP43" s="363">
        <v>44569</v>
      </c>
      <c r="BQ43" s="363">
        <v>44576</v>
      </c>
      <c r="BR43" s="363">
        <v>44583</v>
      </c>
      <c r="BS43" s="363">
        <v>44590</v>
      </c>
      <c r="BT43" s="363">
        <v>44597</v>
      </c>
      <c r="BU43" s="363">
        <v>44604</v>
      </c>
      <c r="BV43" s="363">
        <v>44611</v>
      </c>
      <c r="BW43" s="363">
        <v>44618</v>
      </c>
      <c r="BX43" s="363">
        <v>44625</v>
      </c>
      <c r="BY43" s="363">
        <v>44632</v>
      </c>
      <c r="BZ43" s="363">
        <v>44639</v>
      </c>
      <c r="CA43" s="363">
        <v>44646</v>
      </c>
      <c r="CB43" s="363">
        <v>44653</v>
      </c>
      <c r="CC43" s="363">
        <v>44660</v>
      </c>
      <c r="CD43" s="363">
        <v>44667</v>
      </c>
      <c r="CE43" s="363">
        <v>44674</v>
      </c>
      <c r="CF43" s="363">
        <v>44681</v>
      </c>
      <c r="CG43" s="363">
        <v>44688</v>
      </c>
      <c r="CH43" s="363">
        <v>44695</v>
      </c>
      <c r="CI43" s="363">
        <v>44702</v>
      </c>
      <c r="CJ43" s="363">
        <v>44709</v>
      </c>
      <c r="CK43" s="363">
        <v>44716</v>
      </c>
      <c r="CL43" s="363">
        <v>44723</v>
      </c>
      <c r="CM43" s="363">
        <v>44730</v>
      </c>
      <c r="CN43" s="363">
        <v>44737</v>
      </c>
      <c r="CO43" s="363">
        <v>44744</v>
      </c>
      <c r="CP43" s="363">
        <v>44751</v>
      </c>
      <c r="CQ43" s="363">
        <v>44758</v>
      </c>
      <c r="CR43" s="363">
        <v>44765</v>
      </c>
      <c r="CS43" s="363">
        <v>44772</v>
      </c>
      <c r="CT43" s="363">
        <v>44779</v>
      </c>
      <c r="CU43" s="363">
        <v>44786</v>
      </c>
      <c r="CV43" s="363">
        <v>44793</v>
      </c>
      <c r="CW43" s="363">
        <v>44800</v>
      </c>
      <c r="CX43" s="363">
        <v>44807</v>
      </c>
      <c r="CY43" s="363">
        <v>44814</v>
      </c>
      <c r="CZ43" s="363">
        <v>44821</v>
      </c>
      <c r="DA43" s="363">
        <v>44828</v>
      </c>
      <c r="DB43" s="363">
        <v>44835</v>
      </c>
      <c r="DC43" s="363">
        <v>44842</v>
      </c>
      <c r="DD43" s="363">
        <v>44849</v>
      </c>
      <c r="DE43" s="363">
        <v>44856</v>
      </c>
      <c r="DF43" s="363">
        <v>44863</v>
      </c>
      <c r="DG43" s="363">
        <v>44870</v>
      </c>
      <c r="DH43" s="363">
        <v>44877</v>
      </c>
      <c r="DI43" s="363">
        <v>44884</v>
      </c>
      <c r="DJ43" s="363">
        <v>44891</v>
      </c>
      <c r="DK43" s="363">
        <v>44898</v>
      </c>
      <c r="DL43" s="363">
        <v>44905</v>
      </c>
      <c r="DM43" s="363">
        <v>44912</v>
      </c>
      <c r="DN43" s="363">
        <v>44919</v>
      </c>
      <c r="DO43" s="363">
        <v>44926</v>
      </c>
      <c r="DP43" s="363">
        <v>44933</v>
      </c>
      <c r="DQ43" s="363">
        <v>44940</v>
      </c>
      <c r="DR43" s="363">
        <v>44947</v>
      </c>
      <c r="DS43" s="363">
        <v>44954</v>
      </c>
      <c r="DT43" s="363">
        <v>44961</v>
      </c>
      <c r="DU43" s="363">
        <v>44968</v>
      </c>
      <c r="DV43" s="363">
        <v>44975</v>
      </c>
      <c r="DW43" s="363">
        <v>44982</v>
      </c>
      <c r="DX43" s="363">
        <v>44989</v>
      </c>
      <c r="DY43" s="363">
        <v>44996</v>
      </c>
      <c r="DZ43" s="363">
        <v>45003</v>
      </c>
      <c r="EA43" s="363">
        <v>45010</v>
      </c>
      <c r="EB43" s="363">
        <v>45017</v>
      </c>
      <c r="EC43" s="363">
        <v>45024</v>
      </c>
      <c r="ED43" s="356"/>
    </row>
    <row r="44" spans="1:134" x14ac:dyDescent="0.25">
      <c r="A44" s="360" t="s">
        <v>518</v>
      </c>
      <c r="B44" s="222"/>
      <c r="C44" s="222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222"/>
      <c r="AY44" s="222"/>
      <c r="AZ44" s="222"/>
      <c r="BA44" s="222"/>
      <c r="BB44" s="222"/>
      <c r="BC44" s="222"/>
      <c r="BD44" s="222"/>
      <c r="BE44" s="358"/>
      <c r="BF44" s="364">
        <v>7.6415447699404648E-3</v>
      </c>
      <c r="BG44" s="364">
        <v>8.0530694318495452E-3</v>
      </c>
      <c r="BH44" s="364">
        <v>8.5496096676260687E-3</v>
      </c>
      <c r="BI44" s="364">
        <v>8.5496096676260687E-3</v>
      </c>
      <c r="BJ44" s="364">
        <v>5.1292729566691639E-3</v>
      </c>
      <c r="BK44" s="364">
        <v>8.5496096676260687E-3</v>
      </c>
      <c r="BL44" s="364">
        <v>8.6247683633639549E-3</v>
      </c>
      <c r="BM44" s="364">
        <v>9.0054902811181649E-3</v>
      </c>
      <c r="BN44" s="364">
        <v>7.3285888893269728E-3</v>
      </c>
      <c r="BO44" s="364">
        <v>7.4887631589323029E-3</v>
      </c>
      <c r="BP44" s="364">
        <v>1.0497575207980128E-2</v>
      </c>
      <c r="BQ44" s="364">
        <v>1.0497575207980128E-2</v>
      </c>
      <c r="BR44" s="364">
        <v>1.1267643811851909E-2</v>
      </c>
      <c r="BS44" s="364">
        <v>1.1656990497969482E-2</v>
      </c>
      <c r="BT44" s="364">
        <v>1.171736387651303E-2</v>
      </c>
      <c r="BU44" s="364">
        <v>1.1044631944170642E-2</v>
      </c>
      <c r="BV44" s="364">
        <v>1.0830244844852737E-2</v>
      </c>
      <c r="BW44" s="364">
        <v>1.2116567440760163E-2</v>
      </c>
      <c r="BX44" s="364">
        <v>1.1748166620667902E-2</v>
      </c>
      <c r="BY44" s="364">
        <v>1.2534252651500218E-2</v>
      </c>
      <c r="BZ44" s="364">
        <v>1.2534252651500218E-2</v>
      </c>
      <c r="CA44" s="364">
        <v>1.2534252651500218E-2</v>
      </c>
      <c r="CB44" s="364">
        <v>1.229645546662461E-2</v>
      </c>
      <c r="CC44" s="364">
        <v>1.1939143634428103E-2</v>
      </c>
      <c r="CD44" s="364">
        <v>9.1989315144107558E-3</v>
      </c>
      <c r="CE44" s="364">
        <v>1.1690257461656745E-2</v>
      </c>
      <c r="CF44" s="364">
        <v>1.2226225209951504E-2</v>
      </c>
      <c r="CG44" s="364">
        <v>1.2535484761266412E-2</v>
      </c>
      <c r="CH44" s="364">
        <v>1.2600786578874739E-2</v>
      </c>
      <c r="CI44" s="364">
        <v>1.2618036115601467E-2</v>
      </c>
      <c r="CJ44" s="364">
        <v>1.266978472578165E-2</v>
      </c>
      <c r="CK44" s="364">
        <v>1.0182155107834247E-2</v>
      </c>
      <c r="CL44" s="364">
        <v>1.2896492922761503E-2</v>
      </c>
      <c r="CM44" s="364">
        <v>1.1615098765918859E-2</v>
      </c>
      <c r="CN44" s="364">
        <v>1.1892323463312699E-2</v>
      </c>
      <c r="CO44" s="364">
        <v>1.3486673500768837E-2</v>
      </c>
      <c r="CP44" s="364">
        <v>1.1403175886133344E-2</v>
      </c>
      <c r="CQ44" s="364">
        <v>1.4186511847967511E-2</v>
      </c>
      <c r="CR44" s="364">
        <v>1.4418148484012143E-2</v>
      </c>
      <c r="CS44" s="364">
        <v>1.452657414343729E-2</v>
      </c>
      <c r="CT44" s="364">
        <v>1.416063754287742E-2</v>
      </c>
      <c r="CU44" s="364">
        <v>1.3309249694436778E-2</v>
      </c>
      <c r="CV44" s="364">
        <v>1.3749112880968339E-2</v>
      </c>
      <c r="CW44" s="364">
        <v>1.3804557820447108E-2</v>
      </c>
      <c r="CX44" s="364">
        <v>1.5258447344557032E-2</v>
      </c>
      <c r="CY44" s="364">
        <v>1.2451701297165161E-2</v>
      </c>
      <c r="CZ44" s="364">
        <v>1.3696132161021961E-2</v>
      </c>
      <c r="DA44" s="364">
        <v>1.3544582659779994E-2</v>
      </c>
      <c r="DB44" s="364">
        <v>1.2866922288372827E-2</v>
      </c>
      <c r="DC44" s="364">
        <v>1.209808579426724E-2</v>
      </c>
      <c r="DD44" s="364">
        <v>1.0182155107834247E-2</v>
      </c>
      <c r="DE44" s="364">
        <v>1.1055720932066396E-2</v>
      </c>
      <c r="DF44" s="364">
        <v>1.0599840318574302E-2</v>
      </c>
      <c r="DG44" s="364">
        <v>1.1398247447068565E-2</v>
      </c>
      <c r="DH44" s="364">
        <v>1.320328825454402E-2</v>
      </c>
      <c r="DI44" s="364">
        <v>1.3597563379726374E-2</v>
      </c>
      <c r="DJ44" s="364">
        <v>7.9754465165792696E-3</v>
      </c>
      <c r="DK44" s="364">
        <v>1.3862466979458267E-2</v>
      </c>
      <c r="DL44" s="364">
        <v>1.4524109923904901E-2</v>
      </c>
      <c r="DM44" s="364">
        <v>1.4202529274928044E-2</v>
      </c>
      <c r="DN44" s="364">
        <v>1.1302142885305367E-2</v>
      </c>
      <c r="DO44" s="364">
        <v>1.1449996057248748E-2</v>
      </c>
      <c r="DP44" s="364">
        <v>1.1573207033868233E-2</v>
      </c>
      <c r="DQ44" s="364">
        <v>1.2401184796751173E-2</v>
      </c>
      <c r="DR44" s="364">
        <v>1.1281197019280053E-2</v>
      </c>
      <c r="DS44" s="364">
        <v>8.5680913141189929E-3</v>
      </c>
      <c r="DT44" s="364">
        <v>7.1955210345779281E-3</v>
      </c>
      <c r="DU44" s="364">
        <v>3.7665595552576589E-3</v>
      </c>
      <c r="DV44" s="364">
        <v>3.7665595552576589E-3</v>
      </c>
      <c r="DW44" s="364">
        <v>3.4856385285652329E-3</v>
      </c>
      <c r="DX44" s="364">
        <v>2.7697827544060243E-3</v>
      </c>
      <c r="DY44" s="364">
        <v>2.3262232385758783E-3</v>
      </c>
      <c r="DZ44" s="364">
        <v>2.3262232385758783E-3</v>
      </c>
      <c r="EA44" s="364">
        <v>2.3262232385758783E-3</v>
      </c>
      <c r="EB44" s="364">
        <v>1.9812325040413198E-3</v>
      </c>
      <c r="EC44" s="364">
        <v>1.0078657887473879E-3</v>
      </c>
      <c r="ED44" s="222"/>
    </row>
    <row r="45" spans="1:134" x14ac:dyDescent="0.25">
      <c r="A45" s="361" t="s">
        <v>519</v>
      </c>
      <c r="B45" s="222"/>
      <c r="C45" s="222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  <c r="AA45" s="222"/>
      <c r="AB45" s="222"/>
      <c r="AC45" s="222"/>
      <c r="AD45" s="222"/>
      <c r="AE45" s="222"/>
      <c r="AF45" s="222"/>
      <c r="AG45" s="222"/>
      <c r="AH45" s="222"/>
      <c r="AI45" s="222"/>
      <c r="AJ45" s="222"/>
      <c r="AK45" s="222"/>
      <c r="AL45" s="222"/>
      <c r="AM45" s="222"/>
      <c r="AN45" s="222"/>
      <c r="AO45" s="222"/>
      <c r="AP45" s="222"/>
      <c r="AQ45" s="222"/>
      <c r="AR45" s="222"/>
      <c r="AS45" s="222"/>
      <c r="AT45" s="222"/>
      <c r="AU45" s="222"/>
      <c r="AV45" s="222"/>
      <c r="AW45" s="222"/>
      <c r="AX45" s="222"/>
      <c r="AY45" s="222"/>
      <c r="AZ45" s="222"/>
      <c r="BA45" s="222"/>
      <c r="BB45" s="222"/>
      <c r="BC45" s="222"/>
      <c r="BD45" s="222"/>
      <c r="BE45" s="358"/>
      <c r="BF45" s="364">
        <v>0.21428606631707606</v>
      </c>
      <c r="BG45" s="364">
        <v>0.22233913574892561</v>
      </c>
      <c r="BH45" s="364">
        <v>0.23088874541655166</v>
      </c>
      <c r="BI45" s="364">
        <v>0.23943835508417774</v>
      </c>
      <c r="BJ45" s="364">
        <v>0.24456762804084689</v>
      </c>
      <c r="BK45" s="364">
        <v>0.253117237708473</v>
      </c>
      <c r="BL45" s="364">
        <v>0.26174200607183695</v>
      </c>
      <c r="BM45" s="364">
        <v>0.27074749635295509</v>
      </c>
      <c r="BN45" s="364">
        <v>0.27807608524228206</v>
      </c>
      <c r="BO45" s="364">
        <v>0.28556484840121438</v>
      </c>
      <c r="BP45" s="364">
        <v>0.29606242360919449</v>
      </c>
      <c r="BQ45" s="364">
        <v>0.30655999881717461</v>
      </c>
      <c r="BR45" s="364">
        <v>0.31782764262902652</v>
      </c>
      <c r="BS45" s="364">
        <v>0.329484633126996</v>
      </c>
      <c r="BT45" s="364">
        <v>0.34120199700350906</v>
      </c>
      <c r="BU45" s="364">
        <v>0.35224662894767972</v>
      </c>
      <c r="BV45" s="364">
        <v>0.36307687379253245</v>
      </c>
      <c r="BW45" s="364">
        <v>0.37519344123329257</v>
      </c>
      <c r="BX45" s="364">
        <v>0.38694160785396048</v>
      </c>
      <c r="BY45" s="364">
        <v>0.39947586050546069</v>
      </c>
      <c r="BZ45" s="364">
        <v>0.4120101131569609</v>
      </c>
      <c r="CA45" s="364">
        <v>0.42454436580846117</v>
      </c>
      <c r="CB45" s="364">
        <v>0.43684082127508578</v>
      </c>
      <c r="CC45" s="364">
        <v>0.44877996490951388</v>
      </c>
      <c r="CD45" s="364">
        <v>0.45797889642392464</v>
      </c>
      <c r="CE45" s="364">
        <v>0.46966915388558134</v>
      </c>
      <c r="CF45" s="364">
        <v>0.48189537909553287</v>
      </c>
      <c r="CG45" s="364">
        <v>0.4944308638567993</v>
      </c>
      <c r="CH45" s="364">
        <v>0.507031650435674</v>
      </c>
      <c r="CI45" s="364">
        <v>0.51964968655127552</v>
      </c>
      <c r="CJ45" s="364">
        <v>0.53231947127705714</v>
      </c>
      <c r="CK45" s="364">
        <v>0.54250162638489141</v>
      </c>
      <c r="CL45" s="364">
        <v>0.55539811930765293</v>
      </c>
      <c r="CM45" s="364">
        <v>0.56701321807357175</v>
      </c>
      <c r="CN45" s="364">
        <v>0.57890554153688445</v>
      </c>
      <c r="CO45" s="364">
        <v>0.59239221503765327</v>
      </c>
      <c r="CP45" s="364">
        <v>0.60379539092378665</v>
      </c>
      <c r="CQ45" s="364">
        <v>0.61798190277175413</v>
      </c>
      <c r="CR45" s="364">
        <v>0.63240005125576626</v>
      </c>
      <c r="CS45" s="364">
        <v>0.64692662539920354</v>
      </c>
      <c r="CT45" s="364">
        <v>0.66108726294208098</v>
      </c>
      <c r="CU45" s="364">
        <v>0.67439651263651779</v>
      </c>
      <c r="CV45" s="364">
        <v>0.68814562551748615</v>
      </c>
      <c r="CW45" s="364">
        <v>0.70195018333793324</v>
      </c>
      <c r="CX45" s="364">
        <v>0.71720863068249019</v>
      </c>
      <c r="CY45" s="364">
        <v>0.72966033197965541</v>
      </c>
      <c r="CZ45" s="364">
        <v>0.74335646414067735</v>
      </c>
      <c r="DA45" s="364">
        <v>0.75690104680045733</v>
      </c>
      <c r="DB45" s="364">
        <v>0.76976796908883016</v>
      </c>
      <c r="DC45" s="364">
        <v>0.78186605488309746</v>
      </c>
      <c r="DD45" s="364">
        <v>0.79204820999093162</v>
      </c>
      <c r="DE45" s="364">
        <v>0.80310393092299803</v>
      </c>
      <c r="DF45" s="364">
        <v>0.81370377124157234</v>
      </c>
      <c r="DG45" s="364">
        <v>0.82510201868864097</v>
      </c>
      <c r="DH45" s="364">
        <v>0.83830530694318495</v>
      </c>
      <c r="DI45" s="364">
        <v>0.85190287032291134</v>
      </c>
      <c r="DJ45" s="364">
        <v>0.85987831683949056</v>
      </c>
      <c r="DK45" s="364">
        <v>0.87374078381894882</v>
      </c>
      <c r="DL45" s="364">
        <v>0.88826489374285378</v>
      </c>
      <c r="DM45" s="364">
        <v>0.90246742301778182</v>
      </c>
      <c r="DN45" s="364">
        <v>0.91376956590308722</v>
      </c>
      <c r="DO45" s="364">
        <v>0.92521956196033595</v>
      </c>
      <c r="DP45" s="364">
        <v>0.93679276899420416</v>
      </c>
      <c r="DQ45" s="364">
        <v>0.94919395379095528</v>
      </c>
      <c r="DR45" s="364">
        <v>0.96047515081023538</v>
      </c>
      <c r="DS45" s="364">
        <v>0.96904324212435433</v>
      </c>
      <c r="DT45" s="364">
        <v>0.97623876315893232</v>
      </c>
      <c r="DU45" s="364">
        <v>0.98000532271418994</v>
      </c>
      <c r="DV45" s="364">
        <v>0.98377188226944767</v>
      </c>
      <c r="DW45" s="364">
        <v>0.98725752079801288</v>
      </c>
      <c r="DX45" s="364">
        <v>0.99002730355241886</v>
      </c>
      <c r="DY45" s="364">
        <v>0.99235352679099476</v>
      </c>
      <c r="DZ45" s="364">
        <v>0.99467975002957065</v>
      </c>
      <c r="EA45" s="364">
        <v>0.99700597326814655</v>
      </c>
      <c r="EB45" s="364">
        <v>0.9989872057721878</v>
      </c>
      <c r="EC45" s="364">
        <v>0.99999507156093526</v>
      </c>
      <c r="ED45" s="222"/>
    </row>
    <row r="46" spans="1:134" x14ac:dyDescent="0.25">
      <c r="A46" s="361" t="s">
        <v>520</v>
      </c>
      <c r="BE46" s="354">
        <v>167716</v>
      </c>
      <c r="BF46" s="365">
        <v>173918</v>
      </c>
      <c r="BG46" s="365">
        <v>180454</v>
      </c>
      <c r="BH46" s="365">
        <v>187393</v>
      </c>
      <c r="BI46" s="365">
        <v>194332</v>
      </c>
      <c r="BJ46" s="365">
        <v>198495</v>
      </c>
      <c r="BK46" s="365">
        <v>205434</v>
      </c>
      <c r="BL46" s="365">
        <v>212434</v>
      </c>
      <c r="BM46" s="365">
        <v>219743</v>
      </c>
      <c r="BN46" s="365">
        <v>225691</v>
      </c>
      <c r="BO46" s="365">
        <v>231769</v>
      </c>
      <c r="BP46" s="365">
        <v>240289</v>
      </c>
      <c r="BQ46" s="365">
        <v>248809</v>
      </c>
      <c r="BR46" s="365">
        <v>257954</v>
      </c>
      <c r="BS46" s="365">
        <v>267415</v>
      </c>
      <c r="BT46" s="365">
        <v>276925</v>
      </c>
      <c r="BU46" s="365">
        <v>285889</v>
      </c>
      <c r="BV46" s="365">
        <v>294679</v>
      </c>
      <c r="BW46" s="365">
        <v>304513</v>
      </c>
      <c r="BX46" s="365">
        <v>314048</v>
      </c>
      <c r="BY46" s="365">
        <v>324221</v>
      </c>
      <c r="BZ46" s="365">
        <v>334394</v>
      </c>
      <c r="CA46" s="365">
        <v>344567</v>
      </c>
      <c r="CB46" s="365">
        <v>354547</v>
      </c>
      <c r="CC46" s="365">
        <v>364237</v>
      </c>
      <c r="CD46" s="365">
        <v>371703</v>
      </c>
      <c r="CE46" s="365">
        <v>381191</v>
      </c>
      <c r="CF46" s="365">
        <v>391114</v>
      </c>
      <c r="CG46" s="365">
        <v>401288</v>
      </c>
      <c r="CH46" s="365">
        <v>411515</v>
      </c>
      <c r="CI46" s="365">
        <v>421756</v>
      </c>
      <c r="CJ46" s="365">
        <v>432039</v>
      </c>
      <c r="CK46" s="365">
        <v>440303</v>
      </c>
      <c r="CL46" s="365">
        <v>450770</v>
      </c>
      <c r="CM46" s="365">
        <v>460197</v>
      </c>
      <c r="CN46" s="365">
        <v>469849</v>
      </c>
      <c r="CO46" s="365">
        <v>480795</v>
      </c>
      <c r="CP46" s="365">
        <v>490050</v>
      </c>
      <c r="CQ46" s="365">
        <v>501564</v>
      </c>
      <c r="CR46" s="365">
        <v>513266</v>
      </c>
      <c r="CS46" s="365">
        <v>525056</v>
      </c>
      <c r="CT46" s="365">
        <v>536549</v>
      </c>
      <c r="CU46" s="365">
        <v>547351</v>
      </c>
      <c r="CV46" s="365">
        <v>558510</v>
      </c>
      <c r="CW46" s="365">
        <v>569714</v>
      </c>
      <c r="CX46" s="365">
        <v>582098</v>
      </c>
      <c r="CY46" s="365">
        <v>592204</v>
      </c>
      <c r="CZ46" s="365">
        <v>603320</v>
      </c>
      <c r="DA46" s="365">
        <v>614313</v>
      </c>
      <c r="DB46" s="365">
        <v>624756</v>
      </c>
      <c r="DC46" s="365">
        <v>634575</v>
      </c>
      <c r="DD46" s="365">
        <v>642839</v>
      </c>
      <c r="DE46" s="365">
        <v>651812</v>
      </c>
      <c r="DF46" s="365">
        <v>660415</v>
      </c>
      <c r="DG46" s="365">
        <v>669666</v>
      </c>
      <c r="DH46" s="365">
        <v>680382</v>
      </c>
      <c r="DI46" s="365">
        <v>691418</v>
      </c>
      <c r="DJ46" s="365">
        <v>697891</v>
      </c>
      <c r="DK46" s="365">
        <v>709142</v>
      </c>
      <c r="DL46" s="365">
        <v>720930</v>
      </c>
      <c r="DM46" s="365">
        <v>732457</v>
      </c>
      <c r="DN46" s="365">
        <v>741630</v>
      </c>
      <c r="DO46" s="365">
        <v>750923</v>
      </c>
      <c r="DP46" s="365">
        <v>760316</v>
      </c>
      <c r="DQ46" s="365">
        <v>770381</v>
      </c>
      <c r="DR46" s="365">
        <v>779537</v>
      </c>
      <c r="DS46" s="365">
        <v>786491</v>
      </c>
      <c r="DT46" s="365">
        <v>792331</v>
      </c>
      <c r="DU46" s="365">
        <v>795388</v>
      </c>
      <c r="DV46" s="365">
        <v>798445</v>
      </c>
      <c r="DW46" s="365">
        <v>801274</v>
      </c>
      <c r="DX46" s="365">
        <v>803522</v>
      </c>
      <c r="DY46" s="365">
        <v>805410</v>
      </c>
      <c r="DZ46" s="365">
        <v>807298</v>
      </c>
      <c r="EA46" s="365">
        <v>809186</v>
      </c>
      <c r="EB46" s="365">
        <v>810794</v>
      </c>
      <c r="EC46" s="365">
        <v>811612</v>
      </c>
    </row>
    <row r="47" spans="1:134" s="222" customFormat="1" x14ac:dyDescent="0.25">
      <c r="A47" s="362" t="s">
        <v>521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354"/>
      <c r="BF47" s="365">
        <v>124.04</v>
      </c>
      <c r="BG47" s="365">
        <v>130.72</v>
      </c>
      <c r="BH47" s="365">
        <v>138.78</v>
      </c>
      <c r="BI47" s="365">
        <v>138.78</v>
      </c>
      <c r="BJ47" s="365">
        <v>83.26</v>
      </c>
      <c r="BK47" s="365">
        <v>138.78</v>
      </c>
      <c r="BL47" s="365">
        <v>140</v>
      </c>
      <c r="BM47" s="365">
        <v>146.18</v>
      </c>
      <c r="BN47" s="365">
        <v>118.96</v>
      </c>
      <c r="BO47" s="365">
        <v>121.56</v>
      </c>
      <c r="BP47" s="365">
        <v>170.4</v>
      </c>
      <c r="BQ47" s="365">
        <v>170.4</v>
      </c>
      <c r="BR47" s="365">
        <v>182.9</v>
      </c>
      <c r="BS47" s="365">
        <v>189.22</v>
      </c>
      <c r="BT47" s="365">
        <v>190.2</v>
      </c>
      <c r="BU47" s="365">
        <v>179.28</v>
      </c>
      <c r="BV47" s="365">
        <v>175.8</v>
      </c>
      <c r="BW47" s="365">
        <v>196.68</v>
      </c>
      <c r="BX47" s="365">
        <v>190.7</v>
      </c>
      <c r="BY47" s="365">
        <v>203.46</v>
      </c>
      <c r="BZ47" s="365">
        <v>203.46</v>
      </c>
      <c r="CA47" s="365">
        <v>203.46</v>
      </c>
      <c r="CB47" s="365">
        <v>199.6</v>
      </c>
      <c r="CC47" s="365">
        <v>193.8</v>
      </c>
      <c r="CD47" s="365">
        <v>149.32</v>
      </c>
      <c r="CE47" s="365">
        <v>189.76</v>
      </c>
      <c r="CF47" s="365">
        <v>198.46</v>
      </c>
      <c r="CG47" s="365">
        <v>203.48</v>
      </c>
      <c r="CH47" s="365">
        <v>204.54</v>
      </c>
      <c r="CI47" s="365">
        <v>204.82</v>
      </c>
      <c r="CJ47" s="365">
        <v>205.66</v>
      </c>
      <c r="CK47" s="365">
        <v>165.28</v>
      </c>
      <c r="CL47" s="365">
        <v>209.34</v>
      </c>
      <c r="CM47" s="365">
        <v>188.54</v>
      </c>
      <c r="CN47" s="365">
        <v>193.04</v>
      </c>
      <c r="CO47" s="365">
        <v>218.92</v>
      </c>
      <c r="CP47" s="365">
        <v>185.1</v>
      </c>
      <c r="CQ47" s="365">
        <v>230.28</v>
      </c>
      <c r="CR47" s="365">
        <v>234.04</v>
      </c>
      <c r="CS47" s="365">
        <v>235.8</v>
      </c>
      <c r="CT47" s="365">
        <v>229.86</v>
      </c>
      <c r="CU47" s="365">
        <v>216.04</v>
      </c>
      <c r="CV47" s="365">
        <v>223.18</v>
      </c>
      <c r="CW47" s="365">
        <v>224.08</v>
      </c>
      <c r="CX47" s="365">
        <v>247.68</v>
      </c>
      <c r="CY47" s="365">
        <v>202.12</v>
      </c>
      <c r="CZ47" s="365">
        <v>222.32</v>
      </c>
      <c r="DA47" s="365">
        <v>219.86</v>
      </c>
      <c r="DB47" s="365">
        <v>208.86</v>
      </c>
      <c r="DC47" s="365">
        <v>196.38</v>
      </c>
      <c r="DD47" s="365">
        <v>165.28</v>
      </c>
      <c r="DE47" s="365">
        <v>179.46</v>
      </c>
      <c r="DF47" s="365">
        <v>172.06</v>
      </c>
      <c r="DG47" s="365">
        <v>185.02</v>
      </c>
      <c r="DH47" s="365">
        <v>214.32</v>
      </c>
      <c r="DI47" s="365">
        <v>220.72</v>
      </c>
      <c r="DJ47" s="365">
        <v>129.46</v>
      </c>
      <c r="DK47" s="365">
        <v>225.02</v>
      </c>
      <c r="DL47" s="365">
        <v>235.76</v>
      </c>
      <c r="DM47" s="365">
        <v>230.54</v>
      </c>
      <c r="DN47" s="365">
        <v>183.46</v>
      </c>
      <c r="DO47" s="365">
        <v>185.86</v>
      </c>
      <c r="DP47" s="365">
        <v>187.86</v>
      </c>
      <c r="DQ47" s="365">
        <v>201.3</v>
      </c>
      <c r="DR47" s="365">
        <v>183.12</v>
      </c>
      <c r="DS47" s="365">
        <v>139.08000000000001</v>
      </c>
      <c r="DT47" s="365">
        <v>116.8</v>
      </c>
      <c r="DU47" s="365">
        <v>61.14</v>
      </c>
      <c r="DV47" s="365">
        <v>61.14</v>
      </c>
      <c r="DW47" s="365">
        <v>56.58</v>
      </c>
      <c r="DX47" s="365">
        <v>44.96</v>
      </c>
      <c r="DY47" s="365">
        <v>37.76</v>
      </c>
      <c r="DZ47" s="365">
        <v>37.76</v>
      </c>
      <c r="EA47" s="365">
        <v>37.76</v>
      </c>
      <c r="EB47" s="365">
        <v>32.159999999999997</v>
      </c>
      <c r="EC47" s="365">
        <v>16.36</v>
      </c>
      <c r="ED47" s="2"/>
    </row>
    <row r="48" spans="1:134" s="222" customFormat="1" x14ac:dyDescent="0.25">
      <c r="A48" s="36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354"/>
      <c r="BF48" s="365"/>
      <c r="BG48" s="365"/>
      <c r="BH48" s="365"/>
      <c r="BI48" s="365"/>
      <c r="BJ48" s="365"/>
      <c r="BK48" s="365"/>
      <c r="BL48" s="365"/>
      <c r="BM48" s="365"/>
      <c r="BN48" s="365"/>
      <c r="BO48" s="365"/>
      <c r="BP48" s="365"/>
      <c r="BQ48" s="365"/>
      <c r="BR48" s="365"/>
      <c r="BS48" s="365"/>
      <c r="BT48" s="365"/>
      <c r="BU48" s="365"/>
      <c r="BV48" s="365"/>
      <c r="BW48" s="365"/>
      <c r="BX48" s="365"/>
      <c r="BY48" s="365"/>
      <c r="BZ48" s="365"/>
      <c r="CA48" s="365"/>
      <c r="CB48" s="365"/>
      <c r="CC48" s="365"/>
      <c r="CD48" s="365"/>
      <c r="CE48" s="365"/>
      <c r="CF48" s="365"/>
      <c r="CG48" s="365"/>
      <c r="CH48" s="365"/>
      <c r="CI48" s="365"/>
      <c r="CJ48" s="365"/>
      <c r="CK48" s="365"/>
      <c r="CL48" s="365"/>
      <c r="CM48" s="365"/>
      <c r="CN48" s="365"/>
      <c r="CO48" s="365"/>
      <c r="CP48" s="365"/>
      <c r="CQ48" s="365"/>
      <c r="CR48" s="365"/>
      <c r="CS48" s="365"/>
      <c r="CT48" s="365"/>
      <c r="CU48" s="365"/>
      <c r="CV48" s="365"/>
      <c r="CW48" s="365"/>
      <c r="CX48" s="365"/>
      <c r="CY48" s="365"/>
      <c r="CZ48" s="365"/>
      <c r="DA48" s="365"/>
      <c r="DB48" s="365"/>
      <c r="DC48" s="365"/>
      <c r="DD48" s="365"/>
      <c r="DE48" s="365"/>
      <c r="DF48" s="365"/>
      <c r="DG48" s="365"/>
      <c r="DH48" s="365"/>
      <c r="DI48" s="365"/>
      <c r="DJ48" s="365"/>
      <c r="DK48" s="365"/>
      <c r="DL48" s="365"/>
      <c r="DM48" s="365"/>
      <c r="DN48" s="365"/>
      <c r="DO48" s="365"/>
      <c r="DP48" s="365"/>
      <c r="DQ48" s="365"/>
      <c r="DR48" s="365"/>
      <c r="DS48" s="365"/>
      <c r="DT48" s="365"/>
      <c r="DU48" s="365"/>
      <c r="DV48" s="365"/>
      <c r="DW48" s="365"/>
      <c r="DX48" s="365"/>
      <c r="DY48" s="365"/>
      <c r="DZ48" s="365"/>
      <c r="EA48" s="365"/>
      <c r="EB48" s="365"/>
      <c r="EC48" s="365"/>
      <c r="ED48" s="2"/>
    </row>
    <row r="49" spans="1:134" x14ac:dyDescent="0.25">
      <c r="A49" s="361" t="s">
        <v>522</v>
      </c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222"/>
      <c r="AP49" s="222"/>
      <c r="AQ49" s="222"/>
      <c r="AR49" s="222"/>
      <c r="AS49" s="222"/>
      <c r="AT49" s="222"/>
      <c r="AU49" s="222"/>
      <c r="AV49" s="222"/>
      <c r="AW49" s="222"/>
      <c r="AX49" s="222"/>
      <c r="AY49" s="222"/>
      <c r="AZ49" s="222"/>
      <c r="BA49" s="222"/>
      <c r="BB49" s="222"/>
      <c r="BC49" s="222"/>
      <c r="BD49" s="222"/>
      <c r="BE49" s="358"/>
      <c r="BF49" s="364">
        <v>8.2873650362082045E-3</v>
      </c>
      <c r="BG49" s="364">
        <v>8.4180805730569141E-3</v>
      </c>
      <c r="BH49" s="364">
        <v>9.5788345402734575E-3</v>
      </c>
      <c r="BI49" s="364">
        <v>9.5788345402734575E-3</v>
      </c>
      <c r="BJ49" s="364">
        <v>5.7723981072390265E-3</v>
      </c>
      <c r="BK49" s="364">
        <v>9.6415779979608374E-3</v>
      </c>
      <c r="BL49" s="364">
        <v>9.6415779979608374E-3</v>
      </c>
      <c r="BM49" s="364">
        <v>9.6938642127003209E-3</v>
      </c>
      <c r="BN49" s="364">
        <v>8.2193929570468748E-3</v>
      </c>
      <c r="BO49" s="364">
        <v>8.6167681890669517E-3</v>
      </c>
      <c r="BP49" s="364">
        <v>1.2480719458314816E-2</v>
      </c>
      <c r="BQ49" s="364">
        <v>1.2480719458314816E-2</v>
      </c>
      <c r="BR49" s="364">
        <v>1.2480719458314816E-2</v>
      </c>
      <c r="BS49" s="364">
        <v>1.321272646466759E-2</v>
      </c>
      <c r="BT49" s="364">
        <v>1.432119421714465E-2</v>
      </c>
      <c r="BU49" s="364">
        <v>1.4420538025149669E-2</v>
      </c>
      <c r="BV49" s="364">
        <v>1.4598311155263914E-2</v>
      </c>
      <c r="BW49" s="364">
        <v>1.3740817233536378E-2</v>
      </c>
      <c r="BX49" s="364">
        <v>1.3740817233536378E-2</v>
      </c>
      <c r="BY49" s="364">
        <v>1.4206164544717785E-2</v>
      </c>
      <c r="BZ49" s="364">
        <v>1.432119421714465E-2</v>
      </c>
      <c r="CA49" s="364">
        <v>1.571723615068887E-2</v>
      </c>
      <c r="CB49" s="364">
        <v>1.6627016287155891E-2</v>
      </c>
      <c r="CC49" s="364">
        <v>1.7494967451831326E-2</v>
      </c>
      <c r="CD49" s="364">
        <v>1.4049305900499333E-2</v>
      </c>
      <c r="CE49" s="364">
        <v>1.8843951792110011E-2</v>
      </c>
      <c r="CF49" s="364">
        <v>1.646492902146349E-2</v>
      </c>
      <c r="CG49" s="364">
        <v>1.6679302501895376E-2</v>
      </c>
      <c r="CH49" s="364">
        <v>1.7291051214347337E-2</v>
      </c>
      <c r="CI49" s="364">
        <v>1.6987791168858332E-2</v>
      </c>
      <c r="CJ49" s="364">
        <v>1.6773417688426447E-2</v>
      </c>
      <c r="CK49" s="364">
        <v>1.4624454262633656E-2</v>
      </c>
      <c r="CL49" s="364">
        <v>1.8938066978641081E-2</v>
      </c>
      <c r="CM49" s="364">
        <v>1.5351232647512484E-2</v>
      </c>
      <c r="CN49" s="364">
        <v>1.5800894094272044E-2</v>
      </c>
      <c r="CO49" s="364">
        <v>1.6491072128833235E-2</v>
      </c>
      <c r="CP49" s="364">
        <v>1.4493738725784947E-2</v>
      </c>
      <c r="CQ49" s="364">
        <v>1.7740712661106901E-2</v>
      </c>
      <c r="CR49" s="364">
        <v>1.6893675982327258E-2</v>
      </c>
      <c r="CS49" s="364">
        <v>1.6893675982327258E-2</v>
      </c>
      <c r="CT49" s="364">
        <v>1.6057096546495515E-2</v>
      </c>
      <c r="CU49" s="364">
        <v>1.6402185563776109E-2</v>
      </c>
      <c r="CV49" s="364">
        <v>1.6538129722098768E-2</v>
      </c>
      <c r="CW49" s="364">
        <v>1.6538129722098768E-2</v>
      </c>
      <c r="CX49" s="364">
        <v>1.5921152388172859E-2</v>
      </c>
      <c r="CY49" s="364">
        <v>1.1110820632140337E-2</v>
      </c>
      <c r="CZ49" s="364">
        <v>1.0682073671276568E-2</v>
      </c>
      <c r="DA49" s="364">
        <v>1.1973543175341821E-2</v>
      </c>
      <c r="DB49" s="364">
        <v>1.1973543175341821E-2</v>
      </c>
      <c r="DC49" s="364">
        <v>1.1074220281822698E-2</v>
      </c>
      <c r="DD49" s="364">
        <v>1.0211497738621213E-2</v>
      </c>
      <c r="DE49" s="364">
        <v>9.5213197040600241E-3</v>
      </c>
      <c r="DF49" s="364">
        <v>9.8088938851271859E-3</v>
      </c>
      <c r="DG49" s="364">
        <v>1.1210164440145356E-2</v>
      </c>
      <c r="DH49" s="364">
        <v>1.0331756032522026E-2</v>
      </c>
      <c r="DI49" s="364">
        <v>1.0499071919688375E-2</v>
      </c>
      <c r="DJ49" s="364">
        <v>4.6273300044443284E-3</v>
      </c>
      <c r="DK49" s="364">
        <v>7.7122166740738801E-3</v>
      </c>
      <c r="DL49" s="364">
        <v>7.7122166740738801E-3</v>
      </c>
      <c r="DM49" s="364">
        <v>7.7122166740738801E-3</v>
      </c>
      <c r="DN49" s="364">
        <v>6.1697733392591042E-3</v>
      </c>
      <c r="DO49" s="364">
        <v>4.2926982301116313E-3</v>
      </c>
      <c r="DP49" s="364">
        <v>1.688844736085331E-3</v>
      </c>
      <c r="DQ49" s="364">
        <v>1.0195811874199366E-3</v>
      </c>
      <c r="DR49" s="364">
        <v>1.0195811874199366E-3</v>
      </c>
      <c r="DS49" s="364">
        <v>1.024809808893885E-3</v>
      </c>
      <c r="DT49" s="364">
        <v>1.0823246451073174E-3</v>
      </c>
      <c r="DU49" s="364">
        <v>1.0823246451073174E-3</v>
      </c>
      <c r="DV49" s="364">
        <v>1.0823246451073174E-3</v>
      </c>
      <c r="DW49" s="364">
        <v>1.0823246451073174E-3</v>
      </c>
      <c r="DX49" s="364">
        <v>1.0823246451073174E-3</v>
      </c>
      <c r="DY49" s="364">
        <v>1.0823246451073174E-3</v>
      </c>
      <c r="DZ49" s="364">
        <v>1.0823246451073174E-3</v>
      </c>
      <c r="EA49" s="364">
        <v>1.0823246451073174E-3</v>
      </c>
      <c r="EB49" s="364">
        <v>1.0823246451073174E-3</v>
      </c>
      <c r="EC49" s="364">
        <v>8.6795116467543328E-4</v>
      </c>
      <c r="ED49" s="222"/>
    </row>
    <row r="50" spans="1:134" x14ac:dyDescent="0.25">
      <c r="A50" s="361" t="s">
        <v>523</v>
      </c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222"/>
      <c r="AP50" s="222"/>
      <c r="AQ50" s="222"/>
      <c r="AR50" s="222"/>
      <c r="AS50" s="222"/>
      <c r="AT50" s="222"/>
      <c r="AU50" s="222"/>
      <c r="AV50" s="222"/>
      <c r="AW50" s="222"/>
      <c r="AX50" s="222"/>
      <c r="AY50" s="222"/>
      <c r="AZ50" s="222"/>
      <c r="BA50" s="222"/>
      <c r="BB50" s="222"/>
      <c r="BC50" s="222"/>
      <c r="BD50" s="222"/>
      <c r="BE50" s="358"/>
      <c r="BF50" s="364">
        <v>0.2032312880709001</v>
      </c>
      <c r="BG50" s="364">
        <v>0.21164936864395703</v>
      </c>
      <c r="BH50" s="364">
        <v>0.22122820318423048</v>
      </c>
      <c r="BI50" s="364">
        <v>0.23080703772450392</v>
      </c>
      <c r="BJ50" s="364">
        <v>0.23657943583174296</v>
      </c>
      <c r="BK50" s="364">
        <v>0.24622101382970379</v>
      </c>
      <c r="BL50" s="364">
        <v>0.25586259182766463</v>
      </c>
      <c r="BM50" s="364">
        <v>0.26555645604036499</v>
      </c>
      <c r="BN50" s="364">
        <v>0.27377584899741181</v>
      </c>
      <c r="BO50" s="364">
        <v>0.28239261718647879</v>
      </c>
      <c r="BP50" s="364">
        <v>0.29487333664479359</v>
      </c>
      <c r="BQ50" s="364">
        <v>0.3073540561031084</v>
      </c>
      <c r="BR50" s="364">
        <v>0.31983477556142326</v>
      </c>
      <c r="BS50" s="364">
        <v>0.33304750202609085</v>
      </c>
      <c r="BT50" s="364">
        <v>0.34736869624323546</v>
      </c>
      <c r="BU50" s="364">
        <v>0.36178923426838516</v>
      </c>
      <c r="BV50" s="364">
        <v>0.37638754542364905</v>
      </c>
      <c r="BW50" s="364">
        <v>0.39012836265718542</v>
      </c>
      <c r="BX50" s="364">
        <v>0.4038691798907218</v>
      </c>
      <c r="BY50" s="364">
        <v>0.41807534443543959</v>
      </c>
      <c r="BZ50" s="364">
        <v>0.43239653865258426</v>
      </c>
      <c r="CA50" s="364">
        <v>0.44811377480327313</v>
      </c>
      <c r="CB50" s="364">
        <v>0.46474079109042898</v>
      </c>
      <c r="CC50" s="364">
        <v>0.48223575854226031</v>
      </c>
      <c r="CD50" s="364">
        <v>0.49628506444275966</v>
      </c>
      <c r="CE50" s="364">
        <v>0.51512901623486973</v>
      </c>
      <c r="CF50" s="364">
        <v>0.53159394525633319</v>
      </c>
      <c r="CG50" s="364">
        <v>0.5482732477582285</v>
      </c>
      <c r="CH50" s="364">
        <v>0.56556429897257587</v>
      </c>
      <c r="CI50" s="364">
        <v>0.58255209014143416</v>
      </c>
      <c r="CJ50" s="364">
        <v>0.5993255078298606</v>
      </c>
      <c r="CK50" s="364">
        <v>0.61394996209249431</v>
      </c>
      <c r="CL50" s="364">
        <v>0.63288802907113539</v>
      </c>
      <c r="CM50" s="364">
        <v>0.64823926171864787</v>
      </c>
      <c r="CN50" s="364">
        <v>0.66404015581291997</v>
      </c>
      <c r="CO50" s="364">
        <v>0.68053122794175314</v>
      </c>
      <c r="CP50" s="364">
        <v>0.6950249666675381</v>
      </c>
      <c r="CQ50" s="364">
        <v>0.71276567932864499</v>
      </c>
      <c r="CR50" s="364">
        <v>0.72965935531097226</v>
      </c>
      <c r="CS50" s="364">
        <v>0.74655303129329953</v>
      </c>
      <c r="CT50" s="364">
        <v>0.76261012783979509</v>
      </c>
      <c r="CU50" s="364">
        <v>0.77901231340357113</v>
      </c>
      <c r="CV50" s="364">
        <v>0.79555044312566991</v>
      </c>
      <c r="CW50" s="364">
        <v>0.8120885728477687</v>
      </c>
      <c r="CX50" s="364">
        <v>0.82800972523594152</v>
      </c>
      <c r="CY50" s="364">
        <v>0.83912054586808194</v>
      </c>
      <c r="CZ50" s="364">
        <v>0.84980261953935843</v>
      </c>
      <c r="DA50" s="364">
        <v>0.86177616271470026</v>
      </c>
      <c r="DB50" s="364">
        <v>0.87374970589004208</v>
      </c>
      <c r="DC50" s="364">
        <v>0.88482392617186478</v>
      </c>
      <c r="DD50" s="364">
        <v>0.89503542391048596</v>
      </c>
      <c r="DE50" s="364">
        <v>0.90455674361454608</v>
      </c>
      <c r="DF50" s="364">
        <v>0.91436563749967326</v>
      </c>
      <c r="DG50" s="364">
        <v>0.92557580193981859</v>
      </c>
      <c r="DH50" s="364">
        <v>0.9359075579723406</v>
      </c>
      <c r="DI50" s="364">
        <v>0.94640662989202895</v>
      </c>
      <c r="DJ50" s="364">
        <v>0.95103395989647332</v>
      </c>
      <c r="DK50" s="364">
        <v>0.95874617657054717</v>
      </c>
      <c r="DL50" s="364">
        <v>0.96645839324462102</v>
      </c>
      <c r="DM50" s="364">
        <v>0.97417060991869497</v>
      </c>
      <c r="DN50" s="364">
        <v>0.98034038325795403</v>
      </c>
      <c r="DO50" s="364">
        <v>0.98463308148806572</v>
      </c>
      <c r="DP50" s="364">
        <v>0.98632192622415105</v>
      </c>
      <c r="DQ50" s="364">
        <v>0.9873415074115709</v>
      </c>
      <c r="DR50" s="364">
        <v>0.98836108859899086</v>
      </c>
      <c r="DS50" s="364">
        <v>0.98938589840788471</v>
      </c>
      <c r="DT50" s="364">
        <v>0.99046822305299209</v>
      </c>
      <c r="DU50" s="364">
        <v>0.99155054769809936</v>
      </c>
      <c r="DV50" s="364">
        <v>0.99263287234320674</v>
      </c>
      <c r="DW50" s="364">
        <v>0.99371519698831401</v>
      </c>
      <c r="DX50" s="364">
        <v>0.99479752163342139</v>
      </c>
      <c r="DY50" s="364">
        <v>0.99587984627852866</v>
      </c>
      <c r="DZ50" s="364">
        <v>0.99696217092363604</v>
      </c>
      <c r="EA50" s="364">
        <v>0.99804449556874331</v>
      </c>
      <c r="EB50" s="364">
        <v>0.99912682021385057</v>
      </c>
      <c r="EC50" s="364">
        <v>0.9999947713785261</v>
      </c>
      <c r="ED50" s="222"/>
    </row>
    <row r="51" spans="1:134" x14ac:dyDescent="0.25">
      <c r="A51" s="362" t="s">
        <v>524</v>
      </c>
      <c r="BE51" s="354">
        <v>37284</v>
      </c>
      <c r="BF51" s="365">
        <v>38869</v>
      </c>
      <c r="BG51" s="365">
        <v>40479</v>
      </c>
      <c r="BH51" s="365">
        <v>42311</v>
      </c>
      <c r="BI51" s="365">
        <v>44143</v>
      </c>
      <c r="BJ51" s="365">
        <v>45247</v>
      </c>
      <c r="BK51" s="365">
        <v>47091</v>
      </c>
      <c r="BL51" s="365">
        <v>48935</v>
      </c>
      <c r="BM51" s="365">
        <v>50789</v>
      </c>
      <c r="BN51" s="365">
        <v>52361</v>
      </c>
      <c r="BO51" s="365">
        <v>54009</v>
      </c>
      <c r="BP51" s="365">
        <v>56396</v>
      </c>
      <c r="BQ51" s="365">
        <v>58783</v>
      </c>
      <c r="BR51" s="365">
        <v>61170</v>
      </c>
      <c r="BS51" s="365">
        <v>63697</v>
      </c>
      <c r="BT51" s="365">
        <v>66436</v>
      </c>
      <c r="BU51" s="365">
        <v>69194</v>
      </c>
      <c r="BV51" s="365">
        <v>71986</v>
      </c>
      <c r="BW51" s="365">
        <v>74614</v>
      </c>
      <c r="BX51" s="365">
        <v>77242</v>
      </c>
      <c r="BY51" s="365">
        <v>79959</v>
      </c>
      <c r="BZ51" s="365">
        <v>82698</v>
      </c>
      <c r="CA51" s="365">
        <v>85704</v>
      </c>
      <c r="CB51" s="365">
        <v>88884</v>
      </c>
      <c r="CC51" s="365">
        <v>92230</v>
      </c>
      <c r="CD51" s="365">
        <v>94917</v>
      </c>
      <c r="CE51" s="365">
        <v>98521</v>
      </c>
      <c r="CF51" s="365">
        <v>101670</v>
      </c>
      <c r="CG51" s="365">
        <v>104860</v>
      </c>
      <c r="CH51" s="365">
        <v>108167</v>
      </c>
      <c r="CI51" s="365">
        <v>111416</v>
      </c>
      <c r="CJ51" s="365">
        <v>114624</v>
      </c>
      <c r="CK51" s="365">
        <v>117421</v>
      </c>
      <c r="CL51" s="365">
        <v>121043</v>
      </c>
      <c r="CM51" s="365">
        <v>123979</v>
      </c>
      <c r="CN51" s="365">
        <v>127001</v>
      </c>
      <c r="CO51" s="365">
        <v>130155</v>
      </c>
      <c r="CP51" s="365">
        <v>132927</v>
      </c>
      <c r="CQ51" s="365">
        <v>136320</v>
      </c>
      <c r="CR51" s="365">
        <v>139551</v>
      </c>
      <c r="CS51" s="365">
        <v>142782</v>
      </c>
      <c r="CT51" s="365">
        <v>145853</v>
      </c>
      <c r="CU51" s="365">
        <v>148990</v>
      </c>
      <c r="CV51" s="365">
        <v>152153</v>
      </c>
      <c r="CW51" s="365">
        <v>155316</v>
      </c>
      <c r="CX51" s="365">
        <v>158361</v>
      </c>
      <c r="CY51" s="365">
        <v>160486</v>
      </c>
      <c r="CZ51" s="365">
        <v>162529</v>
      </c>
      <c r="DA51" s="365">
        <v>164819</v>
      </c>
      <c r="DB51" s="365">
        <v>167109</v>
      </c>
      <c r="DC51" s="365">
        <v>169227</v>
      </c>
      <c r="DD51" s="365">
        <v>171180</v>
      </c>
      <c r="DE51" s="365">
        <v>173001</v>
      </c>
      <c r="DF51" s="365">
        <v>174877</v>
      </c>
      <c r="DG51" s="365">
        <v>177021</v>
      </c>
      <c r="DH51" s="365">
        <v>178997</v>
      </c>
      <c r="DI51" s="365">
        <v>181005</v>
      </c>
      <c r="DJ51" s="365">
        <v>181890</v>
      </c>
      <c r="DK51" s="365">
        <v>183365</v>
      </c>
      <c r="DL51" s="365">
        <v>184840</v>
      </c>
      <c r="DM51" s="365">
        <v>186315</v>
      </c>
      <c r="DN51" s="365">
        <v>187495</v>
      </c>
      <c r="DO51" s="365">
        <v>188316</v>
      </c>
      <c r="DP51" s="365">
        <v>188639</v>
      </c>
      <c r="DQ51" s="365">
        <v>188834</v>
      </c>
      <c r="DR51" s="365">
        <v>189029</v>
      </c>
      <c r="DS51" s="365">
        <v>189225</v>
      </c>
      <c r="DT51" s="365">
        <v>189432</v>
      </c>
      <c r="DU51" s="365">
        <v>189639</v>
      </c>
      <c r="DV51" s="365">
        <v>189846</v>
      </c>
      <c r="DW51" s="365">
        <v>190053</v>
      </c>
      <c r="DX51" s="365">
        <v>190260</v>
      </c>
      <c r="DY51" s="365">
        <v>190467</v>
      </c>
      <c r="DZ51" s="365">
        <v>190674</v>
      </c>
      <c r="EA51" s="365">
        <v>190881</v>
      </c>
      <c r="EB51" s="365">
        <v>191088</v>
      </c>
      <c r="EC51" s="365">
        <v>191254</v>
      </c>
    </row>
    <row r="52" spans="1:134" s="222" customFormat="1" x14ac:dyDescent="0.25">
      <c r="A52" s="362" t="s">
        <v>521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354"/>
      <c r="BF52" s="365">
        <v>31.7</v>
      </c>
      <c r="BG52" s="365">
        <v>32.200000000000003</v>
      </c>
      <c r="BH52" s="365">
        <v>36.64</v>
      </c>
      <c r="BI52" s="365">
        <v>36.64</v>
      </c>
      <c r="BJ52" s="365">
        <v>22.08</v>
      </c>
      <c r="BK52" s="365">
        <v>36.880000000000003</v>
      </c>
      <c r="BL52" s="365">
        <v>36.880000000000003</v>
      </c>
      <c r="BM52" s="365">
        <v>37.08</v>
      </c>
      <c r="BN52" s="365">
        <v>31.44</v>
      </c>
      <c r="BO52" s="365">
        <v>32.96</v>
      </c>
      <c r="BP52" s="365">
        <v>47.74</v>
      </c>
      <c r="BQ52" s="365">
        <v>47.74</v>
      </c>
      <c r="BR52" s="365">
        <v>47.74</v>
      </c>
      <c r="BS52" s="365">
        <v>50.54</v>
      </c>
      <c r="BT52" s="365">
        <v>54.78</v>
      </c>
      <c r="BU52" s="365">
        <v>55.16</v>
      </c>
      <c r="BV52" s="365">
        <v>55.84</v>
      </c>
      <c r="BW52" s="365">
        <v>52.56</v>
      </c>
      <c r="BX52" s="365">
        <v>52.56</v>
      </c>
      <c r="BY52" s="365">
        <v>54.34</v>
      </c>
      <c r="BZ52" s="365">
        <v>54.78</v>
      </c>
      <c r="CA52" s="365">
        <v>60.12</v>
      </c>
      <c r="CB52" s="365">
        <v>63.6</v>
      </c>
      <c r="CC52" s="365">
        <v>66.92</v>
      </c>
      <c r="CD52" s="365">
        <v>53.74</v>
      </c>
      <c r="CE52" s="365">
        <v>72.08</v>
      </c>
      <c r="CF52" s="365">
        <v>62.98</v>
      </c>
      <c r="CG52" s="365">
        <v>63.8</v>
      </c>
      <c r="CH52" s="365">
        <v>66.14</v>
      </c>
      <c r="CI52" s="365">
        <v>64.98</v>
      </c>
      <c r="CJ52" s="365">
        <v>64.16</v>
      </c>
      <c r="CK52" s="365">
        <v>55.94</v>
      </c>
      <c r="CL52" s="365">
        <v>72.44</v>
      </c>
      <c r="CM52" s="365">
        <v>58.72</v>
      </c>
      <c r="CN52" s="365">
        <v>60.44</v>
      </c>
      <c r="CO52" s="365">
        <v>63.08</v>
      </c>
      <c r="CP52" s="365">
        <v>55.44</v>
      </c>
      <c r="CQ52" s="365">
        <v>67.86</v>
      </c>
      <c r="CR52" s="365">
        <v>64.62</v>
      </c>
      <c r="CS52" s="365">
        <v>64.62</v>
      </c>
      <c r="CT52" s="365">
        <v>61.42</v>
      </c>
      <c r="CU52" s="365">
        <v>62.74</v>
      </c>
      <c r="CV52" s="365">
        <v>63.26</v>
      </c>
      <c r="CW52" s="365">
        <v>63.26</v>
      </c>
      <c r="CX52" s="365">
        <v>60.9</v>
      </c>
      <c r="CY52" s="365">
        <v>42.5</v>
      </c>
      <c r="CZ52" s="365">
        <v>40.86</v>
      </c>
      <c r="DA52" s="365">
        <v>45.8</v>
      </c>
      <c r="DB52" s="365">
        <v>45.8</v>
      </c>
      <c r="DC52" s="365">
        <v>42.36</v>
      </c>
      <c r="DD52" s="365">
        <v>39.06</v>
      </c>
      <c r="DE52" s="365">
        <v>36.42</v>
      </c>
      <c r="DF52" s="365">
        <v>37.520000000000003</v>
      </c>
      <c r="DG52" s="365">
        <v>42.88</v>
      </c>
      <c r="DH52" s="365">
        <v>39.520000000000003</v>
      </c>
      <c r="DI52" s="365">
        <v>40.159999999999997</v>
      </c>
      <c r="DJ52" s="365">
        <v>17.7</v>
      </c>
      <c r="DK52" s="365">
        <v>29.5</v>
      </c>
      <c r="DL52" s="365">
        <v>29.5</v>
      </c>
      <c r="DM52" s="365">
        <v>29.5</v>
      </c>
      <c r="DN52" s="365">
        <v>23.6</v>
      </c>
      <c r="DO52" s="365">
        <v>16.420000000000002</v>
      </c>
      <c r="DP52" s="365">
        <v>6.46</v>
      </c>
      <c r="DQ52" s="365">
        <v>3.9</v>
      </c>
      <c r="DR52" s="365">
        <v>3.9</v>
      </c>
      <c r="DS52" s="365">
        <v>3.92</v>
      </c>
      <c r="DT52" s="365">
        <v>4.1399999999999997</v>
      </c>
      <c r="DU52" s="365">
        <v>4.1399999999999997</v>
      </c>
      <c r="DV52" s="365">
        <v>4.1399999999999997</v>
      </c>
      <c r="DW52" s="365">
        <v>4.1399999999999997</v>
      </c>
      <c r="DX52" s="365">
        <v>4.1399999999999997</v>
      </c>
      <c r="DY52" s="365">
        <v>4.1399999999999997</v>
      </c>
      <c r="DZ52" s="365">
        <v>4.1399999999999997</v>
      </c>
      <c r="EA52" s="365">
        <v>4.1399999999999997</v>
      </c>
      <c r="EB52" s="365">
        <v>4.1399999999999997</v>
      </c>
      <c r="EC52" s="365">
        <v>3.32</v>
      </c>
      <c r="ED52" s="2"/>
    </row>
    <row r="53" spans="1:134" s="222" customFormat="1" x14ac:dyDescent="0.25">
      <c r="A53" s="36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354"/>
      <c r="BF53" s="365"/>
      <c r="BG53" s="365"/>
      <c r="BH53" s="365"/>
      <c r="BI53" s="365"/>
      <c r="BJ53" s="365"/>
      <c r="BK53" s="365"/>
      <c r="BL53" s="365"/>
      <c r="BM53" s="365"/>
      <c r="BN53" s="365"/>
      <c r="BO53" s="365"/>
      <c r="BP53" s="365"/>
      <c r="BQ53" s="365"/>
      <c r="BR53" s="365"/>
      <c r="BS53" s="365"/>
      <c r="BT53" s="365"/>
      <c r="BU53" s="365"/>
      <c r="BV53" s="365"/>
      <c r="BW53" s="365"/>
      <c r="BX53" s="365"/>
      <c r="BY53" s="365"/>
      <c r="BZ53" s="365"/>
      <c r="CA53" s="365"/>
      <c r="CB53" s="365"/>
      <c r="CC53" s="365"/>
      <c r="CD53" s="365"/>
      <c r="CE53" s="365"/>
      <c r="CF53" s="365"/>
      <c r="CG53" s="365"/>
      <c r="CH53" s="365"/>
      <c r="CI53" s="365"/>
      <c r="CJ53" s="365"/>
      <c r="CK53" s="365"/>
      <c r="CL53" s="365"/>
      <c r="CM53" s="365"/>
      <c r="CN53" s="365"/>
      <c r="CO53" s="365"/>
      <c r="CP53" s="365"/>
      <c r="CQ53" s="365"/>
      <c r="CR53" s="365"/>
      <c r="CS53" s="365"/>
      <c r="CT53" s="365"/>
      <c r="CU53" s="365"/>
      <c r="CV53" s="365"/>
      <c r="CW53" s="365"/>
      <c r="CX53" s="365"/>
      <c r="CY53" s="365"/>
      <c r="CZ53" s="365"/>
      <c r="DA53" s="365"/>
      <c r="DB53" s="365"/>
      <c r="DC53" s="365"/>
      <c r="DD53" s="365"/>
      <c r="DE53" s="365"/>
      <c r="DF53" s="365"/>
      <c r="DG53" s="365"/>
      <c r="DH53" s="365"/>
      <c r="DI53" s="365"/>
      <c r="DJ53" s="365"/>
      <c r="DK53" s="365"/>
      <c r="DL53" s="365"/>
      <c r="DM53" s="365"/>
      <c r="DN53" s="365"/>
      <c r="DO53" s="365"/>
      <c r="DP53" s="365"/>
      <c r="DQ53" s="365"/>
      <c r="DR53" s="365"/>
      <c r="DS53" s="365"/>
      <c r="DT53" s="365"/>
      <c r="DU53" s="365"/>
      <c r="DV53" s="365"/>
      <c r="DW53" s="365"/>
      <c r="DX53" s="365"/>
      <c r="DY53" s="365"/>
      <c r="DZ53" s="365"/>
      <c r="EA53" s="365"/>
      <c r="EB53" s="365"/>
      <c r="EC53" s="365"/>
      <c r="ED53" s="2"/>
    </row>
    <row r="54" spans="1:134" x14ac:dyDescent="0.25">
      <c r="A54" s="361" t="s">
        <v>525</v>
      </c>
      <c r="B54" s="222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  <c r="AA54" s="222"/>
      <c r="AB54" s="222"/>
      <c r="AC54" s="222"/>
      <c r="AD54" s="222"/>
      <c r="AE54" s="222"/>
      <c r="AF54" s="222"/>
      <c r="AG54" s="222"/>
      <c r="AH54" s="222"/>
      <c r="AI54" s="222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2"/>
      <c r="AU54" s="222"/>
      <c r="AV54" s="222"/>
      <c r="AW54" s="222"/>
      <c r="AX54" s="222"/>
      <c r="AY54" s="222"/>
      <c r="AZ54" s="222"/>
      <c r="BA54" s="222"/>
      <c r="BB54" s="222"/>
      <c r="BC54" s="222"/>
      <c r="BD54" s="222"/>
      <c r="BE54" s="358"/>
      <c r="BF54" s="364">
        <v>7.7647075246965961E-3</v>
      </c>
      <c r="BG54" s="364">
        <v>8.1226797863334366E-3</v>
      </c>
      <c r="BH54" s="364">
        <v>8.7458905482360148E-3</v>
      </c>
      <c r="BI54" s="364">
        <v>8.7458905482360148E-3</v>
      </c>
      <c r="BJ54" s="364">
        <v>5.2529188699244472E-3</v>
      </c>
      <c r="BK54" s="364">
        <v>8.7578561948645443E-3</v>
      </c>
      <c r="BL54" s="364">
        <v>8.8186815652262357E-3</v>
      </c>
      <c r="BM54" s="364">
        <v>9.1367683381013108E-3</v>
      </c>
      <c r="BN54" s="364">
        <v>7.4984718872118149E-3</v>
      </c>
      <c r="BO54" s="364">
        <v>7.7038821543349047E-3</v>
      </c>
      <c r="BP54" s="364">
        <v>1.087477851089522E-2</v>
      </c>
      <c r="BQ54" s="364">
        <v>1.087477851089522E-2</v>
      </c>
      <c r="BR54" s="364">
        <v>1.1498986410016841E-2</v>
      </c>
      <c r="BS54" s="364">
        <v>1.1954678119120007E-2</v>
      </c>
      <c r="BT54" s="364">
        <v>1.2213933796071479E-2</v>
      </c>
      <c r="BU54" s="364">
        <v>1.1688442481635225E-2</v>
      </c>
      <c r="BV54" s="364">
        <v>1.1548843270969047E-2</v>
      </c>
      <c r="BW54" s="364">
        <v>1.2426324023727878E-2</v>
      </c>
      <c r="BX54" s="364">
        <v>1.2129177132452729E-2</v>
      </c>
      <c r="BY54" s="364">
        <v>1.2854095890697807E-2</v>
      </c>
      <c r="BZ54" s="364">
        <v>1.2876032909516777E-2</v>
      </c>
      <c r="CA54" s="364">
        <v>1.3141271409782515E-2</v>
      </c>
      <c r="CB54" s="364">
        <v>1.3122325802620675E-2</v>
      </c>
      <c r="CC54" s="364">
        <v>1.2998680787459204E-2</v>
      </c>
      <c r="CD54" s="364">
        <v>1.0123934184954993E-2</v>
      </c>
      <c r="CE54" s="364">
        <v>1.3054520471725676E-2</v>
      </c>
      <c r="CF54" s="364">
        <v>1.3034577727344792E-2</v>
      </c>
      <c r="CG54" s="364">
        <v>1.3325741795305678E-2</v>
      </c>
      <c r="CH54" s="364">
        <v>1.3496252259762222E-2</v>
      </c>
      <c r="CI54" s="364">
        <v>1.3450383947686193E-2</v>
      </c>
      <c r="CJ54" s="364">
        <v>1.3453375359343326E-2</v>
      </c>
      <c r="CK54" s="364">
        <v>1.1029334779847058E-2</v>
      </c>
      <c r="CL54" s="364">
        <v>1.4049663416331711E-2</v>
      </c>
      <c r="CM54" s="364">
        <v>1.232760743904251E-2</v>
      </c>
      <c r="CN54" s="364">
        <v>1.2637717114165231E-2</v>
      </c>
      <c r="CO54" s="364">
        <v>1.4059634788522153E-2</v>
      </c>
      <c r="CP54" s="364">
        <v>1.1992569333443684E-2</v>
      </c>
      <c r="CQ54" s="364">
        <v>1.4864324524290762E-2</v>
      </c>
      <c r="CR54" s="364">
        <v>1.4890250091985909E-2</v>
      </c>
      <c r="CS54" s="364">
        <v>1.4977998167261791E-2</v>
      </c>
      <c r="CT54" s="364">
        <v>1.452330359537767E-2</v>
      </c>
      <c r="CU54" s="364">
        <v>1.3898098559037005E-2</v>
      </c>
      <c r="CV54" s="364">
        <v>1.4280999251149949E-2</v>
      </c>
      <c r="CW54" s="364">
        <v>1.4325870426006934E-2</v>
      </c>
      <c r="CX54" s="364">
        <v>1.5384830152631795E-2</v>
      </c>
      <c r="CY54" s="364">
        <v>1.2196982463347729E-2</v>
      </c>
      <c r="CZ54" s="364">
        <v>1.3121328665401631E-2</v>
      </c>
      <c r="DA54" s="364">
        <v>1.3244973680563103E-2</v>
      </c>
      <c r="DB54" s="364">
        <v>1.2695551072869791E-2</v>
      </c>
      <c r="DC54" s="364">
        <v>1.1903824120948757E-2</v>
      </c>
      <c r="DD54" s="364">
        <v>1.0188748104192862E-2</v>
      </c>
      <c r="DE54" s="364">
        <v>1.0762102005143234E-2</v>
      </c>
      <c r="DF54" s="364">
        <v>1.0449998055582423E-2</v>
      </c>
      <c r="DG54" s="364">
        <v>1.1362378611007796E-2</v>
      </c>
      <c r="DH54" s="364">
        <v>1.2655665584108026E-2</v>
      </c>
      <c r="DI54" s="364">
        <v>1.3006657885211558E-2</v>
      </c>
      <c r="DJ54" s="364">
        <v>7.3369356577266667E-3</v>
      </c>
      <c r="DK54" s="364">
        <v>1.2689568249555526E-2</v>
      </c>
      <c r="DL54" s="364">
        <v>1.3225030936182221E-2</v>
      </c>
      <c r="DM54" s="364">
        <v>1.2964778122011704E-2</v>
      </c>
      <c r="DN54" s="364">
        <v>1.0324358765982863E-2</v>
      </c>
      <c r="DO54" s="364">
        <v>1.0086042970631318E-2</v>
      </c>
      <c r="DP54" s="364">
        <v>9.6881852202327125E-3</v>
      </c>
      <c r="DQ54" s="364">
        <v>1.023162500461176E-2</v>
      </c>
      <c r="DR54" s="364">
        <v>9.3242301352816064E-3</v>
      </c>
      <c r="DS54" s="364">
        <v>7.1295311161654893E-3</v>
      </c>
      <c r="DT54" s="364">
        <v>6.0296887635598196E-3</v>
      </c>
      <c r="DU54" s="364">
        <v>3.2546558829600219E-3</v>
      </c>
      <c r="DV54" s="364">
        <v>3.2546558829600219E-3</v>
      </c>
      <c r="DW54" s="364">
        <v>3.0273085970179614E-3</v>
      </c>
      <c r="DX54" s="364">
        <v>2.4479718727533251E-3</v>
      </c>
      <c r="DY54" s="364">
        <v>2.0890024738974403E-3</v>
      </c>
      <c r="DZ54" s="364">
        <v>2.0890024738974403E-3</v>
      </c>
      <c r="EA54" s="364">
        <v>2.0890024738974403E-3</v>
      </c>
      <c r="EB54" s="364">
        <v>1.8098040525650857E-3</v>
      </c>
      <c r="EC54" s="364">
        <v>9.8018588632037425E-4</v>
      </c>
      <c r="ED54" s="222"/>
    </row>
    <row r="55" spans="1:134" x14ac:dyDescent="0.25">
      <c r="A55" s="361" t="s">
        <v>526</v>
      </c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  <c r="AA55" s="222"/>
      <c r="AB55" s="222"/>
      <c r="AC55" s="222"/>
      <c r="AD55" s="222"/>
      <c r="AE55" s="222"/>
      <c r="AF55" s="222"/>
      <c r="AG55" s="222"/>
      <c r="AH55" s="222"/>
      <c r="AI55" s="222"/>
      <c r="AJ55" s="222"/>
      <c r="AK55" s="222"/>
      <c r="AL55" s="222"/>
      <c r="AM55" s="222"/>
      <c r="AN55" s="222"/>
      <c r="AO55" s="222"/>
      <c r="AP55" s="222"/>
      <c r="AQ55" s="222"/>
      <c r="AR55" s="222"/>
      <c r="AS55" s="222"/>
      <c r="AT55" s="222"/>
      <c r="AU55" s="222"/>
      <c r="AV55" s="222"/>
      <c r="AW55" s="222"/>
      <c r="AX55" s="222"/>
      <c r="AY55" s="222"/>
      <c r="AZ55" s="222"/>
      <c r="BA55" s="222"/>
      <c r="BB55" s="222"/>
      <c r="BC55" s="222"/>
      <c r="BD55" s="222"/>
      <c r="BE55" s="355">
        <v>205000</v>
      </c>
      <c r="BF55" s="364">
        <v>0.21217783742874208</v>
      </c>
      <c r="BG55" s="364">
        <v>0.22030051721507551</v>
      </c>
      <c r="BH55" s="364">
        <v>0.22904640776331153</v>
      </c>
      <c r="BI55" s="364">
        <v>0.23779229831154755</v>
      </c>
      <c r="BJ55" s="364">
        <v>0.24304521718147198</v>
      </c>
      <c r="BK55" s="364">
        <v>0.25180307337633656</v>
      </c>
      <c r="BL55" s="364">
        <v>0.26062175494156276</v>
      </c>
      <c r="BM55" s="364">
        <v>0.2697585232796641</v>
      </c>
      <c r="BN55" s="364">
        <v>0.27725699516687591</v>
      </c>
      <c r="BO55" s="364">
        <v>0.28496087732121078</v>
      </c>
      <c r="BP55" s="364">
        <v>0.29583565583210603</v>
      </c>
      <c r="BQ55" s="364">
        <v>0.30671043434300127</v>
      </c>
      <c r="BR55" s="364">
        <v>0.31820942075301806</v>
      </c>
      <c r="BS55" s="364">
        <v>0.3301640988721381</v>
      </c>
      <c r="BT55" s="364">
        <v>0.3423780326682096</v>
      </c>
      <c r="BU55" s="364">
        <v>0.35406647514984479</v>
      </c>
      <c r="BV55" s="364">
        <v>0.36561531842081385</v>
      </c>
      <c r="BW55" s="364">
        <v>0.37804164244454175</v>
      </c>
      <c r="BX55" s="364">
        <v>0.39017081957699445</v>
      </c>
      <c r="BY55" s="364">
        <v>0.40302491546769226</v>
      </c>
      <c r="BZ55" s="364">
        <v>0.41590094837720903</v>
      </c>
      <c r="CA55" s="364">
        <v>0.42904221978699153</v>
      </c>
      <c r="CB55" s="364">
        <v>0.44216454558961221</v>
      </c>
      <c r="CC55" s="364">
        <v>0.45516322637707141</v>
      </c>
      <c r="CD55" s="364">
        <v>0.4652871605620264</v>
      </c>
      <c r="CE55" s="364">
        <v>0.47834168103375208</v>
      </c>
      <c r="CF55" s="364">
        <v>0.49137625876109692</v>
      </c>
      <c r="CG55" s="364">
        <v>0.50470200055640257</v>
      </c>
      <c r="CH55" s="364">
        <v>0.51819825281616483</v>
      </c>
      <c r="CI55" s="364">
        <v>0.53164863676385099</v>
      </c>
      <c r="CJ55" s="364">
        <v>0.54510201212319431</v>
      </c>
      <c r="CK55" s="364">
        <v>0.55613134690304133</v>
      </c>
      <c r="CL55" s="364">
        <v>0.57018101031937307</v>
      </c>
      <c r="CM55" s="364">
        <v>0.58250861775841556</v>
      </c>
      <c r="CN55" s="364">
        <v>0.59514633487258084</v>
      </c>
      <c r="CO55" s="364">
        <v>0.60920596966110296</v>
      </c>
      <c r="CP55" s="364">
        <v>0.62119853899454669</v>
      </c>
      <c r="CQ55" s="364">
        <v>0.63606286351883745</v>
      </c>
      <c r="CR55" s="364">
        <v>0.65095311361082331</v>
      </c>
      <c r="CS55" s="364">
        <v>0.66593111177808517</v>
      </c>
      <c r="CT55" s="364">
        <v>0.68045441537346274</v>
      </c>
      <c r="CU55" s="364">
        <v>0.69435251393249975</v>
      </c>
      <c r="CV55" s="364">
        <v>0.70863351318364975</v>
      </c>
      <c r="CW55" s="364">
        <v>0.72295938360965672</v>
      </c>
      <c r="CX55" s="364">
        <v>0.73834421376228843</v>
      </c>
      <c r="CY55" s="364">
        <v>0.7505411962256362</v>
      </c>
      <c r="CZ55" s="364">
        <v>0.76366252489103781</v>
      </c>
      <c r="DA55" s="364">
        <v>0.77690749857160091</v>
      </c>
      <c r="DB55" s="364">
        <v>0.7896030496444707</v>
      </c>
      <c r="DC55" s="364">
        <v>0.80150687376541951</v>
      </c>
      <c r="DD55" s="364">
        <v>0.8116956218696123</v>
      </c>
      <c r="DE55" s="364">
        <v>0.82245772387475558</v>
      </c>
      <c r="DF55" s="364">
        <v>0.83290772193033802</v>
      </c>
      <c r="DG55" s="364">
        <v>0.84427010054134577</v>
      </c>
      <c r="DH55" s="364">
        <v>0.85692576612545379</v>
      </c>
      <c r="DI55" s="364">
        <v>0.86993242401066539</v>
      </c>
      <c r="DJ55" s="364">
        <v>0.87726935966839203</v>
      </c>
      <c r="DK55" s="364">
        <v>0.88995892791794762</v>
      </c>
      <c r="DL55" s="364">
        <v>0.90318395885412983</v>
      </c>
      <c r="DM55" s="364">
        <v>0.91614873697614152</v>
      </c>
      <c r="DN55" s="364">
        <v>0.92647309574212433</v>
      </c>
      <c r="DO55" s="364">
        <v>0.93655913871275565</v>
      </c>
      <c r="DP55" s="364">
        <v>0.94624732393298838</v>
      </c>
      <c r="DQ55" s="364">
        <v>0.9564789489376001</v>
      </c>
      <c r="DR55" s="364">
        <v>0.96580317907288171</v>
      </c>
      <c r="DS55" s="364">
        <v>0.97293271018904726</v>
      </c>
      <c r="DT55" s="364">
        <v>0.97896239895260706</v>
      </c>
      <c r="DU55" s="364">
        <v>0.98221705483556709</v>
      </c>
      <c r="DV55" s="364">
        <v>0.98547171071852713</v>
      </c>
      <c r="DW55" s="364">
        <v>0.98849901931554507</v>
      </c>
      <c r="DX55" s="364">
        <v>0.99094699118829843</v>
      </c>
      <c r="DY55" s="364">
        <v>0.99303599366219586</v>
      </c>
      <c r="DZ55" s="364">
        <v>0.99512499613609329</v>
      </c>
      <c r="EA55" s="364">
        <v>0.99721399860999071</v>
      </c>
      <c r="EB55" s="364">
        <v>0.99902380266255575</v>
      </c>
      <c r="EC55" s="364">
        <v>1.0000039885488761</v>
      </c>
      <c r="ED55" s="222"/>
    </row>
    <row r="56" spans="1:134" x14ac:dyDescent="0.25">
      <c r="A56" s="362" t="s">
        <v>521</v>
      </c>
      <c r="BE56" s="354"/>
      <c r="BF56" s="365">
        <v>155.74</v>
      </c>
      <c r="BG56" s="365">
        <v>162.91999999999999</v>
      </c>
      <c r="BH56" s="365">
        <v>175.42</v>
      </c>
      <c r="BI56" s="365">
        <v>175.42</v>
      </c>
      <c r="BJ56" s="365">
        <v>105.36</v>
      </c>
      <c r="BK56" s="365">
        <v>175.66</v>
      </c>
      <c r="BL56" s="365">
        <v>176.88</v>
      </c>
      <c r="BM56" s="365">
        <v>183.26</v>
      </c>
      <c r="BN56" s="365">
        <v>150.4</v>
      </c>
      <c r="BO56" s="365">
        <v>154.52000000000001</v>
      </c>
      <c r="BP56" s="365">
        <v>218.12</v>
      </c>
      <c r="BQ56" s="365">
        <v>218.12</v>
      </c>
      <c r="BR56" s="365">
        <v>230.64</v>
      </c>
      <c r="BS56" s="365">
        <v>239.78</v>
      </c>
      <c r="BT56" s="365">
        <v>244.98</v>
      </c>
      <c r="BU56" s="365">
        <v>234.44</v>
      </c>
      <c r="BV56" s="365">
        <v>231.64</v>
      </c>
      <c r="BW56" s="365">
        <v>249.24</v>
      </c>
      <c r="BX56" s="365">
        <v>243.28</v>
      </c>
      <c r="BY56" s="365">
        <v>257.82</v>
      </c>
      <c r="BZ56" s="365">
        <v>258.26</v>
      </c>
      <c r="CA56" s="365">
        <v>263.58</v>
      </c>
      <c r="CB56" s="365">
        <v>263.2</v>
      </c>
      <c r="CC56" s="365">
        <v>260.72000000000003</v>
      </c>
      <c r="CD56" s="365">
        <v>203.06</v>
      </c>
      <c r="CE56" s="365">
        <v>261.83999999999997</v>
      </c>
      <c r="CF56" s="365">
        <v>261.44</v>
      </c>
      <c r="CG56" s="365">
        <v>267.27999999999997</v>
      </c>
      <c r="CH56" s="365">
        <v>270.7</v>
      </c>
      <c r="CI56" s="365">
        <v>269.77999999999997</v>
      </c>
      <c r="CJ56" s="365">
        <v>269.83999999999997</v>
      </c>
      <c r="CK56" s="365">
        <v>221.22</v>
      </c>
      <c r="CL56" s="365">
        <v>281.8</v>
      </c>
      <c r="CM56" s="365">
        <v>247.26</v>
      </c>
      <c r="CN56" s="365">
        <v>253.48</v>
      </c>
      <c r="CO56" s="365">
        <v>282</v>
      </c>
      <c r="CP56" s="365">
        <v>240.54</v>
      </c>
      <c r="CQ56" s="365">
        <v>298.14</v>
      </c>
      <c r="CR56" s="365">
        <v>298.66000000000003</v>
      </c>
      <c r="CS56" s="365">
        <v>300.42</v>
      </c>
      <c r="CT56" s="365">
        <v>291.3</v>
      </c>
      <c r="CU56" s="365">
        <v>278.76</v>
      </c>
      <c r="CV56" s="365">
        <v>286.44</v>
      </c>
      <c r="CW56" s="365">
        <v>287.33999999999997</v>
      </c>
      <c r="CX56" s="365">
        <v>308.58</v>
      </c>
      <c r="CY56" s="365">
        <v>244.64</v>
      </c>
      <c r="CZ56" s="365">
        <v>263.18</v>
      </c>
      <c r="DA56" s="365">
        <v>265.66000000000003</v>
      </c>
      <c r="DB56" s="365">
        <v>254.64</v>
      </c>
      <c r="DC56" s="365">
        <v>238.76</v>
      </c>
      <c r="DD56" s="365">
        <v>204.36</v>
      </c>
      <c r="DE56" s="365">
        <v>215.86</v>
      </c>
      <c r="DF56" s="365">
        <v>209.6</v>
      </c>
      <c r="DG56" s="365">
        <v>227.9</v>
      </c>
      <c r="DH56" s="365">
        <v>253.84</v>
      </c>
      <c r="DI56" s="365">
        <v>260.88</v>
      </c>
      <c r="DJ56" s="365">
        <v>147.16</v>
      </c>
      <c r="DK56" s="365">
        <v>254.52</v>
      </c>
      <c r="DL56" s="365">
        <v>265.26</v>
      </c>
      <c r="DM56" s="365">
        <v>260.04000000000002</v>
      </c>
      <c r="DN56" s="365">
        <v>207.08</v>
      </c>
      <c r="DO56" s="365">
        <v>202.3</v>
      </c>
      <c r="DP56" s="365">
        <v>194.32</v>
      </c>
      <c r="DQ56" s="365">
        <v>205.22</v>
      </c>
      <c r="DR56" s="365">
        <v>187.02</v>
      </c>
      <c r="DS56" s="365">
        <v>143</v>
      </c>
      <c r="DT56" s="365">
        <v>120.94</v>
      </c>
      <c r="DU56" s="365">
        <v>65.28</v>
      </c>
      <c r="DV56" s="365">
        <v>65.28</v>
      </c>
      <c r="DW56" s="365">
        <v>60.72</v>
      </c>
      <c r="DX56" s="365">
        <v>49.1</v>
      </c>
      <c r="DY56" s="365">
        <v>41.9</v>
      </c>
      <c r="DZ56" s="365">
        <v>41.9</v>
      </c>
      <c r="EA56" s="365">
        <v>41.9</v>
      </c>
      <c r="EB56" s="365">
        <v>36.299999999999997</v>
      </c>
      <c r="EC56" s="365">
        <v>19.66</v>
      </c>
    </row>
    <row r="57" spans="1:134" x14ac:dyDescent="0.25">
      <c r="A57" s="362" t="s">
        <v>527</v>
      </c>
      <c r="BE57" s="354"/>
      <c r="BF57" s="365">
        <v>212787</v>
      </c>
      <c r="BG57" s="365">
        <v>220933</v>
      </c>
      <c r="BH57" s="365">
        <v>229704</v>
      </c>
      <c r="BI57" s="365">
        <v>238475</v>
      </c>
      <c r="BJ57" s="365">
        <v>243743</v>
      </c>
      <c r="BK57" s="365">
        <v>252526</v>
      </c>
      <c r="BL57" s="365">
        <v>261370</v>
      </c>
      <c r="BM57" s="365">
        <v>270533</v>
      </c>
      <c r="BN57" s="365">
        <v>278053</v>
      </c>
      <c r="BO57" s="365">
        <v>285779</v>
      </c>
      <c r="BP57" s="365">
        <v>296685</v>
      </c>
      <c r="BQ57" s="365">
        <v>307591</v>
      </c>
      <c r="BR57" s="365">
        <v>319123</v>
      </c>
      <c r="BS57" s="365">
        <v>331112</v>
      </c>
      <c r="BT57" s="365">
        <v>343361</v>
      </c>
      <c r="BU57" s="365">
        <v>355083</v>
      </c>
      <c r="BV57" s="365">
        <v>366665</v>
      </c>
      <c r="BW57" s="365">
        <v>379127</v>
      </c>
      <c r="BX57" s="365">
        <v>391291</v>
      </c>
      <c r="BY57" s="365">
        <v>404182</v>
      </c>
      <c r="BZ57" s="365">
        <v>417095</v>
      </c>
      <c r="CA57" s="365">
        <v>430274</v>
      </c>
      <c r="CB57" s="365">
        <v>443434</v>
      </c>
      <c r="CC57" s="365">
        <v>456470</v>
      </c>
      <c r="CD57" s="365">
        <v>466623</v>
      </c>
      <c r="CE57" s="365">
        <v>479715</v>
      </c>
      <c r="CF57" s="365">
        <v>492787</v>
      </c>
      <c r="CG57" s="365">
        <v>506151</v>
      </c>
      <c r="CH57" s="365">
        <v>519686</v>
      </c>
      <c r="CI57" s="365">
        <v>533175</v>
      </c>
      <c r="CJ57" s="365">
        <v>546667</v>
      </c>
      <c r="CK57" s="365">
        <v>557728</v>
      </c>
      <c r="CL57" s="365">
        <v>571818</v>
      </c>
      <c r="CM57" s="365">
        <v>584181</v>
      </c>
      <c r="CN57" s="365">
        <v>596855</v>
      </c>
      <c r="CO57" s="365">
        <v>610955</v>
      </c>
      <c r="CP57" s="365">
        <v>622982</v>
      </c>
      <c r="CQ57" s="365">
        <v>637889</v>
      </c>
      <c r="CR57" s="365">
        <v>652822</v>
      </c>
      <c r="CS57" s="365">
        <v>667843</v>
      </c>
      <c r="CT57" s="365">
        <v>682408</v>
      </c>
      <c r="CU57" s="365">
        <v>696346</v>
      </c>
      <c r="CV57" s="365">
        <v>710668</v>
      </c>
      <c r="CW57" s="365">
        <v>725035</v>
      </c>
      <c r="CX57" s="365">
        <v>740464</v>
      </c>
      <c r="CY57" s="365">
        <v>752696</v>
      </c>
      <c r="CZ57" s="365">
        <v>765855</v>
      </c>
      <c r="DA57" s="365">
        <v>779138</v>
      </c>
      <c r="DB57" s="365">
        <v>791870</v>
      </c>
      <c r="DC57" s="365">
        <v>803808</v>
      </c>
      <c r="DD57" s="365">
        <v>814026</v>
      </c>
      <c r="DE57" s="365">
        <v>824819</v>
      </c>
      <c r="DF57" s="365">
        <v>835299</v>
      </c>
      <c r="DG57" s="365">
        <v>846694</v>
      </c>
      <c r="DH57" s="365">
        <v>859386</v>
      </c>
      <c r="DI57" s="365">
        <v>872430</v>
      </c>
      <c r="DJ57" s="365">
        <v>879788</v>
      </c>
      <c r="DK57" s="365">
        <v>892514</v>
      </c>
      <c r="DL57" s="365">
        <v>905777</v>
      </c>
      <c r="DM57" s="365">
        <v>918779</v>
      </c>
      <c r="DN57" s="365">
        <v>929133</v>
      </c>
      <c r="DO57" s="365">
        <v>939248</v>
      </c>
      <c r="DP57" s="365">
        <v>948964</v>
      </c>
      <c r="DQ57" s="365">
        <v>959225</v>
      </c>
      <c r="DR57" s="365">
        <v>968576</v>
      </c>
      <c r="DS57" s="365">
        <v>975726</v>
      </c>
      <c r="DT57" s="365">
        <v>981773</v>
      </c>
      <c r="DU57" s="365">
        <v>985037</v>
      </c>
      <c r="DV57" s="365">
        <v>988301</v>
      </c>
      <c r="DW57" s="365">
        <v>991337</v>
      </c>
      <c r="DX57" s="365">
        <v>993792</v>
      </c>
      <c r="DY57" s="365">
        <v>995887</v>
      </c>
      <c r="DZ57" s="365">
        <v>997982</v>
      </c>
      <c r="EA57" s="365">
        <v>1000077</v>
      </c>
      <c r="EB57" s="365">
        <v>1001892</v>
      </c>
      <c r="EC57" s="365">
        <v>1002875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9BF0-3F73-47A5-BC39-B189FF9B68A9}">
  <sheetPr>
    <tabColor rgb="FF002060"/>
  </sheetPr>
  <dimension ref="A1:V158"/>
  <sheetViews>
    <sheetView showZeros="0" zoomScale="55" zoomScaleNormal="5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11" sqref="E11"/>
    </sheetView>
  </sheetViews>
  <sheetFormatPr defaultRowHeight="12.5" x14ac:dyDescent="0.25"/>
  <cols>
    <col min="1" max="1" width="22.6328125" style="304" bestFit="1" customWidth="1"/>
    <col min="2" max="2" width="15.6328125" bestFit="1" customWidth="1"/>
    <col min="3" max="3" width="157.08984375" style="304" customWidth="1"/>
    <col min="4" max="4" width="18.36328125" customWidth="1"/>
    <col min="5" max="5" width="22.453125" bestFit="1" customWidth="1"/>
    <col min="6" max="6" width="20.6328125" customWidth="1"/>
    <col min="7" max="7" width="24.6328125" customWidth="1"/>
    <col min="8" max="8" width="17.54296875" customWidth="1"/>
    <col min="9" max="9" width="22.453125" customWidth="1"/>
    <col min="10" max="11" width="22.453125" bestFit="1" customWidth="1"/>
    <col min="12" max="12" width="17.36328125" bestFit="1" customWidth="1"/>
    <col min="13" max="13" width="19.36328125" bestFit="1" customWidth="1"/>
    <col min="14" max="14" width="19.90625" bestFit="1" customWidth="1"/>
    <col min="15" max="15" width="16" bestFit="1" customWidth="1"/>
    <col min="16" max="16" width="20.54296875" bestFit="1" customWidth="1"/>
    <col min="17" max="18" width="22.453125" bestFit="1" customWidth="1"/>
    <col min="19" max="19" width="16" bestFit="1" customWidth="1"/>
    <col min="20" max="20" width="23" bestFit="1" customWidth="1"/>
    <col min="21" max="21" width="19.36328125" bestFit="1" customWidth="1"/>
    <col min="22" max="22" width="22.08984375" customWidth="1"/>
  </cols>
  <sheetData>
    <row r="1" spans="1:22" ht="90.5" thickBot="1" x14ac:dyDescent="0.3">
      <c r="A1" s="268" t="s">
        <v>287</v>
      </c>
      <c r="B1" s="269" t="s">
        <v>288</v>
      </c>
      <c r="C1" s="269" t="s">
        <v>289</v>
      </c>
      <c r="D1" s="270" t="s">
        <v>290</v>
      </c>
      <c r="E1" s="271" t="s">
        <v>80</v>
      </c>
      <c r="F1" s="271" t="s">
        <v>58</v>
      </c>
      <c r="G1" s="271" t="s">
        <v>23</v>
      </c>
      <c r="H1" s="272" t="s">
        <v>100</v>
      </c>
      <c r="I1" s="273" t="s">
        <v>81</v>
      </c>
      <c r="J1" s="273" t="s">
        <v>82</v>
      </c>
      <c r="K1" s="273" t="s">
        <v>83</v>
      </c>
      <c r="L1" s="272" t="s">
        <v>39</v>
      </c>
      <c r="M1" s="274" t="s">
        <v>36</v>
      </c>
      <c r="N1" s="272" t="s">
        <v>54</v>
      </c>
      <c r="O1" s="272" t="s">
        <v>19</v>
      </c>
      <c r="P1" s="275" t="s">
        <v>5</v>
      </c>
      <c r="Q1" s="274" t="s">
        <v>68</v>
      </c>
      <c r="R1" s="274" t="s">
        <v>69</v>
      </c>
      <c r="S1" s="274" t="s">
        <v>70</v>
      </c>
      <c r="T1" s="276" t="s">
        <v>71</v>
      </c>
      <c r="U1" s="276" t="s">
        <v>75</v>
      </c>
      <c r="V1" s="277" t="s">
        <v>96</v>
      </c>
    </row>
    <row r="2" spans="1:22" ht="16" thickTop="1" x14ac:dyDescent="0.25">
      <c r="A2" s="278"/>
      <c r="B2" s="279"/>
      <c r="C2" s="279"/>
      <c r="D2" s="280"/>
      <c r="E2" s="281"/>
      <c r="F2" s="281"/>
      <c r="G2" s="281"/>
      <c r="H2" s="282"/>
      <c r="I2" s="283"/>
      <c r="J2" s="283"/>
      <c r="K2" s="283"/>
      <c r="L2" s="282"/>
      <c r="M2" s="284"/>
      <c r="N2" s="284"/>
      <c r="O2" s="284"/>
      <c r="P2" s="285"/>
      <c r="Q2" s="284"/>
      <c r="R2" s="284"/>
      <c r="S2" s="284"/>
      <c r="T2" s="286"/>
      <c r="U2" s="286"/>
      <c r="V2" s="287"/>
    </row>
    <row r="3" spans="1:22" ht="22.5" x14ac:dyDescent="0.45">
      <c r="A3" s="306" t="s">
        <v>174</v>
      </c>
      <c r="B3" s="307">
        <v>200</v>
      </c>
      <c r="C3" s="308" t="s">
        <v>334</v>
      </c>
      <c r="D3" s="288"/>
      <c r="E3" s="289">
        <f>SUMIF('Pipe Audit'!$D$3:$D$82,A3,'Pipe Audit'!$K$3:$K$82)</f>
        <v>0</v>
      </c>
      <c r="F3" s="289">
        <f>SUMIF('Pipe Audit'!$D$3:$D$82,A3,'Pipe Audit'!$O$3:$O$82)</f>
        <v>0</v>
      </c>
      <c r="G3" s="289">
        <f t="shared" ref="G3:G34" si="0">E3-F3</f>
        <v>0</v>
      </c>
      <c r="H3" s="290" t="e">
        <f t="shared" ref="H3:H34" si="1">F3/E3</f>
        <v>#DIV/0!</v>
      </c>
      <c r="I3" s="289">
        <f>SUMIF('Pipe Audit'!$D$3:$D$82,A3,'Pipe Audit'!$BD$3:$BD$82)</f>
        <v>0</v>
      </c>
      <c r="J3" s="289">
        <f>SUMIF('Pipe Audit'!$D$3:$D$82,A3,'Pipe Audit'!$BE$3:$BE$82)</f>
        <v>0</v>
      </c>
      <c r="K3" s="289">
        <f>I3-J3</f>
        <v>0</v>
      </c>
      <c r="L3" s="291" t="e">
        <f t="shared" ref="L3:L34" si="2">J3/I3</f>
        <v>#DIV/0!</v>
      </c>
      <c r="M3" s="289">
        <f>SUMIF('Pipe Audit'!$D$3:$D$82,A3,'Pipe Audit'!$AJ$3:$AJ$82)</f>
        <v>0</v>
      </c>
      <c r="N3" s="292" cm="1">
        <f t="array" ref="N3">SUM(IF('Pipe Audit'!$D$3:$D$82=$A3,IF('Pipe Audit'!$Q$3:$Q$82=1,'Pipe Audit'!$AJ$3:$AJ$82)))</f>
        <v>0</v>
      </c>
      <c r="O3" s="292">
        <f t="shared" ref="O3:O34" si="3">M3-N3</f>
        <v>0</v>
      </c>
      <c r="P3" s="293" t="e">
        <f t="shared" ref="P3:P34" si="4">N3/M3</f>
        <v>#DIV/0!</v>
      </c>
      <c r="Q3" s="294" cm="1">
        <f t="array" ref="Q3">SUM(IF('Pipe Audit'!$D$3:$D$82=$A3,IF('Pipe Audit'!$AJ$3:$AJ$82=1,'Pipe Audit'!$K$3:$K$82)))</f>
        <v>0</v>
      </c>
      <c r="R3" s="294">
        <f t="array" ref="R3">SUM(IF('Pipe Audit'!$D$3:$D$82=$A3,IF('Pipe Audit'!$Q$3:$Q$82=1,'Pipe Audit'!$K$3:$K$82)))</f>
        <v>0</v>
      </c>
      <c r="S3" s="294" cm="1">
        <f t="array" ref="S3">SUM(IF('Pipe Audit'!$D$3:$D$82=$A3,IF('Pipe Audit'!$U$3:$U$82&gt;0.25,'Pipe Audit'!$AJ$3:$AJ$82)))</f>
        <v>0</v>
      </c>
      <c r="T3" s="294">
        <f t="array" ref="T3">SUM(IF('Pipe Audit'!$D$3:$D$82=$A3,IF('Pipe Audit'!$U$3:$U$82&gt;0.2,'Pipe Audit'!$K$3:$K$82)))</f>
        <v>0</v>
      </c>
      <c r="U3" s="295">
        <f t="shared" ref="U3:U34" si="5">SUM(M3-S3)</f>
        <v>0</v>
      </c>
      <c r="V3" s="296" t="e">
        <f t="shared" ref="V3:V34" si="6">SUM(S3/M3)</f>
        <v>#DIV/0!</v>
      </c>
    </row>
    <row r="4" spans="1:22" ht="22.5" x14ac:dyDescent="0.45">
      <c r="A4" s="306" t="s">
        <v>229</v>
      </c>
      <c r="B4" s="307">
        <v>200</v>
      </c>
      <c r="C4" s="308" t="s">
        <v>335</v>
      </c>
      <c r="D4" s="288"/>
      <c r="E4" s="289">
        <f>SUMIF('Pipe Audit'!$D$3:$D$82,A4,'Pipe Audit'!$K$3:$K$82)</f>
        <v>0</v>
      </c>
      <c r="F4" s="289">
        <f>SUMIF('Pipe Audit'!$D$3:$D$82,A4,'Pipe Audit'!$O$3:$O$82)</f>
        <v>0</v>
      </c>
      <c r="G4" s="289">
        <f t="shared" si="0"/>
        <v>0</v>
      </c>
      <c r="H4" s="290" t="e">
        <f t="shared" si="1"/>
        <v>#DIV/0!</v>
      </c>
      <c r="I4" s="289">
        <f>SUMIF('Pipe Audit'!$D$3:$D$82,A4,'Pipe Audit'!$BD$3:$BD$82)</f>
        <v>0</v>
      </c>
      <c r="J4" s="289">
        <f>SUMIF('Pipe Audit'!$D$3:$D$82,A4,'Pipe Audit'!$BE$3:$BE$82)</f>
        <v>0</v>
      </c>
      <c r="K4" s="289">
        <f t="shared" ref="K4:K34" si="7">I4-J4</f>
        <v>0</v>
      </c>
      <c r="L4" s="291" t="e">
        <f t="shared" si="2"/>
        <v>#DIV/0!</v>
      </c>
      <c r="M4" s="289">
        <f>SUMIF('Pipe Audit'!$D$3:$D$82,A4,'Pipe Audit'!$AJ$3:$AJ$82)</f>
        <v>0</v>
      </c>
      <c r="N4" s="292" cm="1">
        <f t="array" ref="N4">SUM(IF('Pipe Audit'!$D$3:$D$82=$A4,IF('Pipe Audit'!$Q$3:$Q$82=1,'Pipe Audit'!$AJ$3:$AJ$82)))</f>
        <v>0</v>
      </c>
      <c r="O4" s="292">
        <f t="shared" si="3"/>
        <v>0</v>
      </c>
      <c r="P4" s="293" t="e">
        <f t="shared" si="4"/>
        <v>#DIV/0!</v>
      </c>
      <c r="Q4" s="294" cm="1">
        <f t="array" ref="Q4">SUM(IF('Pipe Audit'!$D$3:$D$82=$A4,IF('Pipe Audit'!$AJ$3:$AJ$82=1,'Pipe Audit'!$K$3:$K$82)))</f>
        <v>0</v>
      </c>
      <c r="R4" s="294">
        <f t="array" ref="R4">SUM(IF('Pipe Audit'!$D$3:$D$82=$A4,IF('Pipe Audit'!$Q$3:$Q$82=1,'Pipe Audit'!$K$3:$K$82)))</f>
        <v>0</v>
      </c>
      <c r="S4" s="294" cm="1">
        <f t="array" ref="S4">SUM(IF('Pipe Audit'!$D$3:$D$82=$A4,IF('Pipe Audit'!$U$3:$U$82&gt;0.25,'Pipe Audit'!$AJ$3:$AJ$82)))</f>
        <v>0</v>
      </c>
      <c r="T4" s="294">
        <f t="array" ref="T4">SUM(IF('Pipe Audit'!$D$3:$D$82=$A4,IF('Pipe Audit'!$U$3:$U$82&gt;0.2,'Pipe Audit'!$K$3:$K$82)))</f>
        <v>0</v>
      </c>
      <c r="U4" s="295">
        <f t="shared" si="5"/>
        <v>0</v>
      </c>
      <c r="V4" s="296" t="e">
        <f t="shared" si="6"/>
        <v>#DIV/0!</v>
      </c>
    </row>
    <row r="5" spans="1:22" ht="22.5" x14ac:dyDescent="0.45">
      <c r="A5" s="306" t="s">
        <v>291</v>
      </c>
      <c r="B5" s="307">
        <v>200</v>
      </c>
      <c r="C5" s="308" t="s">
        <v>336</v>
      </c>
      <c r="D5" s="288"/>
      <c r="E5" s="289">
        <f>SUMIF('Pipe Audit'!$D$3:$D$82,A5,'Pipe Audit'!$K$3:$K$82)</f>
        <v>0</v>
      </c>
      <c r="F5" s="289">
        <f>SUMIF('Pipe Audit'!$D$3:$D$82,A5,'Pipe Audit'!$O$3:$O$82)</f>
        <v>0</v>
      </c>
      <c r="G5" s="289">
        <f t="shared" si="0"/>
        <v>0</v>
      </c>
      <c r="H5" s="290" t="e">
        <f t="shared" si="1"/>
        <v>#DIV/0!</v>
      </c>
      <c r="I5" s="289">
        <f>SUMIF('Pipe Audit'!$D$3:$D$82,A5,'Pipe Audit'!$BD$3:$BD$82)</f>
        <v>0</v>
      </c>
      <c r="J5" s="289">
        <f>SUMIF('Pipe Audit'!$D$3:$D$82,A5,'Pipe Audit'!$BE$3:$BE$82)</f>
        <v>0</v>
      </c>
      <c r="K5" s="289">
        <f t="shared" si="7"/>
        <v>0</v>
      </c>
      <c r="L5" s="291" t="e">
        <f t="shared" si="2"/>
        <v>#DIV/0!</v>
      </c>
      <c r="M5" s="289">
        <f>SUMIF('Pipe Audit'!$D$3:$D$82,A5,'Pipe Audit'!$AJ$3:$AJ$82)</f>
        <v>0</v>
      </c>
      <c r="N5" s="292" cm="1">
        <f t="array" ref="N5">SUM(IF('Pipe Audit'!$D$3:$D$82=$A5,IF('Pipe Audit'!$Q$3:$Q$82=1,'Pipe Audit'!$AJ$3:$AJ$82)))</f>
        <v>0</v>
      </c>
      <c r="O5" s="292">
        <f t="shared" si="3"/>
        <v>0</v>
      </c>
      <c r="P5" s="293" t="e">
        <f t="shared" si="4"/>
        <v>#DIV/0!</v>
      </c>
      <c r="Q5" s="294" cm="1">
        <f t="array" ref="Q5">SUM(IF('Pipe Audit'!$D$3:$D$82=$A5,IF('Pipe Audit'!$AJ$3:$AJ$82=1,'Pipe Audit'!$K$3:$K$82)))</f>
        <v>0</v>
      </c>
      <c r="R5" s="294">
        <f t="array" ref="R5">SUM(IF('Pipe Audit'!$D$3:$D$82=$A5,IF('Pipe Audit'!$Q$3:$Q$82=1,'Pipe Audit'!$K$3:$K$82)))</f>
        <v>0</v>
      </c>
      <c r="S5" s="294" cm="1">
        <f t="array" ref="S5">SUM(IF('Pipe Audit'!$D$3:$D$82=$A5,IF('Pipe Audit'!$U$3:$U$82&gt;0.25,'Pipe Audit'!$AJ$3:$AJ$82)))</f>
        <v>0</v>
      </c>
      <c r="T5" s="294">
        <f t="array" ref="T5">SUM(IF('Pipe Audit'!$D$3:$D$82=$A5,IF('Pipe Audit'!$U$3:$U$82&gt;0.2,'Pipe Audit'!$K$3:$K$82)))</f>
        <v>0</v>
      </c>
      <c r="U5" s="295">
        <f t="shared" si="5"/>
        <v>0</v>
      </c>
      <c r="V5" s="296" t="e">
        <f t="shared" si="6"/>
        <v>#DIV/0!</v>
      </c>
    </row>
    <row r="6" spans="1:22" ht="22.5" x14ac:dyDescent="0.45">
      <c r="A6" s="306" t="s">
        <v>159</v>
      </c>
      <c r="B6" s="307">
        <v>201</v>
      </c>
      <c r="C6" s="308" t="s">
        <v>337</v>
      </c>
      <c r="D6" s="288"/>
      <c r="E6" s="289">
        <f>SUMIF('Pipe Audit'!$D$3:$D$82,A6,'Pipe Audit'!$K$3:$K$82)</f>
        <v>0</v>
      </c>
      <c r="F6" s="289">
        <f>SUMIF('Pipe Audit'!$D$3:$D$82,A6,'Pipe Audit'!$O$3:$O$82)</f>
        <v>0</v>
      </c>
      <c r="G6" s="289">
        <f t="shared" si="0"/>
        <v>0</v>
      </c>
      <c r="H6" s="290" t="e">
        <f t="shared" si="1"/>
        <v>#DIV/0!</v>
      </c>
      <c r="I6" s="289">
        <f>SUMIF('Pipe Audit'!$D$3:$D$82,A6,'Pipe Audit'!$BD$3:$BD$82)</f>
        <v>0</v>
      </c>
      <c r="J6" s="289">
        <f>SUMIF('Pipe Audit'!$D$3:$D$82,A6,'Pipe Audit'!$BE$3:$BE$82)</f>
        <v>0</v>
      </c>
      <c r="K6" s="289">
        <f t="shared" si="7"/>
        <v>0</v>
      </c>
      <c r="L6" s="291" t="e">
        <f t="shared" si="2"/>
        <v>#DIV/0!</v>
      </c>
      <c r="M6" s="289">
        <f>SUMIF('Pipe Audit'!$D$3:$D$82,A6,'Pipe Audit'!$AJ$3:$AJ$82)</f>
        <v>0</v>
      </c>
      <c r="N6" s="292" cm="1">
        <f t="array" ref="N6">SUM(IF('Pipe Audit'!$D$3:$D$82=$A6,IF('Pipe Audit'!$Q$3:$Q$82=1,'Pipe Audit'!$AJ$3:$AJ$82)))</f>
        <v>0</v>
      </c>
      <c r="O6" s="292">
        <f t="shared" si="3"/>
        <v>0</v>
      </c>
      <c r="P6" s="293" t="e">
        <f t="shared" si="4"/>
        <v>#DIV/0!</v>
      </c>
      <c r="Q6" s="294" cm="1">
        <f t="array" ref="Q6">SUM(IF('Pipe Audit'!$D$3:$D$82=$A6,IF('Pipe Audit'!$AJ$3:$AJ$82=1,'Pipe Audit'!$K$3:$K$82)))</f>
        <v>0</v>
      </c>
      <c r="R6" s="294">
        <f t="array" ref="R6">SUM(IF('Pipe Audit'!$D$3:$D$82=$A6,IF('Pipe Audit'!$Q$3:$Q$82=1,'Pipe Audit'!$K$3:$K$82)))</f>
        <v>0</v>
      </c>
      <c r="S6" s="294" cm="1">
        <f t="array" ref="S6">SUM(IF('Pipe Audit'!$D$3:$D$82=$A6,IF('Pipe Audit'!$U$3:$U$82&gt;0.25,'Pipe Audit'!$AJ$3:$AJ$82)))</f>
        <v>0</v>
      </c>
      <c r="T6" s="294">
        <f t="array" ref="T6">SUM(IF('Pipe Audit'!$D$3:$D$82=$A6,IF('Pipe Audit'!$U$3:$U$82&gt;0.2,'Pipe Audit'!$K$3:$K$82)))</f>
        <v>0</v>
      </c>
      <c r="U6" s="295">
        <f t="shared" si="5"/>
        <v>0</v>
      </c>
      <c r="V6" s="296" t="e">
        <f t="shared" si="6"/>
        <v>#DIV/0!</v>
      </c>
    </row>
    <row r="7" spans="1:22" ht="22.5" x14ac:dyDescent="0.45">
      <c r="A7" s="306" t="s">
        <v>186</v>
      </c>
      <c r="B7" s="307">
        <v>201</v>
      </c>
      <c r="C7" s="308" t="s">
        <v>338</v>
      </c>
      <c r="D7" s="288"/>
      <c r="E7" s="289">
        <f>SUMIF('Pipe Audit'!$D$3:$D$82,A7,'Pipe Audit'!$K$3:$K$82)</f>
        <v>0</v>
      </c>
      <c r="F7" s="289">
        <f>SUMIF('Pipe Audit'!$D$3:$D$82,A7,'Pipe Audit'!$O$3:$O$82)</f>
        <v>0</v>
      </c>
      <c r="G7" s="289">
        <f t="shared" ref="G7" si="8">E7-F7</f>
        <v>0</v>
      </c>
      <c r="H7" s="290" t="e">
        <f t="shared" ref="H7" si="9">F7/E7</f>
        <v>#DIV/0!</v>
      </c>
      <c r="I7" s="289">
        <f>SUMIF('Pipe Audit'!$D$3:$D$82,A7,'Pipe Audit'!$BD$3:$BD$82)</f>
        <v>0</v>
      </c>
      <c r="J7" s="289">
        <f>SUMIF('Pipe Audit'!$D$3:$D$82,A7,'Pipe Audit'!$BE$3:$BE$82)</f>
        <v>0</v>
      </c>
      <c r="K7" s="289">
        <f t="shared" ref="K7" si="10">I7-J7</f>
        <v>0</v>
      </c>
      <c r="L7" s="291" t="e">
        <f t="shared" si="2"/>
        <v>#DIV/0!</v>
      </c>
      <c r="M7" s="289">
        <f>SUMIF('Pipe Audit'!$D$3:$D$82,A7,'Pipe Audit'!$AJ$3:$AJ$82)</f>
        <v>0</v>
      </c>
      <c r="N7" s="292" cm="1">
        <f t="array" ref="N7">SUM(IF('Pipe Audit'!$D$3:$D$82=$A7,IF('Pipe Audit'!$Q$3:$Q$82=1,'Pipe Audit'!$AJ$3:$AJ$82)))</f>
        <v>0</v>
      </c>
      <c r="O7" s="292">
        <f t="shared" si="3"/>
        <v>0</v>
      </c>
      <c r="P7" s="293" t="e">
        <f t="shared" si="4"/>
        <v>#DIV/0!</v>
      </c>
      <c r="Q7" s="294" cm="1">
        <f t="array" ref="Q7">SUM(IF('Pipe Audit'!$D$3:$D$82=$A7,IF('Pipe Audit'!$AJ$3:$AJ$82=1,'Pipe Audit'!$K$3:$K$82)))</f>
        <v>0</v>
      </c>
      <c r="R7" s="294">
        <f t="array" ref="R7">SUM(IF('Pipe Audit'!$D$3:$D$82=$A7,IF('Pipe Audit'!$Q$3:$Q$82=1,'Pipe Audit'!$K$3:$K$82)))</f>
        <v>0</v>
      </c>
      <c r="S7" s="294" cm="1">
        <f t="array" ref="S7">SUM(IF('Pipe Audit'!$D$3:$D$82=$A7,IF('Pipe Audit'!$U$3:$U$82&gt;0.25,'Pipe Audit'!$AJ$3:$AJ$82)))</f>
        <v>0</v>
      </c>
      <c r="T7" s="294">
        <f t="array" ref="T7">SUM(IF('Pipe Audit'!$D$3:$D$82=$A7,IF('Pipe Audit'!$U$3:$U$82&gt;0.2,'Pipe Audit'!$K$3:$K$82)))</f>
        <v>0</v>
      </c>
      <c r="U7" s="295">
        <f t="shared" si="5"/>
        <v>0</v>
      </c>
      <c r="V7" s="296" t="e">
        <f t="shared" si="6"/>
        <v>#DIV/0!</v>
      </c>
    </row>
    <row r="8" spans="1:22" ht="22.5" x14ac:dyDescent="0.45">
      <c r="A8" s="306" t="s">
        <v>162</v>
      </c>
      <c r="B8" s="307">
        <v>202</v>
      </c>
      <c r="C8" s="308" t="s">
        <v>339</v>
      </c>
      <c r="D8" s="288"/>
      <c r="E8" s="289">
        <f>SUMIF('Pipe Audit'!$D$3:$D$82,A8,'Pipe Audit'!$K$3:$K$82)</f>
        <v>0</v>
      </c>
      <c r="F8" s="289">
        <f>SUMIF('Pipe Audit'!$D$3:$D$82,A8,'Pipe Audit'!$O$3:$O$82)</f>
        <v>0</v>
      </c>
      <c r="G8" s="289">
        <f t="shared" si="0"/>
        <v>0</v>
      </c>
      <c r="H8" s="290" t="e">
        <f t="shared" si="1"/>
        <v>#DIV/0!</v>
      </c>
      <c r="I8" s="289">
        <f>SUMIF('Pipe Audit'!$D$3:$D$82,A8,'Pipe Audit'!$BD$3:$BD$82)</f>
        <v>0</v>
      </c>
      <c r="J8" s="289">
        <f>SUMIF('Pipe Audit'!$D$3:$D$82,A8,'Pipe Audit'!$BE$3:$BE$82)</f>
        <v>0</v>
      </c>
      <c r="K8" s="289">
        <f t="shared" si="7"/>
        <v>0</v>
      </c>
      <c r="L8" s="291" t="e">
        <f t="shared" si="2"/>
        <v>#DIV/0!</v>
      </c>
      <c r="M8" s="289">
        <f>SUMIF('Pipe Audit'!$D$3:$D$82,A8,'Pipe Audit'!$AJ$3:$AJ$82)</f>
        <v>0</v>
      </c>
      <c r="N8" s="292" cm="1">
        <f t="array" ref="N8">SUM(IF('Pipe Audit'!$D$3:$D$82=$A8,IF('Pipe Audit'!$Q$3:$Q$82=1,'Pipe Audit'!$AJ$3:$AJ$82)))</f>
        <v>0</v>
      </c>
      <c r="O8" s="292">
        <f t="shared" si="3"/>
        <v>0</v>
      </c>
      <c r="P8" s="293" t="e">
        <f t="shared" si="4"/>
        <v>#DIV/0!</v>
      </c>
      <c r="Q8" s="294" cm="1">
        <f t="array" ref="Q8">SUM(IF('Pipe Audit'!$D$3:$D$82=$A8,IF('Pipe Audit'!$AJ$3:$AJ$82=1,'Pipe Audit'!$K$3:$K$82)))</f>
        <v>0</v>
      </c>
      <c r="R8" s="294">
        <f t="array" ref="R8">SUM(IF('Pipe Audit'!$D$3:$D$82=$A8,IF('Pipe Audit'!$Q$3:$Q$82=1,'Pipe Audit'!$K$3:$K$82)))</f>
        <v>0</v>
      </c>
      <c r="S8" s="294" cm="1">
        <f t="array" ref="S8">SUM(IF('Pipe Audit'!$D$3:$D$82=$A8,IF('Pipe Audit'!$U$3:$U$82&gt;0.25,'Pipe Audit'!$AJ$3:$AJ$82)))</f>
        <v>0</v>
      </c>
      <c r="T8" s="294">
        <f t="array" ref="T8">SUM(IF('Pipe Audit'!$D$3:$D$82=$A8,IF('Pipe Audit'!$U$3:$U$82&gt;0.2,'Pipe Audit'!$K$3:$K$82)))</f>
        <v>0</v>
      </c>
      <c r="U8" s="295">
        <f t="shared" si="5"/>
        <v>0</v>
      </c>
      <c r="V8" s="296" t="e">
        <f t="shared" si="6"/>
        <v>#DIV/0!</v>
      </c>
    </row>
    <row r="9" spans="1:22" ht="22.5" x14ac:dyDescent="0.45">
      <c r="A9" s="306" t="s">
        <v>202</v>
      </c>
      <c r="B9" s="307">
        <v>202</v>
      </c>
      <c r="C9" s="308" t="s">
        <v>340</v>
      </c>
      <c r="D9" s="288"/>
      <c r="E9" s="289">
        <f>SUMIF('Pipe Audit'!$D$3:$D$82,A9,'Pipe Audit'!$K$3:$K$82)</f>
        <v>0</v>
      </c>
      <c r="F9" s="289">
        <f>SUMIF('Pipe Audit'!$D$3:$D$82,A9,'Pipe Audit'!$O$3:$O$82)</f>
        <v>0</v>
      </c>
      <c r="G9" s="289">
        <f t="shared" si="0"/>
        <v>0</v>
      </c>
      <c r="H9" s="290" t="e">
        <f t="shared" si="1"/>
        <v>#DIV/0!</v>
      </c>
      <c r="I9" s="289">
        <f>SUMIF('Pipe Audit'!$D$3:$D$82,A9,'Pipe Audit'!$BD$3:$BD$82)</f>
        <v>0</v>
      </c>
      <c r="J9" s="289">
        <f>SUMIF('Pipe Audit'!$D$3:$D$82,A9,'Pipe Audit'!$BE$3:$BE$82)</f>
        <v>0</v>
      </c>
      <c r="K9" s="289">
        <f t="shared" si="7"/>
        <v>0</v>
      </c>
      <c r="L9" s="291" t="e">
        <f t="shared" si="2"/>
        <v>#DIV/0!</v>
      </c>
      <c r="M9" s="289">
        <f>SUMIF('Pipe Audit'!$D$3:$D$82,A9,'Pipe Audit'!$AJ$3:$AJ$82)</f>
        <v>0</v>
      </c>
      <c r="N9" s="292" cm="1">
        <f t="array" ref="N9">SUM(IF('Pipe Audit'!$D$3:$D$82=$A9,IF('Pipe Audit'!$Q$3:$Q$82=1,'Pipe Audit'!$AJ$3:$AJ$82)))</f>
        <v>0</v>
      </c>
      <c r="O9" s="292">
        <f t="shared" si="3"/>
        <v>0</v>
      </c>
      <c r="P9" s="293" t="e">
        <f t="shared" si="4"/>
        <v>#DIV/0!</v>
      </c>
      <c r="Q9" s="294" cm="1">
        <f t="array" ref="Q9">SUM(IF('Pipe Audit'!$D$3:$D$82=$A9,IF('Pipe Audit'!$AJ$3:$AJ$82=1,'Pipe Audit'!$K$3:$K$82)))</f>
        <v>0</v>
      </c>
      <c r="R9" s="294">
        <f t="array" ref="R9">SUM(IF('Pipe Audit'!$D$3:$D$82=$A9,IF('Pipe Audit'!$Q$3:$Q$82=1,'Pipe Audit'!$K$3:$K$82)))</f>
        <v>0</v>
      </c>
      <c r="S9" s="294" cm="1">
        <f t="array" ref="S9">SUM(IF('Pipe Audit'!$D$3:$D$82=$A9,IF('Pipe Audit'!$U$3:$U$82&gt;0.25,'Pipe Audit'!$AJ$3:$AJ$82)))</f>
        <v>0</v>
      </c>
      <c r="T9" s="294">
        <f t="array" ref="T9">SUM(IF('Pipe Audit'!$D$3:$D$82=$A9,IF('Pipe Audit'!$U$3:$U$82&gt;0.2,'Pipe Audit'!$K$3:$K$82)))</f>
        <v>0</v>
      </c>
      <c r="U9" s="295">
        <f t="shared" si="5"/>
        <v>0</v>
      </c>
      <c r="V9" s="296" t="e">
        <f t="shared" si="6"/>
        <v>#DIV/0!</v>
      </c>
    </row>
    <row r="10" spans="1:22" ht="22.5" x14ac:dyDescent="0.45">
      <c r="A10" s="306" t="s">
        <v>292</v>
      </c>
      <c r="B10" s="307">
        <v>202</v>
      </c>
      <c r="C10" s="308" t="s">
        <v>341</v>
      </c>
      <c r="D10" s="288"/>
      <c r="E10" s="289">
        <f>SUMIF('Pipe Audit'!$D$3:$D$82,A10,'Pipe Audit'!$K$3:$K$82)</f>
        <v>0</v>
      </c>
      <c r="F10" s="289">
        <f>SUMIF('Pipe Audit'!$D$3:$D$82,A10,'Pipe Audit'!$O$3:$O$82)</f>
        <v>0</v>
      </c>
      <c r="G10" s="289">
        <f t="shared" si="0"/>
        <v>0</v>
      </c>
      <c r="H10" s="290" t="e">
        <f t="shared" si="1"/>
        <v>#DIV/0!</v>
      </c>
      <c r="I10" s="289">
        <f>SUMIF('Pipe Audit'!$D$3:$D$82,A10,'Pipe Audit'!$BD$3:$BD$82)</f>
        <v>0</v>
      </c>
      <c r="J10" s="289">
        <f>SUMIF('Pipe Audit'!$D$3:$D$82,A10,'Pipe Audit'!$BE$3:$BE$82)</f>
        <v>0</v>
      </c>
      <c r="K10" s="289">
        <f t="shared" si="7"/>
        <v>0</v>
      </c>
      <c r="L10" s="291" t="e">
        <f t="shared" si="2"/>
        <v>#DIV/0!</v>
      </c>
      <c r="M10" s="289">
        <f>SUMIF('Pipe Audit'!$D$3:$D$82,A10,'Pipe Audit'!$AJ$3:$AJ$82)</f>
        <v>0</v>
      </c>
      <c r="N10" s="292" cm="1">
        <f t="array" ref="N10">SUM(IF('Pipe Audit'!$D$3:$D$82=$A10,IF('Pipe Audit'!$Q$3:$Q$82=1,'Pipe Audit'!$AJ$3:$AJ$82)))</f>
        <v>0</v>
      </c>
      <c r="O10" s="292">
        <f t="shared" si="3"/>
        <v>0</v>
      </c>
      <c r="P10" s="293" t="e">
        <f t="shared" si="4"/>
        <v>#DIV/0!</v>
      </c>
      <c r="Q10" s="294" cm="1">
        <f t="array" ref="Q10">SUM(IF('Pipe Audit'!$D$3:$D$82=$A10,IF('Pipe Audit'!$AJ$3:$AJ$82=1,'Pipe Audit'!$K$3:$K$82)))</f>
        <v>0</v>
      </c>
      <c r="R10" s="294">
        <f t="array" ref="R10">SUM(IF('Pipe Audit'!$D$3:$D$82=$A10,IF('Pipe Audit'!$Q$3:$Q$82=1,'Pipe Audit'!$K$3:$K$82)))</f>
        <v>0</v>
      </c>
      <c r="S10" s="294" cm="1">
        <f t="array" ref="S10">SUM(IF('Pipe Audit'!$D$3:$D$82=$A10,IF('Pipe Audit'!$U$3:$U$82&gt;0.25,'Pipe Audit'!$AJ$3:$AJ$82)))</f>
        <v>0</v>
      </c>
      <c r="T10" s="294">
        <f t="array" ref="T10">SUM(IF('Pipe Audit'!$D$3:$D$82=$A10,IF('Pipe Audit'!$U$3:$U$82&gt;0.2,'Pipe Audit'!$K$3:$K$82)))</f>
        <v>0</v>
      </c>
      <c r="U10" s="295">
        <f t="shared" si="5"/>
        <v>0</v>
      </c>
      <c r="V10" s="296" t="e">
        <f t="shared" si="6"/>
        <v>#DIV/0!</v>
      </c>
    </row>
    <row r="11" spans="1:22" ht="22.5" x14ac:dyDescent="0.45">
      <c r="A11" s="306" t="s">
        <v>219</v>
      </c>
      <c r="B11" s="307">
        <v>202</v>
      </c>
      <c r="C11" s="308" t="s">
        <v>342</v>
      </c>
      <c r="D11" s="288"/>
      <c r="E11" s="289">
        <f>SUMIF('Pipe Audit'!$D$3:$D$82,A11,'Pipe Audit'!$K$3:$K$82)</f>
        <v>0</v>
      </c>
      <c r="F11" s="289">
        <f>SUMIF('Pipe Audit'!$D$3:$D$82,A11,'Pipe Audit'!$O$3:$O$82)</f>
        <v>0</v>
      </c>
      <c r="G11" s="289">
        <f t="shared" si="0"/>
        <v>0</v>
      </c>
      <c r="H11" s="290" t="e">
        <f t="shared" si="1"/>
        <v>#DIV/0!</v>
      </c>
      <c r="I11" s="289">
        <f>SUMIF('Pipe Audit'!$D$3:$D$82,A11,'Pipe Audit'!$BD$3:$BD$82)</f>
        <v>0</v>
      </c>
      <c r="J11" s="289">
        <f>SUMIF('Pipe Audit'!$D$3:$D$82,A11,'Pipe Audit'!$BE$3:$BE$82)</f>
        <v>0</v>
      </c>
      <c r="K11" s="289">
        <f t="shared" si="7"/>
        <v>0</v>
      </c>
      <c r="L11" s="291" t="e">
        <f t="shared" si="2"/>
        <v>#DIV/0!</v>
      </c>
      <c r="M11" s="289">
        <f>SUMIF('Pipe Audit'!$D$3:$D$82,A11,'Pipe Audit'!$AJ$3:$AJ$82)</f>
        <v>0</v>
      </c>
      <c r="N11" s="292" cm="1">
        <f t="array" ref="N11">SUM(IF('Pipe Audit'!$D$3:$D$82=$A11,IF('Pipe Audit'!$Q$3:$Q$82=1,'Pipe Audit'!$AJ$3:$AJ$82)))</f>
        <v>0</v>
      </c>
      <c r="O11" s="292">
        <f t="shared" si="3"/>
        <v>0</v>
      </c>
      <c r="P11" s="293" t="e">
        <f t="shared" si="4"/>
        <v>#DIV/0!</v>
      </c>
      <c r="Q11" s="294" cm="1">
        <f t="array" ref="Q11">SUM(IF('Pipe Audit'!$D$3:$D$82=$A11,IF('Pipe Audit'!$AJ$3:$AJ$82=1,'Pipe Audit'!$K$3:$K$82)))</f>
        <v>0</v>
      </c>
      <c r="R11" s="294">
        <f t="array" ref="R11">SUM(IF('Pipe Audit'!$D$3:$D$82=$A11,IF('Pipe Audit'!$Q$3:$Q$82=1,'Pipe Audit'!$K$3:$K$82)))</f>
        <v>0</v>
      </c>
      <c r="S11" s="294" cm="1">
        <f t="array" ref="S11">SUM(IF('Pipe Audit'!$D$3:$D$82=$A11,IF('Pipe Audit'!$U$3:$U$82&gt;0.25,'Pipe Audit'!$AJ$3:$AJ$82)))</f>
        <v>0</v>
      </c>
      <c r="T11" s="294">
        <f t="array" ref="T11">SUM(IF('Pipe Audit'!$D$3:$D$82=$A11,IF('Pipe Audit'!$U$3:$U$82&gt;0.2,'Pipe Audit'!$K$3:$K$82)))</f>
        <v>0</v>
      </c>
      <c r="U11" s="295">
        <f t="shared" si="5"/>
        <v>0</v>
      </c>
      <c r="V11" s="296" t="e">
        <f t="shared" si="6"/>
        <v>#DIV/0!</v>
      </c>
    </row>
    <row r="12" spans="1:22" ht="22.5" x14ac:dyDescent="0.45">
      <c r="A12" s="306" t="s">
        <v>255</v>
      </c>
      <c r="B12" s="307">
        <v>202</v>
      </c>
      <c r="C12" s="308" t="s">
        <v>343</v>
      </c>
      <c r="D12" s="288"/>
      <c r="E12" s="289">
        <f>SUMIF('Pipe Audit'!$D$3:$D$82,A12,'Pipe Audit'!$K$3:$K$82)</f>
        <v>0</v>
      </c>
      <c r="F12" s="289">
        <f>SUMIF('Pipe Audit'!$D$3:$D$82,A12,'Pipe Audit'!$O$3:$O$82)</f>
        <v>0</v>
      </c>
      <c r="G12" s="289">
        <f t="shared" si="0"/>
        <v>0</v>
      </c>
      <c r="H12" s="290" t="e">
        <f t="shared" si="1"/>
        <v>#DIV/0!</v>
      </c>
      <c r="I12" s="289">
        <f>SUMIF('Pipe Audit'!$D$3:$D$82,A12,'Pipe Audit'!$BD$3:$BD$82)</f>
        <v>0</v>
      </c>
      <c r="J12" s="289">
        <f>SUMIF('Pipe Audit'!$D$3:$D$82,A12,'Pipe Audit'!$BE$3:$BE$82)</f>
        <v>0</v>
      </c>
      <c r="K12" s="289">
        <f t="shared" si="7"/>
        <v>0</v>
      </c>
      <c r="L12" s="291" t="e">
        <f t="shared" si="2"/>
        <v>#DIV/0!</v>
      </c>
      <c r="M12" s="289">
        <f>SUMIF('Pipe Audit'!$D$3:$D$82,A12,'Pipe Audit'!$AJ$3:$AJ$82)</f>
        <v>0</v>
      </c>
      <c r="N12" s="292" cm="1">
        <f t="array" ref="N12">SUM(IF('Pipe Audit'!$D$3:$D$82=$A12,IF('Pipe Audit'!$Q$3:$Q$82=1,'Pipe Audit'!$AJ$3:$AJ$82)))</f>
        <v>0</v>
      </c>
      <c r="O12" s="292">
        <f t="shared" si="3"/>
        <v>0</v>
      </c>
      <c r="P12" s="293" t="e">
        <f t="shared" si="4"/>
        <v>#DIV/0!</v>
      </c>
      <c r="Q12" s="294" cm="1">
        <f t="array" ref="Q12">SUM(IF('Pipe Audit'!$D$3:$D$82=$A12,IF('Pipe Audit'!$AJ$3:$AJ$82=1,'Pipe Audit'!$K$3:$K$82)))</f>
        <v>0</v>
      </c>
      <c r="R12" s="294">
        <f t="array" ref="R12">SUM(IF('Pipe Audit'!$D$3:$D$82=$A12,IF('Pipe Audit'!$Q$3:$Q$82=1,'Pipe Audit'!$K$3:$K$82)))</f>
        <v>0</v>
      </c>
      <c r="S12" s="294" cm="1">
        <f t="array" ref="S12">SUM(IF('Pipe Audit'!$D$3:$D$82=$A12,IF('Pipe Audit'!$U$3:$U$82&gt;0.25,'Pipe Audit'!$AJ$3:$AJ$82)))</f>
        <v>0</v>
      </c>
      <c r="T12" s="294">
        <f t="array" ref="T12">SUM(IF('Pipe Audit'!$D$3:$D$82=$A12,IF('Pipe Audit'!$U$3:$U$82&gt;0.2,'Pipe Audit'!$K$3:$K$82)))</f>
        <v>0</v>
      </c>
      <c r="U12" s="295">
        <f t="shared" si="5"/>
        <v>0</v>
      </c>
      <c r="V12" s="296" t="e">
        <f t="shared" si="6"/>
        <v>#DIV/0!</v>
      </c>
    </row>
    <row r="13" spans="1:22" ht="22.5" x14ac:dyDescent="0.45">
      <c r="A13" s="306" t="s">
        <v>199</v>
      </c>
      <c r="B13" s="307">
        <v>202</v>
      </c>
      <c r="C13" s="308" t="s">
        <v>344</v>
      </c>
      <c r="D13" s="288"/>
      <c r="E13" s="289">
        <f>SUMIF('Pipe Audit'!$D$3:$D$82,A13,'Pipe Audit'!$K$3:$K$82)</f>
        <v>0</v>
      </c>
      <c r="F13" s="289">
        <f>SUMIF('Pipe Audit'!$D$3:$D$82,A13,'Pipe Audit'!$O$3:$O$82)</f>
        <v>0</v>
      </c>
      <c r="G13" s="289">
        <f t="shared" si="0"/>
        <v>0</v>
      </c>
      <c r="H13" s="290" t="e">
        <f t="shared" si="1"/>
        <v>#DIV/0!</v>
      </c>
      <c r="I13" s="289">
        <f>SUMIF('Pipe Audit'!$D$3:$D$82,A13,'Pipe Audit'!$BD$3:$BD$82)</f>
        <v>0</v>
      </c>
      <c r="J13" s="289">
        <f>SUMIF('Pipe Audit'!$D$3:$D$82,A13,'Pipe Audit'!$BE$3:$BE$82)</f>
        <v>0</v>
      </c>
      <c r="K13" s="289">
        <f t="shared" si="7"/>
        <v>0</v>
      </c>
      <c r="L13" s="291" t="e">
        <f t="shared" si="2"/>
        <v>#DIV/0!</v>
      </c>
      <c r="M13" s="289">
        <f>SUMIF('Pipe Audit'!$D$3:$D$82,A13,'Pipe Audit'!$AJ$3:$AJ$82)</f>
        <v>0</v>
      </c>
      <c r="N13" s="292" cm="1">
        <f t="array" ref="N13">SUM(IF('Pipe Audit'!$D$3:$D$82=$A13,IF('Pipe Audit'!$Q$3:$Q$82=1,'Pipe Audit'!$AJ$3:$AJ$82)))</f>
        <v>0</v>
      </c>
      <c r="O13" s="292">
        <f t="shared" si="3"/>
        <v>0</v>
      </c>
      <c r="P13" s="293" t="e">
        <f t="shared" si="4"/>
        <v>#DIV/0!</v>
      </c>
      <c r="Q13" s="294" cm="1">
        <f t="array" ref="Q13">SUM(IF('Pipe Audit'!$D$3:$D$82=$A13,IF('Pipe Audit'!$AJ$3:$AJ$82=1,'Pipe Audit'!$K$3:$K$82)))</f>
        <v>0</v>
      </c>
      <c r="R13" s="294">
        <f t="array" ref="R13">SUM(IF('Pipe Audit'!$D$3:$D$82=$A13,IF('Pipe Audit'!$Q$3:$Q$82=1,'Pipe Audit'!$K$3:$K$82)))</f>
        <v>0</v>
      </c>
      <c r="S13" s="294" cm="1">
        <f t="array" ref="S13">SUM(IF('Pipe Audit'!$D$3:$D$82=$A13,IF('Pipe Audit'!$U$3:$U$82&gt;0.25,'Pipe Audit'!$AJ$3:$AJ$82)))</f>
        <v>0</v>
      </c>
      <c r="T13" s="294">
        <f t="array" ref="T13">SUM(IF('Pipe Audit'!$D$3:$D$82=$A13,IF('Pipe Audit'!$U$3:$U$82&gt;0.2,'Pipe Audit'!$K$3:$K$82)))</f>
        <v>0</v>
      </c>
      <c r="U13" s="295">
        <f t="shared" si="5"/>
        <v>0</v>
      </c>
      <c r="V13" s="296" t="e">
        <f t="shared" si="6"/>
        <v>#DIV/0!</v>
      </c>
    </row>
    <row r="14" spans="1:22" ht="22.5" x14ac:dyDescent="0.45">
      <c r="A14" s="306" t="s">
        <v>207</v>
      </c>
      <c r="B14" s="307">
        <v>202</v>
      </c>
      <c r="C14" s="308" t="s">
        <v>345</v>
      </c>
      <c r="D14" s="288"/>
      <c r="E14" s="289">
        <f>SUMIF('Pipe Audit'!$D$3:$D$82,A14,'Pipe Audit'!$K$3:$K$82)</f>
        <v>0</v>
      </c>
      <c r="F14" s="289">
        <f>SUMIF('Pipe Audit'!$D$3:$D$82,A14,'Pipe Audit'!$O$3:$O$82)</f>
        <v>0</v>
      </c>
      <c r="G14" s="289">
        <f t="shared" si="0"/>
        <v>0</v>
      </c>
      <c r="H14" s="290" t="e">
        <f t="shared" si="1"/>
        <v>#DIV/0!</v>
      </c>
      <c r="I14" s="289">
        <f>SUMIF('Pipe Audit'!$D$3:$D$82,A14,'Pipe Audit'!$BD$3:$BD$82)</f>
        <v>0</v>
      </c>
      <c r="J14" s="289">
        <f>SUMIF('Pipe Audit'!$D$3:$D$82,A14,'Pipe Audit'!$BE$3:$BE$82)</f>
        <v>0</v>
      </c>
      <c r="K14" s="289">
        <f t="shared" si="7"/>
        <v>0</v>
      </c>
      <c r="L14" s="291" t="e">
        <f t="shared" si="2"/>
        <v>#DIV/0!</v>
      </c>
      <c r="M14" s="289">
        <f>SUMIF('Pipe Audit'!$D$3:$D$82,A14,'Pipe Audit'!$AJ$3:$AJ$82)</f>
        <v>0</v>
      </c>
      <c r="N14" s="292" cm="1">
        <f t="array" ref="N14">SUM(IF('Pipe Audit'!$D$3:$D$82=$A14,IF('Pipe Audit'!$Q$3:$Q$82=1,'Pipe Audit'!$AJ$3:$AJ$82)))</f>
        <v>0</v>
      </c>
      <c r="O14" s="292">
        <f t="shared" si="3"/>
        <v>0</v>
      </c>
      <c r="P14" s="293" t="e">
        <f t="shared" si="4"/>
        <v>#DIV/0!</v>
      </c>
      <c r="Q14" s="294" cm="1">
        <f t="array" ref="Q14">SUM(IF('Pipe Audit'!$D$3:$D$82=$A14,IF('Pipe Audit'!$AJ$3:$AJ$82=1,'Pipe Audit'!$K$3:$K$82)))</f>
        <v>0</v>
      </c>
      <c r="R14" s="294">
        <f t="array" ref="R14">SUM(IF('Pipe Audit'!$D$3:$D$82=$A14,IF('Pipe Audit'!$Q$3:$Q$82=1,'Pipe Audit'!$K$3:$K$82)))</f>
        <v>0</v>
      </c>
      <c r="S14" s="294" cm="1">
        <f t="array" ref="S14">SUM(IF('Pipe Audit'!$D$3:$D$82=$A14,IF('Pipe Audit'!$U$3:$U$82&gt;0.25,'Pipe Audit'!$AJ$3:$AJ$82)))</f>
        <v>0</v>
      </c>
      <c r="T14" s="294">
        <f t="array" ref="T14">SUM(IF('Pipe Audit'!$D$3:$D$82=$A14,IF('Pipe Audit'!$U$3:$U$82&gt;0.2,'Pipe Audit'!$K$3:$K$82)))</f>
        <v>0</v>
      </c>
      <c r="U14" s="295">
        <f t="shared" si="5"/>
        <v>0</v>
      </c>
      <c r="V14" s="296" t="e">
        <f t="shared" si="6"/>
        <v>#DIV/0!</v>
      </c>
    </row>
    <row r="15" spans="1:22" ht="22.5" x14ac:dyDescent="0.45">
      <c r="A15" s="306" t="s">
        <v>165</v>
      </c>
      <c r="B15" s="307">
        <v>202</v>
      </c>
      <c r="C15" s="308" t="s">
        <v>346</v>
      </c>
      <c r="D15" s="288"/>
      <c r="E15" s="289">
        <f>SUMIF('Pipe Audit'!$D$3:$D$82,A15,'Pipe Audit'!$K$3:$K$82)</f>
        <v>0</v>
      </c>
      <c r="F15" s="289">
        <f>SUMIF('Pipe Audit'!$D$3:$D$82,A15,'Pipe Audit'!$O$3:$O$82)</f>
        <v>0</v>
      </c>
      <c r="G15" s="289">
        <f t="shared" si="0"/>
        <v>0</v>
      </c>
      <c r="H15" s="290" t="e">
        <f t="shared" si="1"/>
        <v>#DIV/0!</v>
      </c>
      <c r="I15" s="289">
        <f>SUMIF('Pipe Audit'!$D$3:$D$82,A15,'Pipe Audit'!$BD$3:$BD$82)</f>
        <v>0</v>
      </c>
      <c r="J15" s="289">
        <f>SUMIF('Pipe Audit'!$D$3:$D$82,A15,'Pipe Audit'!$BE$3:$BE$82)</f>
        <v>0</v>
      </c>
      <c r="K15" s="289">
        <f t="shared" si="7"/>
        <v>0</v>
      </c>
      <c r="L15" s="291" t="e">
        <f t="shared" si="2"/>
        <v>#DIV/0!</v>
      </c>
      <c r="M15" s="289">
        <f>SUMIF('Pipe Audit'!$D$3:$D$82,A15,'Pipe Audit'!$AJ$3:$AJ$82)</f>
        <v>0</v>
      </c>
      <c r="N15" s="292" cm="1">
        <f t="array" ref="N15">SUM(IF('Pipe Audit'!$D$3:$D$82=$A15,IF('Pipe Audit'!$Q$3:$Q$82=1,'Pipe Audit'!$AJ$3:$AJ$82)))</f>
        <v>0</v>
      </c>
      <c r="O15" s="292">
        <f t="shared" si="3"/>
        <v>0</v>
      </c>
      <c r="P15" s="293" t="e">
        <f t="shared" si="4"/>
        <v>#DIV/0!</v>
      </c>
      <c r="Q15" s="294" cm="1">
        <f t="array" ref="Q15">SUM(IF('Pipe Audit'!$D$3:$D$82=$A15,IF('Pipe Audit'!$AJ$3:$AJ$82=1,'Pipe Audit'!$K$3:$K$82)))</f>
        <v>0</v>
      </c>
      <c r="R15" s="294">
        <f t="array" ref="R15">SUM(IF('Pipe Audit'!$D$3:$D$82=$A15,IF('Pipe Audit'!$Q$3:$Q$82=1,'Pipe Audit'!$K$3:$K$82)))</f>
        <v>0</v>
      </c>
      <c r="S15" s="294" cm="1">
        <f t="array" ref="S15">SUM(IF('Pipe Audit'!$D$3:$D$82=$A15,IF('Pipe Audit'!$U$3:$U$82&gt;0.25,'Pipe Audit'!$AJ$3:$AJ$82)))</f>
        <v>0</v>
      </c>
      <c r="T15" s="294">
        <f t="array" ref="T15">SUM(IF('Pipe Audit'!$D$3:$D$82=$A15,IF('Pipe Audit'!$U$3:$U$82&gt;0.2,'Pipe Audit'!$K$3:$K$82)))</f>
        <v>0</v>
      </c>
      <c r="U15" s="295">
        <f t="shared" si="5"/>
        <v>0</v>
      </c>
      <c r="V15" s="296" t="e">
        <f t="shared" si="6"/>
        <v>#DIV/0!</v>
      </c>
    </row>
    <row r="16" spans="1:22" ht="22.5" x14ac:dyDescent="0.45">
      <c r="A16" s="306" t="s">
        <v>163</v>
      </c>
      <c r="B16" s="307">
        <v>202</v>
      </c>
      <c r="C16" s="308" t="s">
        <v>347</v>
      </c>
      <c r="D16" s="288"/>
      <c r="E16" s="289">
        <f>SUMIF('Pipe Audit'!$D$3:$D$82,A16,'Pipe Audit'!$K$3:$K$82)</f>
        <v>0</v>
      </c>
      <c r="F16" s="289">
        <f>SUMIF('Pipe Audit'!$D$3:$D$82,A16,'Pipe Audit'!$O$3:$O$82)</f>
        <v>0</v>
      </c>
      <c r="G16" s="289">
        <f t="shared" si="0"/>
        <v>0</v>
      </c>
      <c r="H16" s="290" t="e">
        <f t="shared" si="1"/>
        <v>#DIV/0!</v>
      </c>
      <c r="I16" s="289">
        <f>SUMIF('Pipe Audit'!$D$3:$D$82,A16,'Pipe Audit'!$BD$3:$BD$82)</f>
        <v>0</v>
      </c>
      <c r="J16" s="289">
        <f>SUMIF('Pipe Audit'!$D$3:$D$82,A16,'Pipe Audit'!$BE$3:$BE$82)</f>
        <v>0</v>
      </c>
      <c r="K16" s="289">
        <f t="shared" si="7"/>
        <v>0</v>
      </c>
      <c r="L16" s="291" t="e">
        <f t="shared" si="2"/>
        <v>#DIV/0!</v>
      </c>
      <c r="M16" s="289">
        <f>SUMIF('Pipe Audit'!$D$3:$D$82,A16,'Pipe Audit'!$AJ$3:$AJ$82)</f>
        <v>0</v>
      </c>
      <c r="N16" s="292" cm="1">
        <f t="array" ref="N16">SUM(IF('Pipe Audit'!$D$3:$D$82=$A16,IF('Pipe Audit'!$Q$3:$Q$82=1,'Pipe Audit'!$AJ$3:$AJ$82)))</f>
        <v>0</v>
      </c>
      <c r="O16" s="292">
        <f t="shared" si="3"/>
        <v>0</v>
      </c>
      <c r="P16" s="293" t="e">
        <f t="shared" si="4"/>
        <v>#DIV/0!</v>
      </c>
      <c r="Q16" s="294" cm="1">
        <f t="array" ref="Q16">SUM(IF('Pipe Audit'!$D$3:$D$82=$A16,IF('Pipe Audit'!$AJ$3:$AJ$82=1,'Pipe Audit'!$K$3:$K$82)))</f>
        <v>0</v>
      </c>
      <c r="R16" s="294">
        <f t="array" ref="R16">SUM(IF('Pipe Audit'!$D$3:$D$82=$A16,IF('Pipe Audit'!$Q$3:$Q$82=1,'Pipe Audit'!$K$3:$K$82)))</f>
        <v>0</v>
      </c>
      <c r="S16" s="294" cm="1">
        <f t="array" ref="S16">SUM(IF('Pipe Audit'!$D$3:$D$82=$A16,IF('Pipe Audit'!$U$3:$U$82&gt;0.25,'Pipe Audit'!$AJ$3:$AJ$82)))</f>
        <v>0</v>
      </c>
      <c r="T16" s="294">
        <f t="array" ref="T16">SUM(IF('Pipe Audit'!$D$3:$D$82=$A16,IF('Pipe Audit'!$U$3:$U$82&gt;0.2,'Pipe Audit'!$K$3:$K$82)))</f>
        <v>0</v>
      </c>
      <c r="U16" s="295">
        <f t="shared" si="5"/>
        <v>0</v>
      </c>
      <c r="V16" s="296" t="e">
        <f t="shared" si="6"/>
        <v>#DIV/0!</v>
      </c>
    </row>
    <row r="17" spans="1:22" ht="22.5" x14ac:dyDescent="0.45">
      <c r="A17" s="306" t="s">
        <v>183</v>
      </c>
      <c r="B17" s="307">
        <v>202</v>
      </c>
      <c r="C17" s="308" t="s">
        <v>348</v>
      </c>
      <c r="D17" s="288"/>
      <c r="E17" s="289">
        <f>SUMIF('Pipe Audit'!$D$3:$D$82,A17,'Pipe Audit'!$K$3:$K$82)</f>
        <v>0</v>
      </c>
      <c r="F17" s="289">
        <f>SUMIF('Pipe Audit'!$D$3:$D$82,A17,'Pipe Audit'!$O$3:$O$82)</f>
        <v>0</v>
      </c>
      <c r="G17" s="289">
        <f t="shared" si="0"/>
        <v>0</v>
      </c>
      <c r="H17" s="290" t="e">
        <f t="shared" si="1"/>
        <v>#DIV/0!</v>
      </c>
      <c r="I17" s="289">
        <f>SUMIF('Pipe Audit'!$D$3:$D$82,A17,'Pipe Audit'!$BD$3:$BD$82)</f>
        <v>0</v>
      </c>
      <c r="J17" s="289">
        <f>SUMIF('Pipe Audit'!$D$3:$D$82,A17,'Pipe Audit'!$BE$3:$BE$82)</f>
        <v>0</v>
      </c>
      <c r="K17" s="289">
        <f t="shared" si="7"/>
        <v>0</v>
      </c>
      <c r="L17" s="291" t="e">
        <f t="shared" si="2"/>
        <v>#DIV/0!</v>
      </c>
      <c r="M17" s="289">
        <f>SUMIF('Pipe Audit'!$D$3:$D$82,A17,'Pipe Audit'!$AJ$3:$AJ$82)</f>
        <v>0</v>
      </c>
      <c r="N17" s="292" cm="1">
        <f t="array" ref="N17">SUM(IF('Pipe Audit'!$D$3:$D$82=$A17,IF('Pipe Audit'!$Q$3:$Q$82=1,'Pipe Audit'!$AJ$3:$AJ$82)))</f>
        <v>0</v>
      </c>
      <c r="O17" s="292">
        <f t="shared" si="3"/>
        <v>0</v>
      </c>
      <c r="P17" s="293" t="e">
        <f t="shared" si="4"/>
        <v>#DIV/0!</v>
      </c>
      <c r="Q17" s="294" cm="1">
        <f t="array" ref="Q17">SUM(IF('Pipe Audit'!$D$3:$D$82=$A17,IF('Pipe Audit'!$AJ$3:$AJ$82=1,'Pipe Audit'!$K$3:$K$82)))</f>
        <v>0</v>
      </c>
      <c r="R17" s="294">
        <f t="array" ref="R17">SUM(IF('Pipe Audit'!$D$3:$D$82=$A17,IF('Pipe Audit'!$Q$3:$Q$82=1,'Pipe Audit'!$K$3:$K$82)))</f>
        <v>0</v>
      </c>
      <c r="S17" s="294" cm="1">
        <f t="array" ref="S17">SUM(IF('Pipe Audit'!$D$3:$D$82=$A17,IF('Pipe Audit'!$U$3:$U$82&gt;0.25,'Pipe Audit'!$AJ$3:$AJ$82)))</f>
        <v>0</v>
      </c>
      <c r="T17" s="294">
        <f t="array" ref="T17">SUM(IF('Pipe Audit'!$D$3:$D$82=$A17,IF('Pipe Audit'!$U$3:$U$82&gt;0.2,'Pipe Audit'!$K$3:$K$82)))</f>
        <v>0</v>
      </c>
      <c r="U17" s="295">
        <f t="shared" si="5"/>
        <v>0</v>
      </c>
      <c r="V17" s="296" t="e">
        <f t="shared" si="6"/>
        <v>#DIV/0!</v>
      </c>
    </row>
    <row r="18" spans="1:22" ht="22.5" x14ac:dyDescent="0.45">
      <c r="A18" s="306" t="s">
        <v>254</v>
      </c>
      <c r="B18" s="307">
        <v>202</v>
      </c>
      <c r="C18" s="308" t="s">
        <v>349</v>
      </c>
      <c r="D18" s="288"/>
      <c r="E18" s="289">
        <f>SUMIF('Pipe Audit'!$D$3:$D$82,A18,'Pipe Audit'!$K$3:$K$82)</f>
        <v>0</v>
      </c>
      <c r="F18" s="289">
        <f>SUMIF('Pipe Audit'!$D$3:$D$82,A18,'Pipe Audit'!$O$3:$O$82)</f>
        <v>0</v>
      </c>
      <c r="G18" s="289">
        <f t="shared" si="0"/>
        <v>0</v>
      </c>
      <c r="H18" s="290" t="e">
        <f t="shared" si="1"/>
        <v>#DIV/0!</v>
      </c>
      <c r="I18" s="289">
        <f>SUMIF('Pipe Audit'!$D$3:$D$82,A18,'Pipe Audit'!$BD$3:$BD$82)</f>
        <v>0</v>
      </c>
      <c r="J18" s="289">
        <f>SUMIF('Pipe Audit'!$D$3:$D$82,A18,'Pipe Audit'!$BE$3:$BE$82)</f>
        <v>0</v>
      </c>
      <c r="K18" s="289">
        <f t="shared" si="7"/>
        <v>0</v>
      </c>
      <c r="L18" s="291" t="e">
        <f t="shared" si="2"/>
        <v>#DIV/0!</v>
      </c>
      <c r="M18" s="289">
        <f>SUMIF('Pipe Audit'!$D$3:$D$82,A18,'Pipe Audit'!$AJ$3:$AJ$82)</f>
        <v>0</v>
      </c>
      <c r="N18" s="292" cm="1">
        <f t="array" ref="N18">SUM(IF('Pipe Audit'!$D$3:$D$82=$A18,IF('Pipe Audit'!$Q$3:$Q$82=1,'Pipe Audit'!$AJ$3:$AJ$82)))</f>
        <v>0</v>
      </c>
      <c r="O18" s="292">
        <f t="shared" si="3"/>
        <v>0</v>
      </c>
      <c r="P18" s="293" t="e">
        <f t="shared" si="4"/>
        <v>#DIV/0!</v>
      </c>
      <c r="Q18" s="294" cm="1">
        <f t="array" ref="Q18">SUM(IF('Pipe Audit'!$D$3:$D$82=$A18,IF('Pipe Audit'!$AJ$3:$AJ$82=1,'Pipe Audit'!$K$3:$K$82)))</f>
        <v>0</v>
      </c>
      <c r="R18" s="294">
        <f t="array" ref="R18">SUM(IF('Pipe Audit'!$D$3:$D$82=$A18,IF('Pipe Audit'!$Q$3:$Q$82=1,'Pipe Audit'!$K$3:$K$82)))</f>
        <v>0</v>
      </c>
      <c r="S18" s="294" cm="1">
        <f t="array" ref="S18">SUM(IF('Pipe Audit'!$D$3:$D$82=$A18,IF('Pipe Audit'!$U$3:$U$82&gt;0.25,'Pipe Audit'!$AJ$3:$AJ$82)))</f>
        <v>0</v>
      </c>
      <c r="T18" s="294">
        <f t="array" ref="T18">SUM(IF('Pipe Audit'!$D$3:$D$82=$A18,IF('Pipe Audit'!$U$3:$U$82&gt;0.2,'Pipe Audit'!$K$3:$K$82)))</f>
        <v>0</v>
      </c>
      <c r="U18" s="295">
        <f t="shared" si="5"/>
        <v>0</v>
      </c>
      <c r="V18" s="296" t="e">
        <f t="shared" si="6"/>
        <v>#DIV/0!</v>
      </c>
    </row>
    <row r="19" spans="1:22" ht="22.5" x14ac:dyDescent="0.45">
      <c r="A19" s="306" t="s">
        <v>293</v>
      </c>
      <c r="B19" s="307">
        <v>202</v>
      </c>
      <c r="C19" s="308" t="s">
        <v>350</v>
      </c>
      <c r="D19" s="288"/>
      <c r="E19" s="289">
        <f>SUMIF('Pipe Audit'!$D$3:$D$82,A19,'Pipe Audit'!$K$3:$K$82)</f>
        <v>0</v>
      </c>
      <c r="F19" s="289">
        <f>SUMIF('Pipe Audit'!$D$3:$D$82,A19,'Pipe Audit'!$O$3:$O$82)</f>
        <v>0</v>
      </c>
      <c r="G19" s="289">
        <f t="shared" si="0"/>
        <v>0</v>
      </c>
      <c r="H19" s="290" t="e">
        <f t="shared" si="1"/>
        <v>#DIV/0!</v>
      </c>
      <c r="I19" s="289">
        <f>SUMIF('Pipe Audit'!$D$3:$D$82,A19,'Pipe Audit'!$BD$3:$BD$82)</f>
        <v>0</v>
      </c>
      <c r="J19" s="289">
        <f>SUMIF('Pipe Audit'!$D$3:$D$82,A19,'Pipe Audit'!$BE$3:$BE$82)</f>
        <v>0</v>
      </c>
      <c r="K19" s="289">
        <f t="shared" si="7"/>
        <v>0</v>
      </c>
      <c r="L19" s="291" t="e">
        <f t="shared" si="2"/>
        <v>#DIV/0!</v>
      </c>
      <c r="M19" s="289">
        <f>SUMIF('Pipe Audit'!$D$3:$D$82,A19,'Pipe Audit'!$AJ$3:$AJ$82)</f>
        <v>0</v>
      </c>
      <c r="N19" s="292" cm="1">
        <f t="array" ref="N19">SUM(IF('Pipe Audit'!$D$3:$D$82=$A19,IF('Pipe Audit'!$Q$3:$Q$82=1,'Pipe Audit'!$AJ$3:$AJ$82)))</f>
        <v>0</v>
      </c>
      <c r="O19" s="292">
        <f t="shared" si="3"/>
        <v>0</v>
      </c>
      <c r="P19" s="293" t="e">
        <f t="shared" si="4"/>
        <v>#DIV/0!</v>
      </c>
      <c r="Q19" s="294" cm="1">
        <f t="array" ref="Q19">SUM(IF('Pipe Audit'!$D$3:$D$82=$A19,IF('Pipe Audit'!$AJ$3:$AJ$82=1,'Pipe Audit'!$K$3:$K$82)))</f>
        <v>0</v>
      </c>
      <c r="R19" s="294">
        <f t="array" ref="R19">SUM(IF('Pipe Audit'!$D$3:$D$82=$A19,IF('Pipe Audit'!$Q$3:$Q$82=1,'Pipe Audit'!$K$3:$K$82)))</f>
        <v>0</v>
      </c>
      <c r="S19" s="294" cm="1">
        <f t="array" ref="S19">SUM(IF('Pipe Audit'!$D$3:$D$82=$A19,IF('Pipe Audit'!$U$3:$U$82&gt;0.25,'Pipe Audit'!$AJ$3:$AJ$82)))</f>
        <v>0</v>
      </c>
      <c r="T19" s="294">
        <f t="array" ref="T19">SUM(IF('Pipe Audit'!$D$3:$D$82=$A19,IF('Pipe Audit'!$U$3:$U$82&gt;0.2,'Pipe Audit'!$K$3:$K$82)))</f>
        <v>0</v>
      </c>
      <c r="U19" s="295">
        <f t="shared" si="5"/>
        <v>0</v>
      </c>
      <c r="V19" s="296" t="e">
        <f t="shared" si="6"/>
        <v>#DIV/0!</v>
      </c>
    </row>
    <row r="20" spans="1:22" ht="22.5" x14ac:dyDescent="0.45">
      <c r="A20" s="306" t="s">
        <v>197</v>
      </c>
      <c r="B20" s="307">
        <v>202</v>
      </c>
      <c r="C20" s="308" t="s">
        <v>351</v>
      </c>
      <c r="D20" s="288"/>
      <c r="E20" s="289">
        <f>SUMIF('Pipe Audit'!$D$3:$D$82,A20,'Pipe Audit'!$K$3:$K$82)</f>
        <v>0</v>
      </c>
      <c r="F20" s="289">
        <f>SUMIF('Pipe Audit'!$D$3:$D$82,A20,'Pipe Audit'!$O$3:$O$82)</f>
        <v>0</v>
      </c>
      <c r="G20" s="289">
        <f t="shared" si="0"/>
        <v>0</v>
      </c>
      <c r="H20" s="290" t="e">
        <f t="shared" si="1"/>
        <v>#DIV/0!</v>
      </c>
      <c r="I20" s="289">
        <f>SUMIF('Pipe Audit'!$D$3:$D$82,A20,'Pipe Audit'!$BD$3:$BD$82)</f>
        <v>0</v>
      </c>
      <c r="J20" s="289">
        <f>SUMIF('Pipe Audit'!$D$3:$D$82,A20,'Pipe Audit'!$BE$3:$BE$82)</f>
        <v>0</v>
      </c>
      <c r="K20" s="289">
        <f t="shared" si="7"/>
        <v>0</v>
      </c>
      <c r="L20" s="291" t="e">
        <f t="shared" si="2"/>
        <v>#DIV/0!</v>
      </c>
      <c r="M20" s="289">
        <f>SUMIF('Pipe Audit'!$D$3:$D$82,A20,'Pipe Audit'!$AJ$3:$AJ$82)</f>
        <v>0</v>
      </c>
      <c r="N20" s="292" cm="1">
        <f t="array" ref="N20">SUM(IF('Pipe Audit'!$D$3:$D$82=$A20,IF('Pipe Audit'!$Q$3:$Q$82=1,'Pipe Audit'!$AJ$3:$AJ$82)))</f>
        <v>0</v>
      </c>
      <c r="O20" s="292">
        <f t="shared" si="3"/>
        <v>0</v>
      </c>
      <c r="P20" s="293" t="e">
        <f t="shared" si="4"/>
        <v>#DIV/0!</v>
      </c>
      <c r="Q20" s="294" cm="1">
        <f t="array" ref="Q20">SUM(IF('Pipe Audit'!$D$3:$D$82=$A20,IF('Pipe Audit'!$AJ$3:$AJ$82=1,'Pipe Audit'!$K$3:$K$82)))</f>
        <v>0</v>
      </c>
      <c r="R20" s="294">
        <f t="array" ref="R20">SUM(IF('Pipe Audit'!$D$3:$D$82=$A20,IF('Pipe Audit'!$Q$3:$Q$82=1,'Pipe Audit'!$K$3:$K$82)))</f>
        <v>0</v>
      </c>
      <c r="S20" s="294" cm="1">
        <f t="array" ref="S20">SUM(IF('Pipe Audit'!$D$3:$D$82=$A20,IF('Pipe Audit'!$U$3:$U$82&gt;0.25,'Pipe Audit'!$AJ$3:$AJ$82)))</f>
        <v>0</v>
      </c>
      <c r="T20" s="294">
        <f t="array" ref="T20">SUM(IF('Pipe Audit'!$D$3:$D$82=$A20,IF('Pipe Audit'!$U$3:$U$82&gt;0.2,'Pipe Audit'!$K$3:$K$82)))</f>
        <v>0</v>
      </c>
      <c r="U20" s="295">
        <f t="shared" si="5"/>
        <v>0</v>
      </c>
      <c r="V20" s="296" t="e">
        <f t="shared" si="6"/>
        <v>#DIV/0!</v>
      </c>
    </row>
    <row r="21" spans="1:22" ht="22.5" x14ac:dyDescent="0.45">
      <c r="A21" s="306" t="s">
        <v>172</v>
      </c>
      <c r="B21" s="307">
        <v>203</v>
      </c>
      <c r="C21" s="308" t="s">
        <v>352</v>
      </c>
      <c r="D21" s="288"/>
      <c r="E21" s="289">
        <f>SUMIF('Pipe Audit'!$D$3:$D$82,A21,'Pipe Audit'!$K$3:$K$82)</f>
        <v>0</v>
      </c>
      <c r="F21" s="289">
        <f>SUMIF('Pipe Audit'!$D$3:$D$82,A21,'Pipe Audit'!$O$3:$O$82)</f>
        <v>0</v>
      </c>
      <c r="G21" s="289">
        <f t="shared" si="0"/>
        <v>0</v>
      </c>
      <c r="H21" s="290" t="e">
        <f t="shared" si="1"/>
        <v>#DIV/0!</v>
      </c>
      <c r="I21" s="289">
        <f>SUMIF('Pipe Audit'!$D$3:$D$82,A21,'Pipe Audit'!$BD$3:$BD$82)</f>
        <v>0</v>
      </c>
      <c r="J21" s="289">
        <f>SUMIF('Pipe Audit'!$D$3:$D$82,A21,'Pipe Audit'!$BE$3:$BE$82)</f>
        <v>0</v>
      </c>
      <c r="K21" s="289">
        <f t="shared" si="7"/>
        <v>0</v>
      </c>
      <c r="L21" s="291" t="e">
        <f t="shared" si="2"/>
        <v>#DIV/0!</v>
      </c>
      <c r="M21" s="289">
        <f>SUMIF('Pipe Audit'!$D$3:$D$82,A21,'Pipe Audit'!$AJ$3:$AJ$82)</f>
        <v>0</v>
      </c>
      <c r="N21" s="292" cm="1">
        <f t="array" ref="N21">SUM(IF('Pipe Audit'!$D$3:$D$82=$A21,IF('Pipe Audit'!$Q$3:$Q$82=1,'Pipe Audit'!$AJ$3:$AJ$82)))</f>
        <v>0</v>
      </c>
      <c r="O21" s="292">
        <f t="shared" si="3"/>
        <v>0</v>
      </c>
      <c r="P21" s="293" t="e">
        <f t="shared" si="4"/>
        <v>#DIV/0!</v>
      </c>
      <c r="Q21" s="294" cm="1">
        <f t="array" ref="Q21">SUM(IF('Pipe Audit'!$D$3:$D$82=$A21,IF('Pipe Audit'!$AJ$3:$AJ$82=1,'Pipe Audit'!$K$3:$K$82)))</f>
        <v>0</v>
      </c>
      <c r="R21" s="294">
        <f t="array" ref="R21">SUM(IF('Pipe Audit'!$D$3:$D$82=$A21,IF('Pipe Audit'!$Q$3:$Q$82=1,'Pipe Audit'!$K$3:$K$82)))</f>
        <v>0</v>
      </c>
      <c r="S21" s="294" cm="1">
        <f t="array" ref="S21">SUM(IF('Pipe Audit'!$D$3:$D$82=$A21,IF('Pipe Audit'!$U$3:$U$82&gt;0.25,'Pipe Audit'!$AJ$3:$AJ$82)))</f>
        <v>0</v>
      </c>
      <c r="T21" s="294">
        <f t="array" ref="T21">SUM(IF('Pipe Audit'!$D$3:$D$82=$A21,IF('Pipe Audit'!$U$3:$U$82&gt;0.2,'Pipe Audit'!$K$3:$K$82)))</f>
        <v>0</v>
      </c>
      <c r="U21" s="295">
        <f t="shared" si="5"/>
        <v>0</v>
      </c>
      <c r="V21" s="296" t="e">
        <f t="shared" si="6"/>
        <v>#DIV/0!</v>
      </c>
    </row>
    <row r="22" spans="1:22" ht="22.5" x14ac:dyDescent="0.45">
      <c r="A22" s="306" t="s">
        <v>228</v>
      </c>
      <c r="B22" s="307">
        <v>203</v>
      </c>
      <c r="C22" s="308" t="s">
        <v>353</v>
      </c>
      <c r="D22" s="288"/>
      <c r="E22" s="289">
        <f>SUMIF('Pipe Audit'!$D$3:$D$82,A22,'Pipe Audit'!$K$3:$K$82)</f>
        <v>0</v>
      </c>
      <c r="F22" s="289">
        <f>SUMIF('Pipe Audit'!$D$3:$D$82,A22,'Pipe Audit'!$O$3:$O$82)</f>
        <v>0</v>
      </c>
      <c r="G22" s="289">
        <f t="shared" si="0"/>
        <v>0</v>
      </c>
      <c r="H22" s="290" t="e">
        <f t="shared" si="1"/>
        <v>#DIV/0!</v>
      </c>
      <c r="I22" s="289">
        <f>SUMIF('Pipe Audit'!$D$3:$D$82,A22,'Pipe Audit'!$BD$3:$BD$82)</f>
        <v>0</v>
      </c>
      <c r="J22" s="289">
        <f>SUMIF('Pipe Audit'!$D$3:$D$82,A22,'Pipe Audit'!$BE$3:$BE$82)</f>
        <v>0</v>
      </c>
      <c r="K22" s="289">
        <f t="shared" si="7"/>
        <v>0</v>
      </c>
      <c r="L22" s="291" t="e">
        <f t="shared" si="2"/>
        <v>#DIV/0!</v>
      </c>
      <c r="M22" s="289">
        <f>SUMIF('Pipe Audit'!$D$3:$D$82,A22,'Pipe Audit'!$AJ$3:$AJ$82)</f>
        <v>0</v>
      </c>
      <c r="N22" s="292" cm="1">
        <f t="array" ref="N22">SUM(IF('Pipe Audit'!$D$3:$D$82=$A22,IF('Pipe Audit'!$Q$3:$Q$82=1,'Pipe Audit'!$AJ$3:$AJ$82)))</f>
        <v>0</v>
      </c>
      <c r="O22" s="292">
        <f t="shared" si="3"/>
        <v>0</v>
      </c>
      <c r="P22" s="293" t="e">
        <f t="shared" si="4"/>
        <v>#DIV/0!</v>
      </c>
      <c r="Q22" s="294" cm="1">
        <f t="array" ref="Q22">SUM(IF('Pipe Audit'!$D$3:$D$82=$A22,IF('Pipe Audit'!$AJ$3:$AJ$82=1,'Pipe Audit'!$K$3:$K$82)))</f>
        <v>0</v>
      </c>
      <c r="R22" s="294">
        <f t="array" ref="R22">SUM(IF('Pipe Audit'!$D$3:$D$82=$A22,IF('Pipe Audit'!$Q$3:$Q$82=1,'Pipe Audit'!$K$3:$K$82)))</f>
        <v>0</v>
      </c>
      <c r="S22" s="294" cm="1">
        <f t="array" ref="S22">SUM(IF('Pipe Audit'!$D$3:$D$82=$A22,IF('Pipe Audit'!$U$3:$U$82&gt;0.25,'Pipe Audit'!$AJ$3:$AJ$82)))</f>
        <v>0</v>
      </c>
      <c r="T22" s="294">
        <f t="array" ref="T22">SUM(IF('Pipe Audit'!$D$3:$D$82=$A22,IF('Pipe Audit'!$U$3:$U$82&gt;0.2,'Pipe Audit'!$K$3:$K$82)))</f>
        <v>0</v>
      </c>
      <c r="U22" s="295">
        <f t="shared" si="5"/>
        <v>0</v>
      </c>
      <c r="V22" s="296" t="e">
        <f t="shared" si="6"/>
        <v>#DIV/0!</v>
      </c>
    </row>
    <row r="23" spans="1:22" ht="22.5" x14ac:dyDescent="0.45">
      <c r="A23" s="306" t="s">
        <v>184</v>
      </c>
      <c r="B23" s="307">
        <v>203</v>
      </c>
      <c r="C23" s="308" t="s">
        <v>354</v>
      </c>
      <c r="D23" s="288"/>
      <c r="E23" s="289">
        <f>SUMIF('Pipe Audit'!$D$3:$D$82,A23,'Pipe Audit'!$K$3:$K$82)</f>
        <v>0</v>
      </c>
      <c r="F23" s="289">
        <f>SUMIF('Pipe Audit'!$D$3:$D$82,A23,'Pipe Audit'!$O$3:$O$82)</f>
        <v>0</v>
      </c>
      <c r="G23" s="289">
        <f t="shared" si="0"/>
        <v>0</v>
      </c>
      <c r="H23" s="290" t="e">
        <f t="shared" si="1"/>
        <v>#DIV/0!</v>
      </c>
      <c r="I23" s="289">
        <f>SUMIF('Pipe Audit'!$D$3:$D$82,A23,'Pipe Audit'!$BD$3:$BD$82)</f>
        <v>0</v>
      </c>
      <c r="J23" s="289">
        <f>SUMIF('Pipe Audit'!$D$3:$D$82,A23,'Pipe Audit'!$BE$3:$BE$82)</f>
        <v>0</v>
      </c>
      <c r="K23" s="289">
        <f t="shared" si="7"/>
        <v>0</v>
      </c>
      <c r="L23" s="291" t="e">
        <f t="shared" si="2"/>
        <v>#DIV/0!</v>
      </c>
      <c r="M23" s="289">
        <f>SUMIF('Pipe Audit'!$D$3:$D$82,A23,'Pipe Audit'!$AJ$3:$AJ$82)</f>
        <v>0</v>
      </c>
      <c r="N23" s="292" cm="1">
        <f t="array" ref="N23">SUM(IF('Pipe Audit'!$D$3:$D$82=$A23,IF('Pipe Audit'!$Q$3:$Q$82=1,'Pipe Audit'!$AJ$3:$AJ$82)))</f>
        <v>0</v>
      </c>
      <c r="O23" s="292">
        <f t="shared" si="3"/>
        <v>0</v>
      </c>
      <c r="P23" s="293" t="e">
        <f t="shared" si="4"/>
        <v>#DIV/0!</v>
      </c>
      <c r="Q23" s="294" cm="1">
        <f t="array" ref="Q23">SUM(IF('Pipe Audit'!$D$3:$D$82=$A23,IF('Pipe Audit'!$AJ$3:$AJ$82=1,'Pipe Audit'!$K$3:$K$82)))</f>
        <v>0</v>
      </c>
      <c r="R23" s="294">
        <f t="array" ref="R23">SUM(IF('Pipe Audit'!$D$3:$D$82=$A23,IF('Pipe Audit'!$Q$3:$Q$82=1,'Pipe Audit'!$K$3:$K$82)))</f>
        <v>0</v>
      </c>
      <c r="S23" s="294" cm="1">
        <f t="array" ref="S23">SUM(IF('Pipe Audit'!$D$3:$D$82=$A23,IF('Pipe Audit'!$U$3:$U$82&gt;0.25,'Pipe Audit'!$AJ$3:$AJ$82)))</f>
        <v>0</v>
      </c>
      <c r="T23" s="294">
        <f t="array" ref="T23">SUM(IF('Pipe Audit'!$D$3:$D$82=$A23,IF('Pipe Audit'!$U$3:$U$82&gt;0.2,'Pipe Audit'!$K$3:$K$82)))</f>
        <v>0</v>
      </c>
      <c r="U23" s="295">
        <f t="shared" si="5"/>
        <v>0</v>
      </c>
      <c r="V23" s="296" t="e">
        <f t="shared" si="6"/>
        <v>#DIV/0!</v>
      </c>
    </row>
    <row r="24" spans="1:22" ht="22.5" x14ac:dyDescent="0.45">
      <c r="A24" s="306" t="s">
        <v>227</v>
      </c>
      <c r="B24" s="307">
        <v>203</v>
      </c>
      <c r="C24" s="308" t="s">
        <v>355</v>
      </c>
      <c r="D24" s="288"/>
      <c r="E24" s="289">
        <f>SUMIF('Pipe Audit'!$D$3:$D$82,A24,'Pipe Audit'!$K$3:$K$82)</f>
        <v>0</v>
      </c>
      <c r="F24" s="289">
        <f>SUMIF('Pipe Audit'!$D$3:$D$82,A24,'Pipe Audit'!$O$3:$O$82)</f>
        <v>0</v>
      </c>
      <c r="G24" s="289">
        <f t="shared" si="0"/>
        <v>0</v>
      </c>
      <c r="H24" s="290" t="e">
        <f t="shared" si="1"/>
        <v>#DIV/0!</v>
      </c>
      <c r="I24" s="289">
        <f>SUMIF('Pipe Audit'!$D$3:$D$82,A24,'Pipe Audit'!$BD$3:$BD$82)</f>
        <v>0</v>
      </c>
      <c r="J24" s="289">
        <f>SUMIF('Pipe Audit'!$D$3:$D$82,A24,'Pipe Audit'!$BE$3:$BE$82)</f>
        <v>0</v>
      </c>
      <c r="K24" s="289">
        <f t="shared" si="7"/>
        <v>0</v>
      </c>
      <c r="L24" s="291" t="e">
        <f t="shared" si="2"/>
        <v>#DIV/0!</v>
      </c>
      <c r="M24" s="289">
        <f>SUMIF('Pipe Audit'!$D$3:$D$82,A24,'Pipe Audit'!$AJ$3:$AJ$82)</f>
        <v>0</v>
      </c>
      <c r="N24" s="292" cm="1">
        <f t="array" ref="N24">SUM(IF('Pipe Audit'!$D$3:$D$82=$A24,IF('Pipe Audit'!$Q$3:$Q$82=1,'Pipe Audit'!$AJ$3:$AJ$82)))</f>
        <v>0</v>
      </c>
      <c r="O24" s="292">
        <f t="shared" si="3"/>
        <v>0</v>
      </c>
      <c r="P24" s="293" t="e">
        <f t="shared" si="4"/>
        <v>#DIV/0!</v>
      </c>
      <c r="Q24" s="294" cm="1">
        <f t="array" ref="Q24">SUM(IF('Pipe Audit'!$D$3:$D$82=$A24,IF('Pipe Audit'!$AJ$3:$AJ$82=1,'Pipe Audit'!$K$3:$K$82)))</f>
        <v>0</v>
      </c>
      <c r="R24" s="294">
        <f t="array" ref="R24">SUM(IF('Pipe Audit'!$D$3:$D$82=$A24,IF('Pipe Audit'!$Q$3:$Q$82=1,'Pipe Audit'!$K$3:$K$82)))</f>
        <v>0</v>
      </c>
      <c r="S24" s="294" cm="1">
        <f t="array" ref="S24">SUM(IF('Pipe Audit'!$D$3:$D$82=$A24,IF('Pipe Audit'!$U$3:$U$82&gt;0.25,'Pipe Audit'!$AJ$3:$AJ$82)))</f>
        <v>0</v>
      </c>
      <c r="T24" s="294">
        <f t="array" ref="T24">SUM(IF('Pipe Audit'!$D$3:$D$82=$A24,IF('Pipe Audit'!$U$3:$U$82&gt;0.2,'Pipe Audit'!$K$3:$K$82)))</f>
        <v>0</v>
      </c>
      <c r="U24" s="295">
        <f t="shared" si="5"/>
        <v>0</v>
      </c>
      <c r="V24" s="296" t="e">
        <f t="shared" si="6"/>
        <v>#DIV/0!</v>
      </c>
    </row>
    <row r="25" spans="1:22" ht="22.5" x14ac:dyDescent="0.45">
      <c r="A25" s="306" t="s">
        <v>193</v>
      </c>
      <c r="B25" s="307">
        <v>203</v>
      </c>
      <c r="C25" s="308" t="s">
        <v>356</v>
      </c>
      <c r="D25" s="288"/>
      <c r="E25" s="289">
        <f>SUMIF('Pipe Audit'!$D$3:$D$82,A25,'Pipe Audit'!$K$3:$K$82)</f>
        <v>0</v>
      </c>
      <c r="F25" s="289">
        <f>SUMIF('Pipe Audit'!$D$3:$D$82,A25,'Pipe Audit'!$O$3:$O$82)</f>
        <v>0</v>
      </c>
      <c r="G25" s="289">
        <f t="shared" si="0"/>
        <v>0</v>
      </c>
      <c r="H25" s="290" t="e">
        <f t="shared" si="1"/>
        <v>#DIV/0!</v>
      </c>
      <c r="I25" s="289">
        <f>SUMIF('Pipe Audit'!$D$3:$D$82,A25,'Pipe Audit'!$BD$3:$BD$82)</f>
        <v>0</v>
      </c>
      <c r="J25" s="289">
        <f>SUMIF('Pipe Audit'!$D$3:$D$82,A25,'Pipe Audit'!$BE$3:$BE$82)</f>
        <v>0</v>
      </c>
      <c r="K25" s="289">
        <f t="shared" si="7"/>
        <v>0</v>
      </c>
      <c r="L25" s="291" t="e">
        <f t="shared" si="2"/>
        <v>#DIV/0!</v>
      </c>
      <c r="M25" s="289">
        <f>SUMIF('Pipe Audit'!$D$3:$D$82,A25,'Pipe Audit'!$AJ$3:$AJ$82)</f>
        <v>0</v>
      </c>
      <c r="N25" s="292" cm="1">
        <f t="array" ref="N25">SUM(IF('Pipe Audit'!$D$3:$D$82=$A25,IF('Pipe Audit'!$Q$3:$Q$82=1,'Pipe Audit'!$AJ$3:$AJ$82)))</f>
        <v>0</v>
      </c>
      <c r="O25" s="292">
        <f t="shared" si="3"/>
        <v>0</v>
      </c>
      <c r="P25" s="293" t="e">
        <f t="shared" si="4"/>
        <v>#DIV/0!</v>
      </c>
      <c r="Q25" s="294" cm="1">
        <f t="array" ref="Q25">SUM(IF('Pipe Audit'!$D$3:$D$82=$A25,IF('Pipe Audit'!$AJ$3:$AJ$82=1,'Pipe Audit'!$K$3:$K$82)))</f>
        <v>0</v>
      </c>
      <c r="R25" s="294">
        <f t="array" ref="R25">SUM(IF('Pipe Audit'!$D$3:$D$82=$A25,IF('Pipe Audit'!$Q$3:$Q$82=1,'Pipe Audit'!$K$3:$K$82)))</f>
        <v>0</v>
      </c>
      <c r="S25" s="294" cm="1">
        <f t="array" ref="S25">SUM(IF('Pipe Audit'!$D$3:$D$82=$A25,IF('Pipe Audit'!$U$3:$U$82&gt;0.25,'Pipe Audit'!$AJ$3:$AJ$82)))</f>
        <v>0</v>
      </c>
      <c r="T25" s="294">
        <f t="array" ref="T25">SUM(IF('Pipe Audit'!$D$3:$D$82=$A25,IF('Pipe Audit'!$U$3:$U$82&gt;0.2,'Pipe Audit'!$K$3:$K$82)))</f>
        <v>0</v>
      </c>
      <c r="U25" s="295">
        <f t="shared" si="5"/>
        <v>0</v>
      </c>
      <c r="V25" s="296" t="e">
        <f t="shared" si="6"/>
        <v>#DIV/0!</v>
      </c>
    </row>
    <row r="26" spans="1:22" ht="22.5" x14ac:dyDescent="0.45">
      <c r="A26" s="306" t="s">
        <v>189</v>
      </c>
      <c r="B26" s="307">
        <v>203</v>
      </c>
      <c r="C26" s="308" t="s">
        <v>357</v>
      </c>
      <c r="D26" s="288"/>
      <c r="E26" s="289">
        <f>SUMIF('Pipe Audit'!$D$3:$D$82,A26,'Pipe Audit'!$K$3:$K$82)</f>
        <v>0</v>
      </c>
      <c r="F26" s="289">
        <f>SUMIF('Pipe Audit'!$D$3:$D$82,A26,'Pipe Audit'!$O$3:$O$82)</f>
        <v>0</v>
      </c>
      <c r="G26" s="289">
        <f t="shared" si="0"/>
        <v>0</v>
      </c>
      <c r="H26" s="290" t="e">
        <f t="shared" si="1"/>
        <v>#DIV/0!</v>
      </c>
      <c r="I26" s="289">
        <f>SUMIF('Pipe Audit'!$D$3:$D$82,A26,'Pipe Audit'!$BD$3:$BD$82)</f>
        <v>0</v>
      </c>
      <c r="J26" s="289">
        <f>SUMIF('Pipe Audit'!$D$3:$D$82,A26,'Pipe Audit'!$BE$3:$BE$82)</f>
        <v>0</v>
      </c>
      <c r="K26" s="289">
        <f t="shared" si="7"/>
        <v>0</v>
      </c>
      <c r="L26" s="291" t="e">
        <f t="shared" si="2"/>
        <v>#DIV/0!</v>
      </c>
      <c r="M26" s="289">
        <f>SUMIF('Pipe Audit'!$D$3:$D$82,A26,'Pipe Audit'!$AJ$3:$AJ$82)</f>
        <v>0</v>
      </c>
      <c r="N26" s="292" cm="1">
        <f t="array" ref="N26">SUM(IF('Pipe Audit'!$D$3:$D$82=$A26,IF('Pipe Audit'!$Q$3:$Q$82=1,'Pipe Audit'!$AJ$3:$AJ$82)))</f>
        <v>0</v>
      </c>
      <c r="O26" s="292">
        <f t="shared" si="3"/>
        <v>0</v>
      </c>
      <c r="P26" s="293" t="e">
        <f t="shared" si="4"/>
        <v>#DIV/0!</v>
      </c>
      <c r="Q26" s="294" cm="1">
        <f t="array" ref="Q26">SUM(IF('Pipe Audit'!$D$3:$D$82=$A26,IF('Pipe Audit'!$AJ$3:$AJ$82=1,'Pipe Audit'!$K$3:$K$82)))</f>
        <v>0</v>
      </c>
      <c r="R26" s="294">
        <f t="array" ref="R26">SUM(IF('Pipe Audit'!$D$3:$D$82=$A26,IF('Pipe Audit'!$Q$3:$Q$82=1,'Pipe Audit'!$K$3:$K$82)))</f>
        <v>0</v>
      </c>
      <c r="S26" s="294" cm="1">
        <f t="array" ref="S26">SUM(IF('Pipe Audit'!$D$3:$D$82=$A26,IF('Pipe Audit'!$U$3:$U$82&gt;0.25,'Pipe Audit'!$AJ$3:$AJ$82)))</f>
        <v>0</v>
      </c>
      <c r="T26" s="294">
        <f t="array" ref="T26">SUM(IF('Pipe Audit'!$D$3:$D$82=$A26,IF('Pipe Audit'!$U$3:$U$82&gt;0.2,'Pipe Audit'!$K$3:$K$82)))</f>
        <v>0</v>
      </c>
      <c r="U26" s="295">
        <f t="shared" si="5"/>
        <v>0</v>
      </c>
      <c r="V26" s="296" t="e">
        <f t="shared" si="6"/>
        <v>#DIV/0!</v>
      </c>
    </row>
    <row r="27" spans="1:22" ht="22.5" x14ac:dyDescent="0.45">
      <c r="A27" s="306" t="s">
        <v>211</v>
      </c>
      <c r="B27" s="307">
        <v>203</v>
      </c>
      <c r="C27" s="308" t="s">
        <v>358</v>
      </c>
      <c r="D27" s="288"/>
      <c r="E27" s="289">
        <f>SUMIF('Pipe Audit'!$D$3:$D$82,A27,'Pipe Audit'!$K$3:$K$82)</f>
        <v>0</v>
      </c>
      <c r="F27" s="289">
        <f>SUMIF('Pipe Audit'!$D$3:$D$82,A27,'Pipe Audit'!$O$3:$O$82)</f>
        <v>0</v>
      </c>
      <c r="G27" s="289">
        <f t="shared" si="0"/>
        <v>0</v>
      </c>
      <c r="H27" s="290" t="e">
        <f t="shared" si="1"/>
        <v>#DIV/0!</v>
      </c>
      <c r="I27" s="289">
        <f>SUMIF('Pipe Audit'!$D$3:$D$82,A27,'Pipe Audit'!$BD$3:$BD$82)</f>
        <v>0</v>
      </c>
      <c r="J27" s="289">
        <f>SUMIF('Pipe Audit'!$D$3:$D$82,A27,'Pipe Audit'!$BE$3:$BE$82)</f>
        <v>0</v>
      </c>
      <c r="K27" s="289">
        <f t="shared" si="7"/>
        <v>0</v>
      </c>
      <c r="L27" s="291" t="e">
        <f t="shared" si="2"/>
        <v>#DIV/0!</v>
      </c>
      <c r="M27" s="289">
        <f>SUMIF('Pipe Audit'!$D$3:$D$82,A27,'Pipe Audit'!$AJ$3:$AJ$82)</f>
        <v>0</v>
      </c>
      <c r="N27" s="292" cm="1">
        <f t="array" ref="N27">SUM(IF('Pipe Audit'!$D$3:$D$82=$A27,IF('Pipe Audit'!$Q$3:$Q$82=1,'Pipe Audit'!$AJ$3:$AJ$82)))</f>
        <v>0</v>
      </c>
      <c r="O27" s="292">
        <f t="shared" si="3"/>
        <v>0</v>
      </c>
      <c r="P27" s="293" t="e">
        <f t="shared" si="4"/>
        <v>#DIV/0!</v>
      </c>
      <c r="Q27" s="294" cm="1">
        <f t="array" ref="Q27">SUM(IF('Pipe Audit'!$D$3:$D$82=$A27,IF('Pipe Audit'!$AJ$3:$AJ$82=1,'Pipe Audit'!$K$3:$K$82)))</f>
        <v>0</v>
      </c>
      <c r="R27" s="294">
        <f t="array" ref="R27">SUM(IF('Pipe Audit'!$D$3:$D$82=$A27,IF('Pipe Audit'!$Q$3:$Q$82=1,'Pipe Audit'!$K$3:$K$82)))</f>
        <v>0</v>
      </c>
      <c r="S27" s="294" cm="1">
        <f t="array" ref="S27">SUM(IF('Pipe Audit'!$D$3:$D$82=$A27,IF('Pipe Audit'!$U$3:$U$82&gt;0.25,'Pipe Audit'!$AJ$3:$AJ$82)))</f>
        <v>0</v>
      </c>
      <c r="T27" s="294">
        <f t="array" ref="T27">SUM(IF('Pipe Audit'!$D$3:$D$82=$A27,IF('Pipe Audit'!$U$3:$U$82&gt;0.2,'Pipe Audit'!$K$3:$K$82)))</f>
        <v>0</v>
      </c>
      <c r="U27" s="295">
        <f t="shared" si="5"/>
        <v>0</v>
      </c>
      <c r="V27" s="296" t="e">
        <f t="shared" si="6"/>
        <v>#DIV/0!</v>
      </c>
    </row>
    <row r="28" spans="1:22" ht="22.5" x14ac:dyDescent="0.45">
      <c r="A28" s="306" t="s">
        <v>250</v>
      </c>
      <c r="B28" s="307">
        <v>203</v>
      </c>
      <c r="C28" s="308" t="s">
        <v>359</v>
      </c>
      <c r="D28" s="288"/>
      <c r="E28" s="289">
        <f>SUMIF('Pipe Audit'!$D$3:$D$82,A28,'Pipe Audit'!$K$3:$K$82)</f>
        <v>0</v>
      </c>
      <c r="F28" s="289">
        <f>SUMIF('Pipe Audit'!$D$3:$D$82,A28,'Pipe Audit'!$O$3:$O$82)</f>
        <v>0</v>
      </c>
      <c r="G28" s="289">
        <f t="shared" si="0"/>
        <v>0</v>
      </c>
      <c r="H28" s="290" t="e">
        <f t="shared" si="1"/>
        <v>#DIV/0!</v>
      </c>
      <c r="I28" s="289">
        <f>SUMIF('Pipe Audit'!$D$3:$D$82,A28,'Pipe Audit'!$BD$3:$BD$82)</f>
        <v>0</v>
      </c>
      <c r="J28" s="289">
        <f>SUMIF('Pipe Audit'!$D$3:$D$82,A28,'Pipe Audit'!$BE$3:$BE$82)</f>
        <v>0</v>
      </c>
      <c r="K28" s="289">
        <f t="shared" si="7"/>
        <v>0</v>
      </c>
      <c r="L28" s="291" t="e">
        <f t="shared" si="2"/>
        <v>#DIV/0!</v>
      </c>
      <c r="M28" s="289">
        <f>SUMIF('Pipe Audit'!$D$3:$D$82,A28,'Pipe Audit'!$AJ$3:$AJ$82)</f>
        <v>0</v>
      </c>
      <c r="N28" s="292" cm="1">
        <f t="array" ref="N28">SUM(IF('Pipe Audit'!$D$3:$D$82=$A28,IF('Pipe Audit'!$Q$3:$Q$82=1,'Pipe Audit'!$AJ$3:$AJ$82)))</f>
        <v>0</v>
      </c>
      <c r="O28" s="292">
        <f t="shared" si="3"/>
        <v>0</v>
      </c>
      <c r="P28" s="293" t="e">
        <f t="shared" si="4"/>
        <v>#DIV/0!</v>
      </c>
      <c r="Q28" s="294" cm="1">
        <f t="array" ref="Q28">SUM(IF('Pipe Audit'!$D$3:$D$82=$A28,IF('Pipe Audit'!$AJ$3:$AJ$82=1,'Pipe Audit'!$K$3:$K$82)))</f>
        <v>0</v>
      </c>
      <c r="R28" s="294">
        <f t="array" ref="R28">SUM(IF('Pipe Audit'!$D$3:$D$82=$A28,IF('Pipe Audit'!$Q$3:$Q$82=1,'Pipe Audit'!$K$3:$K$82)))</f>
        <v>0</v>
      </c>
      <c r="S28" s="294" cm="1">
        <f t="array" ref="S28">SUM(IF('Pipe Audit'!$D$3:$D$82=$A28,IF('Pipe Audit'!$U$3:$U$82&gt;0.25,'Pipe Audit'!$AJ$3:$AJ$82)))</f>
        <v>0</v>
      </c>
      <c r="T28" s="294">
        <f t="array" ref="T28">SUM(IF('Pipe Audit'!$D$3:$D$82=$A28,IF('Pipe Audit'!$U$3:$U$82&gt;0.2,'Pipe Audit'!$K$3:$K$82)))</f>
        <v>0</v>
      </c>
      <c r="U28" s="295">
        <f t="shared" si="5"/>
        <v>0</v>
      </c>
      <c r="V28" s="296" t="e">
        <f t="shared" si="6"/>
        <v>#DIV/0!</v>
      </c>
    </row>
    <row r="29" spans="1:22" ht="22.5" x14ac:dyDescent="0.45">
      <c r="A29" s="306" t="s">
        <v>220</v>
      </c>
      <c r="B29" s="307">
        <v>204</v>
      </c>
      <c r="C29" s="308" t="s">
        <v>438</v>
      </c>
      <c r="D29" s="288"/>
      <c r="E29" s="289">
        <f>SUMIF('Pipe Audit'!$D$3:$D$82,A29,'Pipe Audit'!$K$3:$K$82)</f>
        <v>0</v>
      </c>
      <c r="F29" s="289">
        <f>SUMIF('Pipe Audit'!$D$3:$D$82,A29,'Pipe Audit'!$O$3:$O$82)</f>
        <v>0</v>
      </c>
      <c r="G29" s="289">
        <f t="shared" si="0"/>
        <v>0</v>
      </c>
      <c r="H29" s="290" t="e">
        <f t="shared" si="1"/>
        <v>#DIV/0!</v>
      </c>
      <c r="I29" s="289">
        <f>SUMIF('Pipe Audit'!$D$3:$D$82,A29,'Pipe Audit'!$BD$3:$BD$82)</f>
        <v>0</v>
      </c>
      <c r="J29" s="289">
        <f>SUMIF('Pipe Audit'!$D$3:$D$82,A29,'Pipe Audit'!$BE$3:$BE$82)</f>
        <v>0</v>
      </c>
      <c r="K29" s="289">
        <f t="shared" si="7"/>
        <v>0</v>
      </c>
      <c r="L29" s="291" t="e">
        <f t="shared" si="2"/>
        <v>#DIV/0!</v>
      </c>
      <c r="M29" s="289">
        <f>SUMIF('Pipe Audit'!$D$3:$D$82,A29,'Pipe Audit'!$AJ$3:$AJ$82)</f>
        <v>0</v>
      </c>
      <c r="N29" s="292" cm="1">
        <f t="array" ref="N29">SUM(IF('Pipe Audit'!$D$3:$D$82=$A29,IF('Pipe Audit'!$Q$3:$Q$82=1,'Pipe Audit'!$AJ$3:$AJ$82)))</f>
        <v>0</v>
      </c>
      <c r="O29" s="292">
        <f t="shared" si="3"/>
        <v>0</v>
      </c>
      <c r="P29" s="293" t="e">
        <f t="shared" si="4"/>
        <v>#DIV/0!</v>
      </c>
      <c r="Q29" s="294" cm="1">
        <f t="array" ref="Q29">SUM(IF('Pipe Audit'!$D$3:$D$82=$A29,IF('Pipe Audit'!$AJ$3:$AJ$82=1,'Pipe Audit'!$K$3:$K$82)))</f>
        <v>0</v>
      </c>
      <c r="R29" s="294">
        <f t="array" ref="R29">SUM(IF('Pipe Audit'!$D$3:$D$82=$A29,IF('Pipe Audit'!$Q$3:$Q$82=1,'Pipe Audit'!$K$3:$K$82)))</f>
        <v>0</v>
      </c>
      <c r="S29" s="294" cm="1">
        <f t="array" ref="S29">SUM(IF('Pipe Audit'!$D$3:$D$82=$A29,IF('Pipe Audit'!$U$3:$U$82&gt;0.25,'Pipe Audit'!$AJ$3:$AJ$82)))</f>
        <v>0</v>
      </c>
      <c r="T29" s="294">
        <f t="array" ref="T29">SUM(IF('Pipe Audit'!$D$3:$D$82=$A29,IF('Pipe Audit'!$U$3:$U$82&gt;0.2,'Pipe Audit'!$K$3:$K$82)))</f>
        <v>0</v>
      </c>
      <c r="U29" s="295">
        <f t="shared" si="5"/>
        <v>0</v>
      </c>
      <c r="V29" s="296" t="e">
        <f t="shared" si="6"/>
        <v>#DIV/0!</v>
      </c>
    </row>
    <row r="30" spans="1:22" ht="22.5" x14ac:dyDescent="0.45">
      <c r="A30" s="306" t="s">
        <v>214</v>
      </c>
      <c r="B30" s="307">
        <v>204</v>
      </c>
      <c r="C30" s="308" t="s">
        <v>439</v>
      </c>
      <c r="D30" s="288"/>
      <c r="E30" s="289">
        <f>SUMIF('Pipe Audit'!$D$3:$D$82,A30,'Pipe Audit'!$K$3:$K$82)</f>
        <v>0</v>
      </c>
      <c r="F30" s="289">
        <f>SUMIF('Pipe Audit'!$D$3:$D$82,A30,'Pipe Audit'!$O$3:$O$82)</f>
        <v>0</v>
      </c>
      <c r="G30" s="289">
        <f t="shared" si="0"/>
        <v>0</v>
      </c>
      <c r="H30" s="290" t="e">
        <f t="shared" si="1"/>
        <v>#DIV/0!</v>
      </c>
      <c r="I30" s="289">
        <f>SUMIF('Pipe Audit'!$D$3:$D$82,A30,'Pipe Audit'!$BD$3:$BD$82)</f>
        <v>0</v>
      </c>
      <c r="J30" s="289">
        <f>SUMIF('Pipe Audit'!$D$3:$D$82,A30,'Pipe Audit'!$BE$3:$BE$82)</f>
        <v>0</v>
      </c>
      <c r="K30" s="289">
        <f t="shared" si="7"/>
        <v>0</v>
      </c>
      <c r="L30" s="291" t="e">
        <f t="shared" si="2"/>
        <v>#DIV/0!</v>
      </c>
      <c r="M30" s="289">
        <f>SUMIF('Pipe Audit'!$D$3:$D$82,A30,'Pipe Audit'!$AJ$3:$AJ$82)</f>
        <v>0</v>
      </c>
      <c r="N30" s="292" cm="1">
        <f t="array" ref="N30">SUM(IF('Pipe Audit'!$D$3:$D$82=$A30,IF('Pipe Audit'!$Q$3:$Q$82=1,'Pipe Audit'!$AJ$3:$AJ$82)))</f>
        <v>0</v>
      </c>
      <c r="O30" s="292">
        <f t="shared" si="3"/>
        <v>0</v>
      </c>
      <c r="P30" s="293" t="e">
        <f t="shared" si="4"/>
        <v>#DIV/0!</v>
      </c>
      <c r="Q30" s="294" cm="1">
        <f t="array" ref="Q30">SUM(IF('Pipe Audit'!$D$3:$D$82=$A30,IF('Pipe Audit'!$AJ$3:$AJ$82=1,'Pipe Audit'!$K$3:$K$82)))</f>
        <v>0</v>
      </c>
      <c r="R30" s="294">
        <f t="array" ref="R30">SUM(IF('Pipe Audit'!$D$3:$D$82=$A30,IF('Pipe Audit'!$Q$3:$Q$82=1,'Pipe Audit'!$K$3:$K$82)))</f>
        <v>0</v>
      </c>
      <c r="S30" s="294" cm="1">
        <f t="array" ref="S30">SUM(IF('Pipe Audit'!$D$3:$D$82=$A30,IF('Pipe Audit'!$U$3:$U$82&gt;0.25,'Pipe Audit'!$AJ$3:$AJ$82)))</f>
        <v>0</v>
      </c>
      <c r="T30" s="294">
        <f t="array" ref="T30">SUM(IF('Pipe Audit'!$D$3:$D$82=$A30,IF('Pipe Audit'!$U$3:$U$82&gt;0.2,'Pipe Audit'!$K$3:$K$82)))</f>
        <v>0</v>
      </c>
      <c r="U30" s="295">
        <f t="shared" si="5"/>
        <v>0</v>
      </c>
      <c r="V30" s="296" t="e">
        <f t="shared" si="6"/>
        <v>#DIV/0!</v>
      </c>
    </row>
    <row r="31" spans="1:22" ht="22.5" x14ac:dyDescent="0.45">
      <c r="A31" s="306" t="s">
        <v>178</v>
      </c>
      <c r="B31" s="307">
        <v>204</v>
      </c>
      <c r="C31" s="308" t="s">
        <v>440</v>
      </c>
      <c r="D31" s="288"/>
      <c r="E31" s="289">
        <f>SUMIF('Pipe Audit'!$D$3:$D$82,A31,'Pipe Audit'!$K$3:$K$82)</f>
        <v>0</v>
      </c>
      <c r="F31" s="289">
        <f>SUMIF('Pipe Audit'!$D$3:$D$82,A31,'Pipe Audit'!$O$3:$O$82)</f>
        <v>0</v>
      </c>
      <c r="G31" s="289">
        <f t="shared" si="0"/>
        <v>0</v>
      </c>
      <c r="H31" s="290" t="e">
        <f t="shared" si="1"/>
        <v>#DIV/0!</v>
      </c>
      <c r="I31" s="289">
        <f>SUMIF('Pipe Audit'!$D$3:$D$82,A31,'Pipe Audit'!$BD$3:$BD$82)</f>
        <v>0</v>
      </c>
      <c r="J31" s="289">
        <f>SUMIF('Pipe Audit'!$D$3:$D$82,A31,'Pipe Audit'!$BE$3:$BE$82)</f>
        <v>0</v>
      </c>
      <c r="K31" s="289">
        <f t="shared" si="7"/>
        <v>0</v>
      </c>
      <c r="L31" s="291" t="e">
        <f t="shared" si="2"/>
        <v>#DIV/0!</v>
      </c>
      <c r="M31" s="289">
        <f>SUMIF('Pipe Audit'!$D$3:$D$82,A31,'Pipe Audit'!$AJ$3:$AJ$82)</f>
        <v>0</v>
      </c>
      <c r="N31" s="292" cm="1">
        <f t="array" ref="N31">SUM(IF('Pipe Audit'!$D$3:$D$82=$A31,IF('Pipe Audit'!$Q$3:$Q$82=1,'Pipe Audit'!$AJ$3:$AJ$82)))</f>
        <v>0</v>
      </c>
      <c r="O31" s="292">
        <f t="shared" si="3"/>
        <v>0</v>
      </c>
      <c r="P31" s="293" t="e">
        <f t="shared" si="4"/>
        <v>#DIV/0!</v>
      </c>
      <c r="Q31" s="294" cm="1">
        <f t="array" ref="Q31">SUM(IF('Pipe Audit'!$D$3:$D$82=$A31,IF('Pipe Audit'!$AJ$3:$AJ$82=1,'Pipe Audit'!$K$3:$K$82)))</f>
        <v>0</v>
      </c>
      <c r="R31" s="294">
        <f t="array" ref="R31">SUM(IF('Pipe Audit'!$D$3:$D$82=$A31,IF('Pipe Audit'!$Q$3:$Q$82=1,'Pipe Audit'!$K$3:$K$82)))</f>
        <v>0</v>
      </c>
      <c r="S31" s="294" cm="1">
        <f t="array" ref="S31">SUM(IF('Pipe Audit'!$D$3:$D$82=$A31,IF('Pipe Audit'!$U$3:$U$82&gt;0.25,'Pipe Audit'!$AJ$3:$AJ$82)))</f>
        <v>0</v>
      </c>
      <c r="T31" s="294">
        <f t="array" ref="T31">SUM(IF('Pipe Audit'!$D$3:$D$82=$A31,IF('Pipe Audit'!$U$3:$U$82&gt;0.2,'Pipe Audit'!$K$3:$K$82)))</f>
        <v>0</v>
      </c>
      <c r="U31" s="295">
        <f t="shared" si="5"/>
        <v>0</v>
      </c>
      <c r="V31" s="296" t="e">
        <f t="shared" si="6"/>
        <v>#DIV/0!</v>
      </c>
    </row>
    <row r="32" spans="1:22" ht="22.5" x14ac:dyDescent="0.45">
      <c r="A32" s="306" t="s">
        <v>188</v>
      </c>
      <c r="B32" s="307">
        <v>204</v>
      </c>
      <c r="C32" s="308" t="s">
        <v>441</v>
      </c>
      <c r="D32" s="288"/>
      <c r="E32" s="289">
        <f>SUMIF('Pipe Audit'!$D$3:$D$82,A32,'Pipe Audit'!$K$3:$K$82)</f>
        <v>0</v>
      </c>
      <c r="F32" s="289">
        <f>SUMIF('Pipe Audit'!$D$3:$D$82,A32,'Pipe Audit'!$O$3:$O$82)</f>
        <v>0</v>
      </c>
      <c r="G32" s="289">
        <f t="shared" si="0"/>
        <v>0</v>
      </c>
      <c r="H32" s="290" t="e">
        <f t="shared" si="1"/>
        <v>#DIV/0!</v>
      </c>
      <c r="I32" s="289">
        <f>SUMIF('Pipe Audit'!$D$3:$D$82,A32,'Pipe Audit'!$BD$3:$BD$82)</f>
        <v>0</v>
      </c>
      <c r="J32" s="289">
        <f>SUMIF('Pipe Audit'!$D$3:$D$82,A32,'Pipe Audit'!$BE$3:$BE$82)</f>
        <v>0</v>
      </c>
      <c r="K32" s="289">
        <f t="shared" si="7"/>
        <v>0</v>
      </c>
      <c r="L32" s="291" t="e">
        <f t="shared" si="2"/>
        <v>#DIV/0!</v>
      </c>
      <c r="M32" s="289">
        <f>SUMIF('Pipe Audit'!$D$3:$D$82,A32,'Pipe Audit'!$AJ$3:$AJ$82)</f>
        <v>0</v>
      </c>
      <c r="N32" s="292" cm="1">
        <f t="array" ref="N32">SUM(IF('Pipe Audit'!$D$3:$D$82=$A32,IF('Pipe Audit'!$Q$3:$Q$82=1,'Pipe Audit'!$AJ$3:$AJ$82)))</f>
        <v>0</v>
      </c>
      <c r="O32" s="292">
        <f t="shared" si="3"/>
        <v>0</v>
      </c>
      <c r="P32" s="293" t="e">
        <f t="shared" si="4"/>
        <v>#DIV/0!</v>
      </c>
      <c r="Q32" s="294" cm="1">
        <f t="array" ref="Q32">SUM(IF('Pipe Audit'!$D$3:$D$82=$A32,IF('Pipe Audit'!$AJ$3:$AJ$82=1,'Pipe Audit'!$K$3:$K$82)))</f>
        <v>0</v>
      </c>
      <c r="R32" s="294">
        <f t="array" ref="R32">SUM(IF('Pipe Audit'!$D$3:$D$82=$A32,IF('Pipe Audit'!$Q$3:$Q$82=1,'Pipe Audit'!$K$3:$K$82)))</f>
        <v>0</v>
      </c>
      <c r="S32" s="294" cm="1">
        <f t="array" ref="S32">SUM(IF('Pipe Audit'!$D$3:$D$82=$A32,IF('Pipe Audit'!$U$3:$U$82&gt;0.25,'Pipe Audit'!$AJ$3:$AJ$82)))</f>
        <v>0</v>
      </c>
      <c r="T32" s="294">
        <f t="array" ref="T32">SUM(IF('Pipe Audit'!$D$3:$D$82=$A32,IF('Pipe Audit'!$U$3:$U$82&gt;0.2,'Pipe Audit'!$K$3:$K$82)))</f>
        <v>0</v>
      </c>
      <c r="U32" s="295">
        <f t="shared" si="5"/>
        <v>0</v>
      </c>
      <c r="V32" s="296" t="e">
        <f t="shared" si="6"/>
        <v>#DIV/0!</v>
      </c>
    </row>
    <row r="33" spans="1:22" ht="22.5" x14ac:dyDescent="0.45">
      <c r="A33" s="306" t="s">
        <v>223</v>
      </c>
      <c r="B33" s="307">
        <v>204</v>
      </c>
      <c r="C33" s="308" t="s">
        <v>442</v>
      </c>
      <c r="D33" s="288"/>
      <c r="E33" s="289">
        <f>SUMIF('Pipe Audit'!$D$3:$D$82,A33,'Pipe Audit'!$K$3:$K$82)</f>
        <v>0</v>
      </c>
      <c r="F33" s="289">
        <f>SUMIF('Pipe Audit'!$D$3:$D$82,A33,'Pipe Audit'!$O$3:$O$82)</f>
        <v>0</v>
      </c>
      <c r="G33" s="289">
        <f t="shared" si="0"/>
        <v>0</v>
      </c>
      <c r="H33" s="290" t="e">
        <f t="shared" si="1"/>
        <v>#DIV/0!</v>
      </c>
      <c r="I33" s="289">
        <f>SUMIF('Pipe Audit'!$D$3:$D$82,A33,'Pipe Audit'!$BD$3:$BD$82)</f>
        <v>0</v>
      </c>
      <c r="J33" s="289">
        <f>SUMIF('Pipe Audit'!$D$3:$D$82,A33,'Pipe Audit'!$BE$3:$BE$82)</f>
        <v>0</v>
      </c>
      <c r="K33" s="289">
        <f t="shared" si="7"/>
        <v>0</v>
      </c>
      <c r="L33" s="291" t="e">
        <f t="shared" si="2"/>
        <v>#DIV/0!</v>
      </c>
      <c r="M33" s="289">
        <f>SUMIF('Pipe Audit'!$D$3:$D$82,A33,'Pipe Audit'!$AJ$3:$AJ$82)</f>
        <v>0</v>
      </c>
      <c r="N33" s="292" cm="1">
        <f t="array" ref="N33">SUM(IF('Pipe Audit'!$D$3:$D$82=$A33,IF('Pipe Audit'!$Q$3:$Q$82=1,'Pipe Audit'!$AJ$3:$AJ$82)))</f>
        <v>0</v>
      </c>
      <c r="O33" s="292">
        <f t="shared" si="3"/>
        <v>0</v>
      </c>
      <c r="P33" s="293" t="e">
        <f t="shared" si="4"/>
        <v>#DIV/0!</v>
      </c>
      <c r="Q33" s="294" cm="1">
        <f t="array" ref="Q33">SUM(IF('Pipe Audit'!$D$3:$D$82=$A33,IF('Pipe Audit'!$AJ$3:$AJ$82=1,'Pipe Audit'!$K$3:$K$82)))</f>
        <v>0</v>
      </c>
      <c r="R33" s="294">
        <f t="array" ref="R33">SUM(IF('Pipe Audit'!$D$3:$D$82=$A33,IF('Pipe Audit'!$Q$3:$Q$82=1,'Pipe Audit'!$K$3:$K$82)))</f>
        <v>0</v>
      </c>
      <c r="S33" s="294" cm="1">
        <f t="array" ref="S33">SUM(IF('Pipe Audit'!$D$3:$D$82=$A33,IF('Pipe Audit'!$U$3:$U$82&gt;0.25,'Pipe Audit'!$AJ$3:$AJ$82)))</f>
        <v>0</v>
      </c>
      <c r="T33" s="294">
        <f t="array" ref="T33">SUM(IF('Pipe Audit'!$D$3:$D$82=$A33,IF('Pipe Audit'!$U$3:$U$82&gt;0.2,'Pipe Audit'!$K$3:$K$82)))</f>
        <v>0</v>
      </c>
      <c r="U33" s="295">
        <f t="shared" si="5"/>
        <v>0</v>
      </c>
      <c r="V33" s="296" t="e">
        <f t="shared" si="6"/>
        <v>#DIV/0!</v>
      </c>
    </row>
    <row r="34" spans="1:22" ht="22.5" x14ac:dyDescent="0.45">
      <c r="A34" s="306" t="s">
        <v>194</v>
      </c>
      <c r="B34" s="307">
        <v>204</v>
      </c>
      <c r="C34" s="308" t="s">
        <v>443</v>
      </c>
      <c r="D34" s="288"/>
      <c r="E34" s="289">
        <f>SUMIF('Pipe Audit'!$D$3:$D$82,A34,'Pipe Audit'!$K$3:$K$82)</f>
        <v>0</v>
      </c>
      <c r="F34" s="289">
        <f>SUMIF('Pipe Audit'!$D$3:$D$82,A34,'Pipe Audit'!$O$3:$O$82)</f>
        <v>0</v>
      </c>
      <c r="G34" s="289">
        <f t="shared" si="0"/>
        <v>0</v>
      </c>
      <c r="H34" s="290" t="e">
        <f t="shared" si="1"/>
        <v>#DIV/0!</v>
      </c>
      <c r="I34" s="289">
        <f>SUMIF('Pipe Audit'!$D$3:$D$82,A34,'Pipe Audit'!$BD$3:$BD$82)</f>
        <v>0</v>
      </c>
      <c r="J34" s="289">
        <f>SUMIF('Pipe Audit'!$D$3:$D$82,A34,'Pipe Audit'!$BE$3:$BE$82)</f>
        <v>0</v>
      </c>
      <c r="K34" s="289">
        <f t="shared" si="7"/>
        <v>0</v>
      </c>
      <c r="L34" s="291" t="e">
        <f t="shared" si="2"/>
        <v>#DIV/0!</v>
      </c>
      <c r="M34" s="289">
        <f>SUMIF('Pipe Audit'!$D$3:$D$82,A34,'Pipe Audit'!$AJ$3:$AJ$82)</f>
        <v>0</v>
      </c>
      <c r="N34" s="292" cm="1">
        <f t="array" ref="N34">SUM(IF('Pipe Audit'!$D$3:$D$82=$A34,IF('Pipe Audit'!$Q$3:$Q$82=1,'Pipe Audit'!$AJ$3:$AJ$82)))</f>
        <v>0</v>
      </c>
      <c r="O34" s="292">
        <f t="shared" si="3"/>
        <v>0</v>
      </c>
      <c r="P34" s="293" t="e">
        <f t="shared" si="4"/>
        <v>#DIV/0!</v>
      </c>
      <c r="Q34" s="294" cm="1">
        <f t="array" ref="Q34">SUM(IF('Pipe Audit'!$D$3:$D$82=$A34,IF('Pipe Audit'!$AJ$3:$AJ$82=1,'Pipe Audit'!$K$3:$K$82)))</f>
        <v>0</v>
      </c>
      <c r="R34" s="294">
        <f t="array" ref="R34">SUM(IF('Pipe Audit'!$D$3:$D$82=$A34,IF('Pipe Audit'!$Q$3:$Q$82=1,'Pipe Audit'!$K$3:$K$82)))</f>
        <v>0</v>
      </c>
      <c r="S34" s="294" cm="1">
        <f t="array" ref="S34">SUM(IF('Pipe Audit'!$D$3:$D$82=$A34,IF('Pipe Audit'!$U$3:$U$82&gt;0.25,'Pipe Audit'!$AJ$3:$AJ$82)))</f>
        <v>0</v>
      </c>
      <c r="T34" s="294">
        <f t="array" ref="T34">SUM(IF('Pipe Audit'!$D$3:$D$82=$A34,IF('Pipe Audit'!$U$3:$U$82&gt;0.2,'Pipe Audit'!$K$3:$K$82)))</f>
        <v>0</v>
      </c>
      <c r="U34" s="295">
        <f t="shared" si="5"/>
        <v>0</v>
      </c>
      <c r="V34" s="296" t="e">
        <f t="shared" si="6"/>
        <v>#DIV/0!</v>
      </c>
    </row>
    <row r="35" spans="1:22" ht="22.5" x14ac:dyDescent="0.45">
      <c r="A35" s="306" t="s">
        <v>204</v>
      </c>
      <c r="B35" s="307">
        <v>204</v>
      </c>
      <c r="C35" s="308" t="s">
        <v>444</v>
      </c>
      <c r="D35" s="288"/>
      <c r="E35" s="289">
        <f>SUMIF('Pipe Audit'!$D$3:$D$82,A35,'Pipe Audit'!$K$3:$K$82)</f>
        <v>0</v>
      </c>
      <c r="F35" s="289">
        <f>SUMIF('Pipe Audit'!$D$3:$D$82,A35,'Pipe Audit'!$O$3:$O$82)</f>
        <v>0</v>
      </c>
      <c r="G35" s="289">
        <f t="shared" ref="G35:G66" si="11">E35-F35</f>
        <v>0</v>
      </c>
      <c r="H35" s="290" t="e">
        <f t="shared" ref="H35:H66" si="12">F35/E35</f>
        <v>#DIV/0!</v>
      </c>
      <c r="I35" s="289">
        <f>SUMIF('Pipe Audit'!$D$3:$D$82,A35,'Pipe Audit'!$BD$3:$BD$82)</f>
        <v>0</v>
      </c>
      <c r="J35" s="289">
        <f>SUMIF('Pipe Audit'!$D$3:$D$82,A35,'Pipe Audit'!$BE$3:$BE$82)</f>
        <v>0</v>
      </c>
      <c r="K35" s="289">
        <f t="shared" ref="K35:K66" si="13">I35-J35</f>
        <v>0</v>
      </c>
      <c r="L35" s="291" t="e">
        <f t="shared" ref="L35:L66" si="14">J35/I35</f>
        <v>#DIV/0!</v>
      </c>
      <c r="M35" s="289">
        <f>SUMIF('Pipe Audit'!$D$3:$D$82,A35,'Pipe Audit'!$AJ$3:$AJ$82)</f>
        <v>0</v>
      </c>
      <c r="N35" s="292" cm="1">
        <f t="array" ref="N35">SUM(IF('Pipe Audit'!$D$3:$D$82=$A35,IF('Pipe Audit'!$Q$3:$Q$82=1,'Pipe Audit'!$AJ$3:$AJ$82)))</f>
        <v>0</v>
      </c>
      <c r="O35" s="292">
        <f t="shared" ref="O35:O66" si="15">M35-N35</f>
        <v>0</v>
      </c>
      <c r="P35" s="293" t="e">
        <f t="shared" ref="P35:P66" si="16">N35/M35</f>
        <v>#DIV/0!</v>
      </c>
      <c r="Q35" s="294" cm="1">
        <f t="array" ref="Q35">SUM(IF('Pipe Audit'!$D$3:$D$82=$A35,IF('Pipe Audit'!$AJ$3:$AJ$82=1,'Pipe Audit'!$K$3:$K$82)))</f>
        <v>0</v>
      </c>
      <c r="R35" s="294">
        <f t="array" ref="R35">SUM(IF('Pipe Audit'!$D$3:$D$82=$A35,IF('Pipe Audit'!$Q$3:$Q$82=1,'Pipe Audit'!$K$3:$K$82)))</f>
        <v>0</v>
      </c>
      <c r="S35" s="294" cm="1">
        <f t="array" ref="S35">SUM(IF('Pipe Audit'!$D$3:$D$82=$A35,IF('Pipe Audit'!$U$3:$U$82&gt;0.25,'Pipe Audit'!$AJ$3:$AJ$82)))</f>
        <v>0</v>
      </c>
      <c r="T35" s="294">
        <f t="array" ref="T35">SUM(IF('Pipe Audit'!$D$3:$D$82=$A35,IF('Pipe Audit'!$U$3:$U$82&gt;0.2,'Pipe Audit'!$K$3:$K$82)))</f>
        <v>0</v>
      </c>
      <c r="U35" s="295">
        <f t="shared" ref="U35:U66" si="17">SUM(M35-S35)</f>
        <v>0</v>
      </c>
      <c r="V35" s="296" t="e">
        <f t="shared" ref="V35:V66" si="18">SUM(S35/M35)</f>
        <v>#DIV/0!</v>
      </c>
    </row>
    <row r="36" spans="1:22" ht="22.5" x14ac:dyDescent="0.45">
      <c r="A36" s="306" t="s">
        <v>225</v>
      </c>
      <c r="B36" s="307">
        <v>204</v>
      </c>
      <c r="C36" s="308" t="s">
        <v>445</v>
      </c>
      <c r="D36" s="288"/>
      <c r="E36" s="289">
        <f>SUMIF('Pipe Audit'!$D$3:$D$82,A36,'Pipe Audit'!$K$3:$K$82)</f>
        <v>0</v>
      </c>
      <c r="F36" s="289">
        <f>SUMIF('Pipe Audit'!$D$3:$D$82,A36,'Pipe Audit'!$O$3:$O$82)</f>
        <v>0</v>
      </c>
      <c r="G36" s="289">
        <f t="shared" si="11"/>
        <v>0</v>
      </c>
      <c r="H36" s="290" t="e">
        <f t="shared" si="12"/>
        <v>#DIV/0!</v>
      </c>
      <c r="I36" s="289">
        <f>SUMIF('Pipe Audit'!$D$3:$D$82,A36,'Pipe Audit'!$BD$3:$BD$82)</f>
        <v>0</v>
      </c>
      <c r="J36" s="289">
        <f>SUMIF('Pipe Audit'!$D$3:$D$82,A36,'Pipe Audit'!$BE$3:$BE$82)</f>
        <v>0</v>
      </c>
      <c r="K36" s="289">
        <f t="shared" si="13"/>
        <v>0</v>
      </c>
      <c r="L36" s="291" t="e">
        <f t="shared" si="14"/>
        <v>#DIV/0!</v>
      </c>
      <c r="M36" s="289">
        <f>SUMIF('Pipe Audit'!$D$3:$D$82,A36,'Pipe Audit'!$AJ$3:$AJ$82)</f>
        <v>0</v>
      </c>
      <c r="N36" s="292" cm="1">
        <f t="array" ref="N36">SUM(IF('Pipe Audit'!$D$3:$D$82=$A36,IF('Pipe Audit'!$Q$3:$Q$82=1,'Pipe Audit'!$AJ$3:$AJ$82)))</f>
        <v>0</v>
      </c>
      <c r="O36" s="292">
        <f t="shared" si="15"/>
        <v>0</v>
      </c>
      <c r="P36" s="293" t="e">
        <f t="shared" si="16"/>
        <v>#DIV/0!</v>
      </c>
      <c r="Q36" s="294" cm="1">
        <f t="array" ref="Q36">SUM(IF('Pipe Audit'!$D$3:$D$82=$A36,IF('Pipe Audit'!$AJ$3:$AJ$82=1,'Pipe Audit'!$K$3:$K$82)))</f>
        <v>0</v>
      </c>
      <c r="R36" s="294">
        <f t="array" ref="R36">SUM(IF('Pipe Audit'!$D$3:$D$82=$A36,IF('Pipe Audit'!$Q$3:$Q$82=1,'Pipe Audit'!$K$3:$K$82)))</f>
        <v>0</v>
      </c>
      <c r="S36" s="294" cm="1">
        <f t="array" ref="S36">SUM(IF('Pipe Audit'!$D$3:$D$82=$A36,IF('Pipe Audit'!$U$3:$U$82&gt;0.25,'Pipe Audit'!$AJ$3:$AJ$82)))</f>
        <v>0</v>
      </c>
      <c r="T36" s="294">
        <f t="array" ref="T36">SUM(IF('Pipe Audit'!$D$3:$D$82=$A36,IF('Pipe Audit'!$U$3:$U$82&gt;0.2,'Pipe Audit'!$K$3:$K$82)))</f>
        <v>0</v>
      </c>
      <c r="U36" s="295">
        <f t="shared" si="17"/>
        <v>0</v>
      </c>
      <c r="V36" s="296" t="e">
        <f t="shared" si="18"/>
        <v>#DIV/0!</v>
      </c>
    </row>
    <row r="37" spans="1:22" ht="22.5" x14ac:dyDescent="0.45">
      <c r="A37" s="306" t="s">
        <v>169</v>
      </c>
      <c r="B37" s="307">
        <v>205</v>
      </c>
      <c r="C37" s="308" t="s">
        <v>360</v>
      </c>
      <c r="D37" s="288"/>
      <c r="E37" s="289">
        <f>SUMIF('Pipe Audit'!$D$3:$D$82,A37,'Pipe Audit'!$K$3:$K$82)</f>
        <v>0</v>
      </c>
      <c r="F37" s="289">
        <f>SUMIF('Pipe Audit'!$D$3:$D$82,A37,'Pipe Audit'!$O$3:$O$82)</f>
        <v>0</v>
      </c>
      <c r="G37" s="289">
        <f t="shared" si="11"/>
        <v>0</v>
      </c>
      <c r="H37" s="290" t="e">
        <f t="shared" si="12"/>
        <v>#DIV/0!</v>
      </c>
      <c r="I37" s="289">
        <f>SUMIF('Pipe Audit'!$D$3:$D$82,A37,'Pipe Audit'!$BD$3:$BD$82)</f>
        <v>0</v>
      </c>
      <c r="J37" s="289">
        <f>SUMIF('Pipe Audit'!$D$3:$D$82,A37,'Pipe Audit'!$BE$3:$BE$82)</f>
        <v>0</v>
      </c>
      <c r="K37" s="289">
        <f t="shared" si="13"/>
        <v>0</v>
      </c>
      <c r="L37" s="291" t="e">
        <f t="shared" si="14"/>
        <v>#DIV/0!</v>
      </c>
      <c r="M37" s="289">
        <f>SUMIF('Pipe Audit'!$D$3:$D$82,A37,'Pipe Audit'!$AJ$3:$AJ$82)</f>
        <v>0</v>
      </c>
      <c r="N37" s="292" cm="1">
        <f t="array" ref="N37">SUM(IF('Pipe Audit'!$D$3:$D$82=$A37,IF('Pipe Audit'!$Q$3:$Q$82=1,'Pipe Audit'!$AJ$3:$AJ$82)))</f>
        <v>0</v>
      </c>
      <c r="O37" s="292">
        <f t="shared" si="15"/>
        <v>0</v>
      </c>
      <c r="P37" s="293" t="e">
        <f t="shared" si="16"/>
        <v>#DIV/0!</v>
      </c>
      <c r="Q37" s="294" cm="1">
        <f t="array" ref="Q37">SUM(IF('Pipe Audit'!$D$3:$D$82=$A37,IF('Pipe Audit'!$AJ$3:$AJ$82=1,'Pipe Audit'!$K$3:$K$82)))</f>
        <v>0</v>
      </c>
      <c r="R37" s="294">
        <f t="array" ref="R37">SUM(IF('Pipe Audit'!$D$3:$D$82=$A37,IF('Pipe Audit'!$Q$3:$Q$82=1,'Pipe Audit'!$K$3:$K$82)))</f>
        <v>0</v>
      </c>
      <c r="S37" s="294" cm="1">
        <f t="array" ref="S37">SUM(IF('Pipe Audit'!$D$3:$D$82=$A37,IF('Pipe Audit'!$U$3:$U$82&gt;0.25,'Pipe Audit'!$AJ$3:$AJ$82)))</f>
        <v>0</v>
      </c>
      <c r="T37" s="294">
        <f t="array" ref="T37">SUM(IF('Pipe Audit'!$D$3:$D$82=$A37,IF('Pipe Audit'!$U$3:$U$82&gt;0.2,'Pipe Audit'!$K$3:$K$82)))</f>
        <v>0</v>
      </c>
      <c r="U37" s="295">
        <f t="shared" si="17"/>
        <v>0</v>
      </c>
      <c r="V37" s="296" t="e">
        <f t="shared" si="18"/>
        <v>#DIV/0!</v>
      </c>
    </row>
    <row r="38" spans="1:22" ht="22.5" x14ac:dyDescent="0.45">
      <c r="A38" s="306" t="s">
        <v>182</v>
      </c>
      <c r="B38" s="307">
        <v>205</v>
      </c>
      <c r="C38" s="308" t="s">
        <v>361</v>
      </c>
      <c r="D38" s="288"/>
      <c r="E38" s="289">
        <f>SUMIF('Pipe Audit'!$D$3:$D$82,A38,'Pipe Audit'!$K$3:$K$82)</f>
        <v>0</v>
      </c>
      <c r="F38" s="289">
        <f>SUMIF('Pipe Audit'!$D$3:$D$82,A38,'Pipe Audit'!$O$3:$O$82)</f>
        <v>0</v>
      </c>
      <c r="G38" s="289">
        <f t="shared" si="11"/>
        <v>0</v>
      </c>
      <c r="H38" s="290" t="e">
        <f t="shared" si="12"/>
        <v>#DIV/0!</v>
      </c>
      <c r="I38" s="289">
        <f>SUMIF('Pipe Audit'!$D$3:$D$82,A38,'Pipe Audit'!$BD$3:$BD$82)</f>
        <v>0</v>
      </c>
      <c r="J38" s="289">
        <f>SUMIF('Pipe Audit'!$D$3:$D$82,A38,'Pipe Audit'!$BE$3:$BE$82)</f>
        <v>0</v>
      </c>
      <c r="K38" s="289">
        <f t="shared" si="13"/>
        <v>0</v>
      </c>
      <c r="L38" s="291" t="e">
        <f t="shared" si="14"/>
        <v>#DIV/0!</v>
      </c>
      <c r="M38" s="289">
        <f>SUMIF('Pipe Audit'!$D$3:$D$82,A38,'Pipe Audit'!$AJ$3:$AJ$82)</f>
        <v>0</v>
      </c>
      <c r="N38" s="292" cm="1">
        <f t="array" ref="N38">SUM(IF('Pipe Audit'!$D$3:$D$82=$A38,IF('Pipe Audit'!$Q$3:$Q$82=1,'Pipe Audit'!$AJ$3:$AJ$82)))</f>
        <v>0</v>
      </c>
      <c r="O38" s="292">
        <f t="shared" si="15"/>
        <v>0</v>
      </c>
      <c r="P38" s="293" t="e">
        <f t="shared" si="16"/>
        <v>#DIV/0!</v>
      </c>
      <c r="Q38" s="294" cm="1">
        <f t="array" ref="Q38">SUM(IF('Pipe Audit'!$D$3:$D$82=$A38,IF('Pipe Audit'!$AJ$3:$AJ$82=1,'Pipe Audit'!$K$3:$K$82)))</f>
        <v>0</v>
      </c>
      <c r="R38" s="294">
        <f t="array" ref="R38">SUM(IF('Pipe Audit'!$D$3:$D$82=$A38,IF('Pipe Audit'!$Q$3:$Q$82=1,'Pipe Audit'!$K$3:$K$82)))</f>
        <v>0</v>
      </c>
      <c r="S38" s="294" cm="1">
        <f t="array" ref="S38">SUM(IF('Pipe Audit'!$D$3:$D$82=$A38,IF('Pipe Audit'!$U$3:$U$82&gt;0.25,'Pipe Audit'!$AJ$3:$AJ$82)))</f>
        <v>0</v>
      </c>
      <c r="T38" s="294">
        <f t="array" ref="T38">SUM(IF('Pipe Audit'!$D$3:$D$82=$A38,IF('Pipe Audit'!$U$3:$U$82&gt;0.2,'Pipe Audit'!$K$3:$K$82)))</f>
        <v>0</v>
      </c>
      <c r="U38" s="295">
        <f t="shared" si="17"/>
        <v>0</v>
      </c>
      <c r="V38" s="296" t="e">
        <f t="shared" si="18"/>
        <v>#DIV/0!</v>
      </c>
    </row>
    <row r="39" spans="1:22" ht="22.5" x14ac:dyDescent="0.45">
      <c r="A39" s="306" t="s">
        <v>209</v>
      </c>
      <c r="B39" s="307">
        <v>206</v>
      </c>
      <c r="C39" s="308" t="s">
        <v>446</v>
      </c>
      <c r="D39" s="288"/>
      <c r="E39" s="289">
        <f>SUMIF('Pipe Audit'!$D$3:$D$82,A39,'Pipe Audit'!$K$3:$K$82)</f>
        <v>0</v>
      </c>
      <c r="F39" s="289">
        <f>SUMIF('Pipe Audit'!$D$3:$D$82,A39,'Pipe Audit'!$O$3:$O$82)</f>
        <v>0</v>
      </c>
      <c r="G39" s="289">
        <f t="shared" si="11"/>
        <v>0</v>
      </c>
      <c r="H39" s="290" t="e">
        <f t="shared" si="12"/>
        <v>#DIV/0!</v>
      </c>
      <c r="I39" s="289">
        <f>SUMIF('Pipe Audit'!$D$3:$D$82,A39,'Pipe Audit'!$BD$3:$BD$82)</f>
        <v>0</v>
      </c>
      <c r="J39" s="289">
        <f>SUMIF('Pipe Audit'!$D$3:$D$82,A39,'Pipe Audit'!$BE$3:$BE$82)</f>
        <v>0</v>
      </c>
      <c r="K39" s="289">
        <f t="shared" si="13"/>
        <v>0</v>
      </c>
      <c r="L39" s="291" t="e">
        <f t="shared" si="14"/>
        <v>#DIV/0!</v>
      </c>
      <c r="M39" s="289">
        <f>SUMIF('Pipe Audit'!$D$3:$D$82,A39,'Pipe Audit'!$AJ$3:$AJ$82)</f>
        <v>0</v>
      </c>
      <c r="N39" s="292" cm="1">
        <f t="array" ref="N39">SUM(IF('Pipe Audit'!$D$3:$D$82=$A39,IF('Pipe Audit'!$Q$3:$Q$82=1,'Pipe Audit'!$AJ$3:$AJ$82)))</f>
        <v>0</v>
      </c>
      <c r="O39" s="292">
        <f t="shared" si="15"/>
        <v>0</v>
      </c>
      <c r="P39" s="293" t="e">
        <f t="shared" si="16"/>
        <v>#DIV/0!</v>
      </c>
      <c r="Q39" s="294" cm="1">
        <f t="array" ref="Q39">SUM(IF('Pipe Audit'!$D$3:$D$82=$A39,IF('Pipe Audit'!$AJ$3:$AJ$82=1,'Pipe Audit'!$K$3:$K$82)))</f>
        <v>0</v>
      </c>
      <c r="R39" s="294">
        <f t="array" ref="R39">SUM(IF('Pipe Audit'!$D$3:$D$82=$A39,IF('Pipe Audit'!$Q$3:$Q$82=1,'Pipe Audit'!$K$3:$K$82)))</f>
        <v>0</v>
      </c>
      <c r="S39" s="294" cm="1">
        <f t="array" ref="S39">SUM(IF('Pipe Audit'!$D$3:$D$82=$A39,IF('Pipe Audit'!$U$3:$U$82&gt;0.25,'Pipe Audit'!$AJ$3:$AJ$82)))</f>
        <v>0</v>
      </c>
      <c r="T39" s="294">
        <f t="array" ref="T39">SUM(IF('Pipe Audit'!$D$3:$D$82=$A39,IF('Pipe Audit'!$U$3:$U$82&gt;0.2,'Pipe Audit'!$K$3:$K$82)))</f>
        <v>0</v>
      </c>
      <c r="U39" s="295">
        <f t="shared" si="17"/>
        <v>0</v>
      </c>
      <c r="V39" s="296" t="e">
        <f t="shared" si="18"/>
        <v>#DIV/0!</v>
      </c>
    </row>
    <row r="40" spans="1:22" ht="22.5" x14ac:dyDescent="0.45">
      <c r="A40" s="306" t="s">
        <v>190</v>
      </c>
      <c r="B40" s="307">
        <v>206</v>
      </c>
      <c r="C40" s="308" t="s">
        <v>447</v>
      </c>
      <c r="D40" s="288"/>
      <c r="E40" s="289">
        <f>SUMIF('Pipe Audit'!$D$3:$D$82,A40,'Pipe Audit'!$K$3:$K$82)</f>
        <v>0</v>
      </c>
      <c r="F40" s="289">
        <f>SUMIF('Pipe Audit'!$D$3:$D$82,A40,'Pipe Audit'!$O$3:$O$82)</f>
        <v>0</v>
      </c>
      <c r="G40" s="289">
        <f t="shared" si="11"/>
        <v>0</v>
      </c>
      <c r="H40" s="290" t="e">
        <f t="shared" si="12"/>
        <v>#DIV/0!</v>
      </c>
      <c r="I40" s="289">
        <f>SUMIF('Pipe Audit'!$D$3:$D$82,A40,'Pipe Audit'!$BD$3:$BD$82)</f>
        <v>0</v>
      </c>
      <c r="J40" s="289">
        <f>SUMIF('Pipe Audit'!$D$3:$D$82,A40,'Pipe Audit'!$BE$3:$BE$82)</f>
        <v>0</v>
      </c>
      <c r="K40" s="289">
        <f t="shared" si="13"/>
        <v>0</v>
      </c>
      <c r="L40" s="291" t="e">
        <f t="shared" si="14"/>
        <v>#DIV/0!</v>
      </c>
      <c r="M40" s="289">
        <f>SUMIF('Pipe Audit'!$D$3:$D$82,A40,'Pipe Audit'!$AJ$3:$AJ$82)</f>
        <v>0</v>
      </c>
      <c r="N40" s="292" cm="1">
        <f t="array" ref="N40">SUM(IF('Pipe Audit'!$D$3:$D$82=$A40,IF('Pipe Audit'!$Q$3:$Q$82=1,'Pipe Audit'!$AJ$3:$AJ$82)))</f>
        <v>0</v>
      </c>
      <c r="O40" s="292">
        <f t="shared" si="15"/>
        <v>0</v>
      </c>
      <c r="P40" s="293" t="e">
        <f t="shared" si="16"/>
        <v>#DIV/0!</v>
      </c>
      <c r="Q40" s="294" cm="1">
        <f t="array" ref="Q40">SUM(IF('Pipe Audit'!$D$3:$D$82=$A40,IF('Pipe Audit'!$AJ$3:$AJ$82=1,'Pipe Audit'!$K$3:$K$82)))</f>
        <v>0</v>
      </c>
      <c r="R40" s="294">
        <f t="array" ref="R40">SUM(IF('Pipe Audit'!$D$3:$D$82=$A40,IF('Pipe Audit'!$Q$3:$Q$82=1,'Pipe Audit'!$K$3:$K$82)))</f>
        <v>0</v>
      </c>
      <c r="S40" s="294" cm="1">
        <f t="array" ref="S40">SUM(IF('Pipe Audit'!$D$3:$D$82=$A40,IF('Pipe Audit'!$U$3:$U$82&gt;0.25,'Pipe Audit'!$AJ$3:$AJ$82)))</f>
        <v>0</v>
      </c>
      <c r="T40" s="294">
        <f t="array" ref="T40">SUM(IF('Pipe Audit'!$D$3:$D$82=$A40,IF('Pipe Audit'!$U$3:$U$82&gt;0.2,'Pipe Audit'!$K$3:$K$82)))</f>
        <v>0</v>
      </c>
      <c r="U40" s="295">
        <f t="shared" si="17"/>
        <v>0</v>
      </c>
      <c r="V40" s="296" t="e">
        <f t="shared" si="18"/>
        <v>#DIV/0!</v>
      </c>
    </row>
    <row r="41" spans="1:22" ht="22.5" x14ac:dyDescent="0.45">
      <c r="A41" s="306" t="s">
        <v>280</v>
      </c>
      <c r="B41" s="307">
        <v>206</v>
      </c>
      <c r="C41" s="308" t="s">
        <v>448</v>
      </c>
      <c r="D41" s="288"/>
      <c r="E41" s="289">
        <f>SUMIF('Pipe Audit'!$D$3:$D$82,A41,'Pipe Audit'!$K$3:$K$82)</f>
        <v>0</v>
      </c>
      <c r="F41" s="289">
        <f>SUMIF('Pipe Audit'!$D$3:$D$82,A41,'Pipe Audit'!$O$3:$O$82)</f>
        <v>0</v>
      </c>
      <c r="G41" s="289">
        <f t="shared" si="11"/>
        <v>0</v>
      </c>
      <c r="H41" s="290" t="e">
        <f t="shared" si="12"/>
        <v>#DIV/0!</v>
      </c>
      <c r="I41" s="289">
        <f>SUMIF('Pipe Audit'!$D$3:$D$82,A41,'Pipe Audit'!$BD$3:$BD$82)</f>
        <v>0</v>
      </c>
      <c r="J41" s="289">
        <f>SUMIF('Pipe Audit'!$D$3:$D$82,A41,'Pipe Audit'!$BE$3:$BE$82)</f>
        <v>0</v>
      </c>
      <c r="K41" s="289">
        <f t="shared" si="13"/>
        <v>0</v>
      </c>
      <c r="L41" s="291" t="e">
        <f t="shared" si="14"/>
        <v>#DIV/0!</v>
      </c>
      <c r="M41" s="289">
        <f>SUMIF('Pipe Audit'!$D$3:$D$82,A41,'Pipe Audit'!$AJ$3:$AJ$82)</f>
        <v>0</v>
      </c>
      <c r="N41" s="292" cm="1">
        <f t="array" ref="N41">SUM(IF('Pipe Audit'!$D$3:$D$82=$A41,IF('Pipe Audit'!$Q$3:$Q$82=1,'Pipe Audit'!$AJ$3:$AJ$82)))</f>
        <v>0</v>
      </c>
      <c r="O41" s="292">
        <f t="shared" si="15"/>
        <v>0</v>
      </c>
      <c r="P41" s="293" t="e">
        <f t="shared" si="16"/>
        <v>#DIV/0!</v>
      </c>
      <c r="Q41" s="294" cm="1">
        <f t="array" ref="Q41">SUM(IF('Pipe Audit'!$D$3:$D$82=$A41,IF('Pipe Audit'!$AJ$3:$AJ$82=1,'Pipe Audit'!$K$3:$K$82)))</f>
        <v>0</v>
      </c>
      <c r="R41" s="294">
        <f t="array" ref="R41">SUM(IF('Pipe Audit'!$D$3:$D$82=$A41,IF('Pipe Audit'!$Q$3:$Q$82=1,'Pipe Audit'!$K$3:$K$82)))</f>
        <v>0</v>
      </c>
      <c r="S41" s="294" cm="1">
        <f t="array" ref="S41">SUM(IF('Pipe Audit'!$D$3:$D$82=$A41,IF('Pipe Audit'!$U$3:$U$82&gt;0.25,'Pipe Audit'!$AJ$3:$AJ$82)))</f>
        <v>0</v>
      </c>
      <c r="T41" s="294">
        <f t="array" ref="T41">SUM(IF('Pipe Audit'!$D$3:$D$82=$A41,IF('Pipe Audit'!$U$3:$U$82&gt;0.2,'Pipe Audit'!$K$3:$K$82)))</f>
        <v>0</v>
      </c>
      <c r="U41" s="295">
        <f t="shared" si="17"/>
        <v>0</v>
      </c>
      <c r="V41" s="296" t="e">
        <f t="shared" si="18"/>
        <v>#DIV/0!</v>
      </c>
    </row>
    <row r="42" spans="1:22" ht="22.5" x14ac:dyDescent="0.45">
      <c r="A42" s="306" t="s">
        <v>323</v>
      </c>
      <c r="B42" s="307">
        <v>206</v>
      </c>
      <c r="C42" s="308" t="s">
        <v>449</v>
      </c>
      <c r="D42" s="288"/>
      <c r="E42" s="289">
        <f>SUMIF('Pipe Audit'!$D$3:$D$82,A42,'Pipe Audit'!$K$3:$K$82)</f>
        <v>0</v>
      </c>
      <c r="F42" s="289">
        <f>SUMIF('Pipe Audit'!$D$3:$D$82,A42,'Pipe Audit'!$O$3:$O$82)</f>
        <v>0</v>
      </c>
      <c r="G42" s="289">
        <f t="shared" si="11"/>
        <v>0</v>
      </c>
      <c r="H42" s="290" t="e">
        <f t="shared" si="12"/>
        <v>#DIV/0!</v>
      </c>
      <c r="I42" s="289">
        <f>SUMIF('Pipe Audit'!$D$3:$D$82,A42,'Pipe Audit'!$BD$3:$BD$82)</f>
        <v>0</v>
      </c>
      <c r="J42" s="289">
        <f>SUMIF('Pipe Audit'!$D$3:$D$82,A42,'Pipe Audit'!$BE$3:$BE$82)</f>
        <v>0</v>
      </c>
      <c r="K42" s="289">
        <f t="shared" si="13"/>
        <v>0</v>
      </c>
      <c r="L42" s="291" t="e">
        <f t="shared" si="14"/>
        <v>#DIV/0!</v>
      </c>
      <c r="M42" s="289">
        <f>SUMIF('Pipe Audit'!$D$3:$D$82,A42,'Pipe Audit'!$AJ$3:$AJ$82)</f>
        <v>0</v>
      </c>
      <c r="N42" s="292" cm="1">
        <f t="array" ref="N42">SUM(IF('Pipe Audit'!$D$3:$D$82=$A42,IF('Pipe Audit'!$Q$3:$Q$82=1,'Pipe Audit'!$AJ$3:$AJ$82)))</f>
        <v>0</v>
      </c>
      <c r="O42" s="292">
        <f t="shared" si="15"/>
        <v>0</v>
      </c>
      <c r="P42" s="293" t="e">
        <f t="shared" si="16"/>
        <v>#DIV/0!</v>
      </c>
      <c r="Q42" s="294" cm="1">
        <f t="array" ref="Q42">SUM(IF('Pipe Audit'!$D$3:$D$82=$A42,IF('Pipe Audit'!$AJ$3:$AJ$82=1,'Pipe Audit'!$K$3:$K$82)))</f>
        <v>0</v>
      </c>
      <c r="R42" s="294">
        <f t="array" ref="R42">SUM(IF('Pipe Audit'!$D$3:$D$82=$A42,IF('Pipe Audit'!$Q$3:$Q$82=1,'Pipe Audit'!$K$3:$K$82)))</f>
        <v>0</v>
      </c>
      <c r="S42" s="294" cm="1">
        <f t="array" ref="S42">SUM(IF('Pipe Audit'!$D$3:$D$82=$A42,IF('Pipe Audit'!$U$3:$U$82&gt;0.25,'Pipe Audit'!$AJ$3:$AJ$82)))</f>
        <v>0</v>
      </c>
      <c r="T42" s="294">
        <f t="array" ref="T42">SUM(IF('Pipe Audit'!$D$3:$D$82=$A42,IF('Pipe Audit'!$U$3:$U$82&gt;0.2,'Pipe Audit'!$K$3:$K$82)))</f>
        <v>0</v>
      </c>
      <c r="U42" s="295">
        <f t="shared" si="17"/>
        <v>0</v>
      </c>
      <c r="V42" s="296" t="e">
        <f t="shared" si="18"/>
        <v>#DIV/0!</v>
      </c>
    </row>
    <row r="43" spans="1:22" ht="22.5" x14ac:dyDescent="0.45">
      <c r="A43" s="306" t="s">
        <v>171</v>
      </c>
      <c r="B43" s="307">
        <v>206</v>
      </c>
      <c r="C43" s="308" t="s">
        <v>450</v>
      </c>
      <c r="D43" s="288"/>
      <c r="E43" s="289">
        <f>SUMIF('Pipe Audit'!$D$3:$D$82,A43,'Pipe Audit'!$K$3:$K$82)</f>
        <v>0</v>
      </c>
      <c r="F43" s="289">
        <f>SUMIF('Pipe Audit'!$D$3:$D$82,A43,'Pipe Audit'!$O$3:$O$82)</f>
        <v>0</v>
      </c>
      <c r="G43" s="289">
        <f t="shared" si="11"/>
        <v>0</v>
      </c>
      <c r="H43" s="290" t="e">
        <f t="shared" si="12"/>
        <v>#DIV/0!</v>
      </c>
      <c r="I43" s="289">
        <f>SUMIF('Pipe Audit'!$D$3:$D$82,A43,'Pipe Audit'!$BD$3:$BD$82)</f>
        <v>0</v>
      </c>
      <c r="J43" s="289">
        <f>SUMIF('Pipe Audit'!$D$3:$D$82,A43,'Pipe Audit'!$BE$3:$BE$82)</f>
        <v>0</v>
      </c>
      <c r="K43" s="289">
        <f t="shared" si="13"/>
        <v>0</v>
      </c>
      <c r="L43" s="291" t="e">
        <f t="shared" si="14"/>
        <v>#DIV/0!</v>
      </c>
      <c r="M43" s="289">
        <f>SUMIF('Pipe Audit'!$D$3:$D$82,A43,'Pipe Audit'!$AJ$3:$AJ$82)</f>
        <v>0</v>
      </c>
      <c r="N43" s="292" cm="1">
        <f t="array" ref="N43">SUM(IF('Pipe Audit'!$D$3:$D$82=$A43,IF('Pipe Audit'!$Q$3:$Q$82=1,'Pipe Audit'!$AJ$3:$AJ$82)))</f>
        <v>0</v>
      </c>
      <c r="O43" s="292">
        <f t="shared" si="15"/>
        <v>0</v>
      </c>
      <c r="P43" s="293" t="e">
        <f t="shared" si="16"/>
        <v>#DIV/0!</v>
      </c>
      <c r="Q43" s="294" cm="1">
        <f t="array" ref="Q43">SUM(IF('Pipe Audit'!$D$3:$D$82=$A43,IF('Pipe Audit'!$AJ$3:$AJ$82=1,'Pipe Audit'!$K$3:$K$82)))</f>
        <v>0</v>
      </c>
      <c r="R43" s="294">
        <f t="array" ref="R43">SUM(IF('Pipe Audit'!$D$3:$D$82=$A43,IF('Pipe Audit'!$Q$3:$Q$82=1,'Pipe Audit'!$K$3:$K$82)))</f>
        <v>0</v>
      </c>
      <c r="S43" s="294" cm="1">
        <f t="array" ref="S43">SUM(IF('Pipe Audit'!$D$3:$D$82=$A43,IF('Pipe Audit'!$U$3:$U$82&gt;0.25,'Pipe Audit'!$AJ$3:$AJ$82)))</f>
        <v>0</v>
      </c>
      <c r="T43" s="294">
        <f t="array" ref="T43">SUM(IF('Pipe Audit'!$D$3:$D$82=$A43,IF('Pipe Audit'!$U$3:$U$82&gt;0.2,'Pipe Audit'!$K$3:$K$82)))</f>
        <v>0</v>
      </c>
      <c r="U43" s="295">
        <f t="shared" si="17"/>
        <v>0</v>
      </c>
      <c r="V43" s="296" t="e">
        <f t="shared" si="18"/>
        <v>#DIV/0!</v>
      </c>
    </row>
    <row r="44" spans="1:22" ht="22.5" x14ac:dyDescent="0.45">
      <c r="A44" s="306" t="s">
        <v>166</v>
      </c>
      <c r="B44" s="307">
        <v>206</v>
      </c>
      <c r="C44" s="308" t="s">
        <v>451</v>
      </c>
      <c r="D44" s="288"/>
      <c r="E44" s="289">
        <f>SUMIF('Pipe Audit'!$D$3:$D$82,A44,'Pipe Audit'!$K$3:$K$82)</f>
        <v>0</v>
      </c>
      <c r="F44" s="289">
        <f>SUMIF('Pipe Audit'!$D$3:$D$82,A44,'Pipe Audit'!$O$3:$O$82)</f>
        <v>0</v>
      </c>
      <c r="G44" s="289">
        <f t="shared" si="11"/>
        <v>0</v>
      </c>
      <c r="H44" s="290" t="e">
        <f t="shared" si="12"/>
        <v>#DIV/0!</v>
      </c>
      <c r="I44" s="289">
        <f>SUMIF('Pipe Audit'!$D$3:$D$82,A44,'Pipe Audit'!$BD$3:$BD$82)</f>
        <v>0</v>
      </c>
      <c r="J44" s="289">
        <f>SUMIF('Pipe Audit'!$D$3:$D$82,A44,'Pipe Audit'!$BE$3:$BE$82)</f>
        <v>0</v>
      </c>
      <c r="K44" s="289">
        <f t="shared" si="13"/>
        <v>0</v>
      </c>
      <c r="L44" s="291" t="e">
        <f t="shared" si="14"/>
        <v>#DIV/0!</v>
      </c>
      <c r="M44" s="289">
        <f>SUMIF('Pipe Audit'!$D$3:$D$82,A44,'Pipe Audit'!$AJ$3:$AJ$82)</f>
        <v>0</v>
      </c>
      <c r="N44" s="292" cm="1">
        <f t="array" ref="N44">SUM(IF('Pipe Audit'!$D$3:$D$82=$A44,IF('Pipe Audit'!$Q$3:$Q$82=1,'Pipe Audit'!$AJ$3:$AJ$82)))</f>
        <v>0</v>
      </c>
      <c r="O44" s="292">
        <f t="shared" si="15"/>
        <v>0</v>
      </c>
      <c r="P44" s="293" t="e">
        <f t="shared" si="16"/>
        <v>#DIV/0!</v>
      </c>
      <c r="Q44" s="294" cm="1">
        <f t="array" ref="Q44">SUM(IF('Pipe Audit'!$D$3:$D$82=$A44,IF('Pipe Audit'!$AJ$3:$AJ$82=1,'Pipe Audit'!$K$3:$K$82)))</f>
        <v>0</v>
      </c>
      <c r="R44" s="294">
        <f t="array" ref="R44">SUM(IF('Pipe Audit'!$D$3:$D$82=$A44,IF('Pipe Audit'!$Q$3:$Q$82=1,'Pipe Audit'!$K$3:$K$82)))</f>
        <v>0</v>
      </c>
      <c r="S44" s="294" cm="1">
        <f t="array" ref="S44">SUM(IF('Pipe Audit'!$D$3:$D$82=$A44,IF('Pipe Audit'!$U$3:$U$82&gt;0.25,'Pipe Audit'!$AJ$3:$AJ$82)))</f>
        <v>0</v>
      </c>
      <c r="T44" s="294">
        <f t="array" ref="T44">SUM(IF('Pipe Audit'!$D$3:$D$82=$A44,IF('Pipe Audit'!$U$3:$U$82&gt;0.2,'Pipe Audit'!$K$3:$K$82)))</f>
        <v>0</v>
      </c>
      <c r="U44" s="295">
        <f t="shared" si="17"/>
        <v>0</v>
      </c>
      <c r="V44" s="296" t="e">
        <f t="shared" si="18"/>
        <v>#DIV/0!</v>
      </c>
    </row>
    <row r="45" spans="1:22" ht="22.5" x14ac:dyDescent="0.45">
      <c r="A45" s="306" t="s">
        <v>263</v>
      </c>
      <c r="B45" s="307">
        <v>207</v>
      </c>
      <c r="C45" s="308" t="s">
        <v>362</v>
      </c>
      <c r="D45" s="288"/>
      <c r="E45" s="289">
        <f>SUMIF('Pipe Audit'!$D$3:$D$82,A45,'Pipe Audit'!$K$3:$K$82)</f>
        <v>0</v>
      </c>
      <c r="F45" s="289">
        <f>SUMIF('Pipe Audit'!$D$3:$D$82,A45,'Pipe Audit'!$O$3:$O$82)</f>
        <v>0</v>
      </c>
      <c r="G45" s="289">
        <f t="shared" si="11"/>
        <v>0</v>
      </c>
      <c r="H45" s="290" t="e">
        <f t="shared" si="12"/>
        <v>#DIV/0!</v>
      </c>
      <c r="I45" s="289">
        <f>SUMIF('Pipe Audit'!$D$3:$D$82,A45,'Pipe Audit'!$BD$3:$BD$82)</f>
        <v>0</v>
      </c>
      <c r="J45" s="289">
        <f>SUMIF('Pipe Audit'!$D$3:$D$82,A45,'Pipe Audit'!$BE$3:$BE$82)</f>
        <v>0</v>
      </c>
      <c r="K45" s="289">
        <f t="shared" si="13"/>
        <v>0</v>
      </c>
      <c r="L45" s="291" t="e">
        <f t="shared" si="14"/>
        <v>#DIV/0!</v>
      </c>
      <c r="M45" s="289">
        <f>SUMIF('Pipe Audit'!$D$3:$D$82,A45,'Pipe Audit'!$AJ$3:$AJ$82)</f>
        <v>0</v>
      </c>
      <c r="N45" s="292" cm="1">
        <f t="array" ref="N45">SUM(IF('Pipe Audit'!$D$3:$D$82=$A45,IF('Pipe Audit'!$Q$3:$Q$82=1,'Pipe Audit'!$AJ$3:$AJ$82)))</f>
        <v>0</v>
      </c>
      <c r="O45" s="292">
        <f t="shared" si="15"/>
        <v>0</v>
      </c>
      <c r="P45" s="293" t="e">
        <f t="shared" si="16"/>
        <v>#DIV/0!</v>
      </c>
      <c r="Q45" s="294" cm="1">
        <f t="array" ref="Q45">SUM(IF('Pipe Audit'!$D$3:$D$82=$A45,IF('Pipe Audit'!$AJ$3:$AJ$82=1,'Pipe Audit'!$K$3:$K$82)))</f>
        <v>0</v>
      </c>
      <c r="R45" s="294">
        <f t="array" ref="R45">SUM(IF('Pipe Audit'!$D$3:$D$82=$A45,IF('Pipe Audit'!$Q$3:$Q$82=1,'Pipe Audit'!$K$3:$K$82)))</f>
        <v>0</v>
      </c>
      <c r="S45" s="294" cm="1">
        <f t="array" ref="S45">SUM(IF('Pipe Audit'!$D$3:$D$82=$A45,IF('Pipe Audit'!$U$3:$U$82&gt;0.25,'Pipe Audit'!$AJ$3:$AJ$82)))</f>
        <v>0</v>
      </c>
      <c r="T45" s="294">
        <f t="array" ref="T45">SUM(IF('Pipe Audit'!$D$3:$D$82=$A45,IF('Pipe Audit'!$U$3:$U$82&gt;0.2,'Pipe Audit'!$K$3:$K$82)))</f>
        <v>0</v>
      </c>
      <c r="U45" s="295">
        <f t="shared" si="17"/>
        <v>0</v>
      </c>
      <c r="V45" s="296" t="e">
        <f t="shared" si="18"/>
        <v>#DIV/0!</v>
      </c>
    </row>
    <row r="46" spans="1:22" ht="22.5" x14ac:dyDescent="0.45">
      <c r="A46" s="306" t="s">
        <v>267</v>
      </c>
      <c r="B46" s="307">
        <v>207</v>
      </c>
      <c r="C46" s="308" t="s">
        <v>363</v>
      </c>
      <c r="D46" s="288"/>
      <c r="E46" s="289">
        <f>SUMIF('Pipe Audit'!$D$3:$D$82,A46,'Pipe Audit'!$K$3:$K$82)</f>
        <v>0</v>
      </c>
      <c r="F46" s="289">
        <f>SUMIF('Pipe Audit'!$D$3:$D$82,A46,'Pipe Audit'!$O$3:$O$82)</f>
        <v>0</v>
      </c>
      <c r="G46" s="289">
        <f t="shared" si="11"/>
        <v>0</v>
      </c>
      <c r="H46" s="290" t="e">
        <f t="shared" si="12"/>
        <v>#DIV/0!</v>
      </c>
      <c r="I46" s="289">
        <f>SUMIF('Pipe Audit'!$D$3:$D$82,A46,'Pipe Audit'!$BD$3:$BD$82)</f>
        <v>0</v>
      </c>
      <c r="J46" s="289">
        <f>SUMIF('Pipe Audit'!$D$3:$D$82,A46,'Pipe Audit'!$BE$3:$BE$82)</f>
        <v>0</v>
      </c>
      <c r="K46" s="289">
        <f t="shared" si="13"/>
        <v>0</v>
      </c>
      <c r="L46" s="291" t="e">
        <f t="shared" si="14"/>
        <v>#DIV/0!</v>
      </c>
      <c r="M46" s="289">
        <f>SUMIF('Pipe Audit'!$D$3:$D$82,A46,'Pipe Audit'!$AJ$3:$AJ$82)</f>
        <v>0</v>
      </c>
      <c r="N46" s="292" cm="1">
        <f t="array" ref="N46">SUM(IF('Pipe Audit'!$D$3:$D$82=$A46,IF('Pipe Audit'!$Q$3:$Q$82=1,'Pipe Audit'!$AJ$3:$AJ$82)))</f>
        <v>0</v>
      </c>
      <c r="O46" s="292">
        <f t="shared" si="15"/>
        <v>0</v>
      </c>
      <c r="P46" s="293" t="e">
        <f t="shared" si="16"/>
        <v>#DIV/0!</v>
      </c>
      <c r="Q46" s="294" cm="1">
        <f t="array" ref="Q46">SUM(IF('Pipe Audit'!$D$3:$D$82=$A46,IF('Pipe Audit'!$AJ$3:$AJ$82=1,'Pipe Audit'!$K$3:$K$82)))</f>
        <v>0</v>
      </c>
      <c r="R46" s="294">
        <f t="array" ref="R46">SUM(IF('Pipe Audit'!$D$3:$D$82=$A46,IF('Pipe Audit'!$Q$3:$Q$82=1,'Pipe Audit'!$K$3:$K$82)))</f>
        <v>0</v>
      </c>
      <c r="S46" s="294" cm="1">
        <f t="array" ref="S46">SUM(IF('Pipe Audit'!$D$3:$D$82=$A46,IF('Pipe Audit'!$U$3:$U$82&gt;0.25,'Pipe Audit'!$AJ$3:$AJ$82)))</f>
        <v>0</v>
      </c>
      <c r="T46" s="294">
        <f t="array" ref="T46">SUM(IF('Pipe Audit'!$D$3:$D$82=$A46,IF('Pipe Audit'!$U$3:$U$82&gt;0.2,'Pipe Audit'!$K$3:$K$82)))</f>
        <v>0</v>
      </c>
      <c r="U46" s="295">
        <f t="shared" si="17"/>
        <v>0</v>
      </c>
      <c r="V46" s="296" t="e">
        <f t="shared" si="18"/>
        <v>#DIV/0!</v>
      </c>
    </row>
    <row r="47" spans="1:22" ht="22.5" x14ac:dyDescent="0.45">
      <c r="A47" s="306" t="s">
        <v>260</v>
      </c>
      <c r="B47" s="307">
        <v>207</v>
      </c>
      <c r="C47" s="308" t="s">
        <v>364</v>
      </c>
      <c r="D47" s="288"/>
      <c r="E47" s="289">
        <f>SUMIF('Pipe Audit'!$D$3:$D$82,A47,'Pipe Audit'!$K$3:$K$82)</f>
        <v>0</v>
      </c>
      <c r="F47" s="289">
        <f>SUMIF('Pipe Audit'!$D$3:$D$82,A47,'Pipe Audit'!$O$3:$O$82)</f>
        <v>0</v>
      </c>
      <c r="G47" s="289">
        <f t="shared" si="11"/>
        <v>0</v>
      </c>
      <c r="H47" s="290" t="e">
        <f t="shared" si="12"/>
        <v>#DIV/0!</v>
      </c>
      <c r="I47" s="289">
        <f>SUMIF('Pipe Audit'!$D$3:$D$82,A47,'Pipe Audit'!$BD$3:$BD$82)</f>
        <v>0</v>
      </c>
      <c r="J47" s="289">
        <f>SUMIF('Pipe Audit'!$D$3:$D$82,A47,'Pipe Audit'!$BE$3:$BE$82)</f>
        <v>0</v>
      </c>
      <c r="K47" s="289">
        <f t="shared" si="13"/>
        <v>0</v>
      </c>
      <c r="L47" s="291" t="e">
        <f t="shared" si="14"/>
        <v>#DIV/0!</v>
      </c>
      <c r="M47" s="289">
        <f>SUMIF('Pipe Audit'!$D$3:$D$82,A47,'Pipe Audit'!$AJ$3:$AJ$82)</f>
        <v>0</v>
      </c>
      <c r="N47" s="292" cm="1">
        <f t="array" ref="N47">SUM(IF('Pipe Audit'!$D$3:$D$82=$A47,IF('Pipe Audit'!$Q$3:$Q$82=1,'Pipe Audit'!$AJ$3:$AJ$82)))</f>
        <v>0</v>
      </c>
      <c r="O47" s="292">
        <f t="shared" si="15"/>
        <v>0</v>
      </c>
      <c r="P47" s="293" t="e">
        <f t="shared" si="16"/>
        <v>#DIV/0!</v>
      </c>
      <c r="Q47" s="294" cm="1">
        <f t="array" ref="Q47">SUM(IF('Pipe Audit'!$D$3:$D$82=$A47,IF('Pipe Audit'!$AJ$3:$AJ$82=1,'Pipe Audit'!$K$3:$K$82)))</f>
        <v>0</v>
      </c>
      <c r="R47" s="294">
        <f t="array" ref="R47">SUM(IF('Pipe Audit'!$D$3:$D$82=$A47,IF('Pipe Audit'!$Q$3:$Q$82=1,'Pipe Audit'!$K$3:$K$82)))</f>
        <v>0</v>
      </c>
      <c r="S47" s="294" cm="1">
        <f t="array" ref="S47">SUM(IF('Pipe Audit'!$D$3:$D$82=$A47,IF('Pipe Audit'!$U$3:$U$82&gt;0.25,'Pipe Audit'!$AJ$3:$AJ$82)))</f>
        <v>0</v>
      </c>
      <c r="T47" s="294">
        <f t="array" ref="T47">SUM(IF('Pipe Audit'!$D$3:$D$82=$A47,IF('Pipe Audit'!$U$3:$U$82&gt;0.2,'Pipe Audit'!$K$3:$K$82)))</f>
        <v>0</v>
      </c>
      <c r="U47" s="295">
        <f t="shared" si="17"/>
        <v>0</v>
      </c>
      <c r="V47" s="296" t="e">
        <f t="shared" si="18"/>
        <v>#DIV/0!</v>
      </c>
    </row>
    <row r="48" spans="1:22" ht="22.5" x14ac:dyDescent="0.45">
      <c r="A48" s="306" t="s">
        <v>282</v>
      </c>
      <c r="B48" s="307">
        <v>207</v>
      </c>
      <c r="C48" s="308" t="s">
        <v>365</v>
      </c>
      <c r="D48" s="288"/>
      <c r="E48" s="289">
        <f>SUMIF('Pipe Audit'!$D$3:$D$82,A48,'Pipe Audit'!$K$3:$K$82)</f>
        <v>0</v>
      </c>
      <c r="F48" s="289">
        <f>SUMIF('Pipe Audit'!$D$3:$D$82,A48,'Pipe Audit'!$O$3:$O$82)</f>
        <v>0</v>
      </c>
      <c r="G48" s="289">
        <f t="shared" si="11"/>
        <v>0</v>
      </c>
      <c r="H48" s="290" t="e">
        <f t="shared" si="12"/>
        <v>#DIV/0!</v>
      </c>
      <c r="I48" s="289">
        <f>SUMIF('Pipe Audit'!$D$3:$D$82,A48,'Pipe Audit'!$BD$3:$BD$82)</f>
        <v>0</v>
      </c>
      <c r="J48" s="289">
        <f>SUMIF('Pipe Audit'!$D$3:$D$82,A48,'Pipe Audit'!$BE$3:$BE$82)</f>
        <v>0</v>
      </c>
      <c r="K48" s="289">
        <f t="shared" si="13"/>
        <v>0</v>
      </c>
      <c r="L48" s="291" t="e">
        <f t="shared" si="14"/>
        <v>#DIV/0!</v>
      </c>
      <c r="M48" s="289">
        <f>SUMIF('Pipe Audit'!$D$3:$D$82,A48,'Pipe Audit'!$AJ$3:$AJ$82)</f>
        <v>0</v>
      </c>
      <c r="N48" s="292" cm="1">
        <f t="array" ref="N48">SUM(IF('Pipe Audit'!$D$3:$D$82=$A48,IF('Pipe Audit'!$Q$3:$Q$82=1,'Pipe Audit'!$AJ$3:$AJ$82)))</f>
        <v>0</v>
      </c>
      <c r="O48" s="292">
        <f t="shared" si="15"/>
        <v>0</v>
      </c>
      <c r="P48" s="293" t="e">
        <f t="shared" si="16"/>
        <v>#DIV/0!</v>
      </c>
      <c r="Q48" s="294" cm="1">
        <f t="array" ref="Q48">SUM(IF('Pipe Audit'!$D$3:$D$82=$A48,IF('Pipe Audit'!$AJ$3:$AJ$82=1,'Pipe Audit'!$K$3:$K$82)))</f>
        <v>0</v>
      </c>
      <c r="R48" s="294">
        <f t="array" ref="R48">SUM(IF('Pipe Audit'!$D$3:$D$82=$A48,IF('Pipe Audit'!$Q$3:$Q$82=1,'Pipe Audit'!$K$3:$K$82)))</f>
        <v>0</v>
      </c>
      <c r="S48" s="294" cm="1">
        <f t="array" ref="S48">SUM(IF('Pipe Audit'!$D$3:$D$82=$A48,IF('Pipe Audit'!$U$3:$U$82&gt;0.25,'Pipe Audit'!$AJ$3:$AJ$82)))</f>
        <v>0</v>
      </c>
      <c r="T48" s="294">
        <f t="array" ref="T48">SUM(IF('Pipe Audit'!$D$3:$D$82=$A48,IF('Pipe Audit'!$U$3:$U$82&gt;0.2,'Pipe Audit'!$K$3:$K$82)))</f>
        <v>0</v>
      </c>
      <c r="U48" s="295">
        <f t="shared" si="17"/>
        <v>0</v>
      </c>
      <c r="V48" s="296" t="e">
        <f t="shared" si="18"/>
        <v>#DIV/0!</v>
      </c>
    </row>
    <row r="49" spans="1:22" ht="22.5" x14ac:dyDescent="0.45">
      <c r="A49" s="306" t="s">
        <v>294</v>
      </c>
      <c r="B49" s="307">
        <v>207</v>
      </c>
      <c r="C49" s="308" t="s">
        <v>366</v>
      </c>
      <c r="D49" s="288"/>
      <c r="E49" s="289">
        <f>SUMIF('Pipe Audit'!$D$3:$D$82,A49,'Pipe Audit'!$K$3:$K$82)</f>
        <v>0</v>
      </c>
      <c r="F49" s="289">
        <f>SUMIF('Pipe Audit'!$D$3:$D$82,A49,'Pipe Audit'!$O$3:$O$82)</f>
        <v>0</v>
      </c>
      <c r="G49" s="289">
        <f t="shared" si="11"/>
        <v>0</v>
      </c>
      <c r="H49" s="290" t="e">
        <f t="shared" si="12"/>
        <v>#DIV/0!</v>
      </c>
      <c r="I49" s="289">
        <f>SUMIF('Pipe Audit'!$D$3:$D$82,A49,'Pipe Audit'!$BD$3:$BD$82)</f>
        <v>0</v>
      </c>
      <c r="J49" s="289">
        <f>SUMIF('Pipe Audit'!$D$3:$D$82,A49,'Pipe Audit'!$BE$3:$BE$82)</f>
        <v>0</v>
      </c>
      <c r="K49" s="289">
        <f t="shared" si="13"/>
        <v>0</v>
      </c>
      <c r="L49" s="291" t="e">
        <f t="shared" si="14"/>
        <v>#DIV/0!</v>
      </c>
      <c r="M49" s="289">
        <f>SUMIF('Pipe Audit'!$D$3:$D$82,A49,'Pipe Audit'!$AJ$3:$AJ$82)</f>
        <v>0</v>
      </c>
      <c r="N49" s="292" cm="1">
        <f t="array" ref="N49">SUM(IF('Pipe Audit'!$D$3:$D$82=$A49,IF('Pipe Audit'!$Q$3:$Q$82=1,'Pipe Audit'!$AJ$3:$AJ$82)))</f>
        <v>0</v>
      </c>
      <c r="O49" s="292">
        <f t="shared" si="15"/>
        <v>0</v>
      </c>
      <c r="P49" s="293" t="e">
        <f t="shared" si="16"/>
        <v>#DIV/0!</v>
      </c>
      <c r="Q49" s="294" cm="1">
        <f t="array" ref="Q49">SUM(IF('Pipe Audit'!$D$3:$D$82=$A49,IF('Pipe Audit'!$AJ$3:$AJ$82=1,'Pipe Audit'!$K$3:$K$82)))</f>
        <v>0</v>
      </c>
      <c r="R49" s="294">
        <f t="array" ref="R49">SUM(IF('Pipe Audit'!$D$3:$D$82=$A49,IF('Pipe Audit'!$Q$3:$Q$82=1,'Pipe Audit'!$K$3:$K$82)))</f>
        <v>0</v>
      </c>
      <c r="S49" s="294" cm="1">
        <f t="array" ref="S49">SUM(IF('Pipe Audit'!$D$3:$D$82=$A49,IF('Pipe Audit'!$U$3:$U$82&gt;0.25,'Pipe Audit'!$AJ$3:$AJ$82)))</f>
        <v>0</v>
      </c>
      <c r="T49" s="294">
        <f t="array" ref="T49">SUM(IF('Pipe Audit'!$D$3:$D$82=$A49,IF('Pipe Audit'!$U$3:$U$82&gt;0.2,'Pipe Audit'!$K$3:$K$82)))</f>
        <v>0</v>
      </c>
      <c r="U49" s="295">
        <f t="shared" si="17"/>
        <v>0</v>
      </c>
      <c r="V49" s="296" t="e">
        <f t="shared" si="18"/>
        <v>#DIV/0!</v>
      </c>
    </row>
    <row r="50" spans="1:22" ht="22.5" x14ac:dyDescent="0.45">
      <c r="A50" s="306" t="s">
        <v>266</v>
      </c>
      <c r="B50" s="307">
        <v>207</v>
      </c>
      <c r="C50" s="308" t="s">
        <v>367</v>
      </c>
      <c r="D50" s="288"/>
      <c r="E50" s="289">
        <f>SUMIF('Pipe Audit'!$D$3:$D$82,A50,'Pipe Audit'!$K$3:$K$82)</f>
        <v>0</v>
      </c>
      <c r="F50" s="289">
        <f>SUMIF('Pipe Audit'!$D$3:$D$82,A50,'Pipe Audit'!$O$3:$O$82)</f>
        <v>0</v>
      </c>
      <c r="G50" s="289">
        <f t="shared" si="11"/>
        <v>0</v>
      </c>
      <c r="H50" s="290" t="e">
        <f t="shared" si="12"/>
        <v>#DIV/0!</v>
      </c>
      <c r="I50" s="289">
        <f>SUMIF('Pipe Audit'!$D$3:$D$82,A50,'Pipe Audit'!$BD$3:$BD$82)</f>
        <v>0</v>
      </c>
      <c r="J50" s="289">
        <f>SUMIF('Pipe Audit'!$D$3:$D$82,A50,'Pipe Audit'!$BE$3:$BE$82)</f>
        <v>0</v>
      </c>
      <c r="K50" s="289">
        <f t="shared" si="13"/>
        <v>0</v>
      </c>
      <c r="L50" s="291" t="e">
        <f t="shared" si="14"/>
        <v>#DIV/0!</v>
      </c>
      <c r="M50" s="289">
        <f>SUMIF('Pipe Audit'!$D$3:$D$82,A50,'Pipe Audit'!$AJ$3:$AJ$82)</f>
        <v>0</v>
      </c>
      <c r="N50" s="292" cm="1">
        <f t="array" ref="N50">SUM(IF('Pipe Audit'!$D$3:$D$82=$A50,IF('Pipe Audit'!$Q$3:$Q$82=1,'Pipe Audit'!$AJ$3:$AJ$82)))</f>
        <v>0</v>
      </c>
      <c r="O50" s="292">
        <f t="shared" si="15"/>
        <v>0</v>
      </c>
      <c r="P50" s="293" t="e">
        <f t="shared" si="16"/>
        <v>#DIV/0!</v>
      </c>
      <c r="Q50" s="294" cm="1">
        <f t="array" ref="Q50">SUM(IF('Pipe Audit'!$D$3:$D$82=$A50,IF('Pipe Audit'!$AJ$3:$AJ$82=1,'Pipe Audit'!$K$3:$K$82)))</f>
        <v>0</v>
      </c>
      <c r="R50" s="294">
        <f t="array" ref="R50">SUM(IF('Pipe Audit'!$D$3:$D$82=$A50,IF('Pipe Audit'!$Q$3:$Q$82=1,'Pipe Audit'!$K$3:$K$82)))</f>
        <v>0</v>
      </c>
      <c r="S50" s="294" cm="1">
        <f t="array" ref="S50">SUM(IF('Pipe Audit'!$D$3:$D$82=$A50,IF('Pipe Audit'!$U$3:$U$82&gt;0.25,'Pipe Audit'!$AJ$3:$AJ$82)))</f>
        <v>0</v>
      </c>
      <c r="T50" s="294">
        <f t="array" ref="T50">SUM(IF('Pipe Audit'!$D$3:$D$82=$A50,IF('Pipe Audit'!$U$3:$U$82&gt;0.2,'Pipe Audit'!$K$3:$K$82)))</f>
        <v>0</v>
      </c>
      <c r="U50" s="295">
        <f t="shared" si="17"/>
        <v>0</v>
      </c>
      <c r="V50" s="296" t="e">
        <f t="shared" si="18"/>
        <v>#DIV/0!</v>
      </c>
    </row>
    <row r="51" spans="1:22" ht="22.5" x14ac:dyDescent="0.45">
      <c r="A51" s="306" t="s">
        <v>295</v>
      </c>
      <c r="B51" s="307">
        <v>207</v>
      </c>
      <c r="C51" s="308" t="s">
        <v>368</v>
      </c>
      <c r="D51" s="288"/>
      <c r="E51" s="289">
        <f>SUMIF('Pipe Audit'!$D$3:$D$82,A51,'Pipe Audit'!$K$3:$K$82)</f>
        <v>0</v>
      </c>
      <c r="F51" s="289">
        <f>SUMIF('Pipe Audit'!$D$3:$D$82,A51,'Pipe Audit'!$O$3:$O$82)</f>
        <v>0</v>
      </c>
      <c r="G51" s="289">
        <f t="shared" si="11"/>
        <v>0</v>
      </c>
      <c r="H51" s="290" t="e">
        <f t="shared" si="12"/>
        <v>#DIV/0!</v>
      </c>
      <c r="I51" s="289">
        <f>SUMIF('Pipe Audit'!$D$3:$D$82,A51,'Pipe Audit'!$BD$3:$BD$82)</f>
        <v>0</v>
      </c>
      <c r="J51" s="289">
        <f>SUMIF('Pipe Audit'!$D$3:$D$82,A51,'Pipe Audit'!$BE$3:$BE$82)</f>
        <v>0</v>
      </c>
      <c r="K51" s="289">
        <f t="shared" si="13"/>
        <v>0</v>
      </c>
      <c r="L51" s="291" t="e">
        <f t="shared" si="14"/>
        <v>#DIV/0!</v>
      </c>
      <c r="M51" s="289">
        <f>SUMIF('Pipe Audit'!$D$3:$D$82,A51,'Pipe Audit'!$AJ$3:$AJ$82)</f>
        <v>0</v>
      </c>
      <c r="N51" s="292" cm="1">
        <f t="array" ref="N51">SUM(IF('Pipe Audit'!$D$3:$D$82=$A51,IF('Pipe Audit'!$Q$3:$Q$82=1,'Pipe Audit'!$AJ$3:$AJ$82)))</f>
        <v>0</v>
      </c>
      <c r="O51" s="292">
        <f t="shared" si="15"/>
        <v>0</v>
      </c>
      <c r="P51" s="293" t="e">
        <f t="shared" si="16"/>
        <v>#DIV/0!</v>
      </c>
      <c r="Q51" s="294" cm="1">
        <f t="array" ref="Q51">SUM(IF('Pipe Audit'!$D$3:$D$82=$A51,IF('Pipe Audit'!$AJ$3:$AJ$82=1,'Pipe Audit'!$K$3:$K$82)))</f>
        <v>0</v>
      </c>
      <c r="R51" s="294">
        <f t="array" ref="R51">SUM(IF('Pipe Audit'!$D$3:$D$82=$A51,IF('Pipe Audit'!$Q$3:$Q$82=1,'Pipe Audit'!$K$3:$K$82)))</f>
        <v>0</v>
      </c>
      <c r="S51" s="294" cm="1">
        <f t="array" ref="S51">SUM(IF('Pipe Audit'!$D$3:$D$82=$A51,IF('Pipe Audit'!$U$3:$U$82&gt;0.25,'Pipe Audit'!$AJ$3:$AJ$82)))</f>
        <v>0</v>
      </c>
      <c r="T51" s="294">
        <f t="array" ref="T51">SUM(IF('Pipe Audit'!$D$3:$D$82=$A51,IF('Pipe Audit'!$U$3:$U$82&gt;0.2,'Pipe Audit'!$K$3:$K$82)))</f>
        <v>0</v>
      </c>
      <c r="U51" s="295">
        <f t="shared" si="17"/>
        <v>0</v>
      </c>
      <c r="V51" s="296" t="e">
        <f t="shared" si="18"/>
        <v>#DIV/0!</v>
      </c>
    </row>
    <row r="52" spans="1:22" ht="22.5" x14ac:dyDescent="0.45">
      <c r="A52" s="306" t="s">
        <v>296</v>
      </c>
      <c r="B52" s="307">
        <v>207</v>
      </c>
      <c r="C52" s="308" t="s">
        <v>369</v>
      </c>
      <c r="D52" s="288"/>
      <c r="E52" s="289">
        <f>SUMIF('Pipe Audit'!$D$3:$D$82,A52,'Pipe Audit'!$K$3:$K$82)</f>
        <v>0</v>
      </c>
      <c r="F52" s="289">
        <f>SUMIF('Pipe Audit'!$D$3:$D$82,A52,'Pipe Audit'!$O$3:$O$82)</f>
        <v>0</v>
      </c>
      <c r="G52" s="289">
        <f t="shared" si="11"/>
        <v>0</v>
      </c>
      <c r="H52" s="290" t="e">
        <f t="shared" si="12"/>
        <v>#DIV/0!</v>
      </c>
      <c r="I52" s="289">
        <f>SUMIF('Pipe Audit'!$D$3:$D$82,A52,'Pipe Audit'!$BD$3:$BD$82)</f>
        <v>0</v>
      </c>
      <c r="J52" s="289">
        <f>SUMIF('Pipe Audit'!$D$3:$D$82,A52,'Pipe Audit'!$BE$3:$BE$82)</f>
        <v>0</v>
      </c>
      <c r="K52" s="289">
        <f t="shared" si="13"/>
        <v>0</v>
      </c>
      <c r="L52" s="291" t="e">
        <f t="shared" si="14"/>
        <v>#DIV/0!</v>
      </c>
      <c r="M52" s="289">
        <f>SUMIF('Pipe Audit'!$D$3:$D$82,A52,'Pipe Audit'!$AJ$3:$AJ$82)</f>
        <v>0</v>
      </c>
      <c r="N52" s="292" cm="1">
        <f t="array" ref="N52">SUM(IF('Pipe Audit'!$D$3:$D$82=$A52,IF('Pipe Audit'!$Q$3:$Q$82=1,'Pipe Audit'!$AJ$3:$AJ$82)))</f>
        <v>0</v>
      </c>
      <c r="O52" s="292">
        <f t="shared" si="15"/>
        <v>0</v>
      </c>
      <c r="P52" s="293" t="e">
        <f t="shared" si="16"/>
        <v>#DIV/0!</v>
      </c>
      <c r="Q52" s="294" cm="1">
        <f t="array" ref="Q52">SUM(IF('Pipe Audit'!$D$3:$D$82=$A52,IF('Pipe Audit'!$AJ$3:$AJ$82=1,'Pipe Audit'!$K$3:$K$82)))</f>
        <v>0</v>
      </c>
      <c r="R52" s="294">
        <f t="array" ref="R52">SUM(IF('Pipe Audit'!$D$3:$D$82=$A52,IF('Pipe Audit'!$Q$3:$Q$82=1,'Pipe Audit'!$K$3:$K$82)))</f>
        <v>0</v>
      </c>
      <c r="S52" s="294" cm="1">
        <f t="array" ref="S52">SUM(IF('Pipe Audit'!$D$3:$D$82=$A52,IF('Pipe Audit'!$U$3:$U$82&gt;0.25,'Pipe Audit'!$AJ$3:$AJ$82)))</f>
        <v>0</v>
      </c>
      <c r="T52" s="294">
        <f t="array" ref="T52">SUM(IF('Pipe Audit'!$D$3:$D$82=$A52,IF('Pipe Audit'!$U$3:$U$82&gt;0.2,'Pipe Audit'!$K$3:$K$82)))</f>
        <v>0</v>
      </c>
      <c r="U52" s="295">
        <f t="shared" si="17"/>
        <v>0</v>
      </c>
      <c r="V52" s="296" t="e">
        <f t="shared" si="18"/>
        <v>#DIV/0!</v>
      </c>
    </row>
    <row r="53" spans="1:22" ht="22.5" x14ac:dyDescent="0.45">
      <c r="A53" s="306" t="s">
        <v>262</v>
      </c>
      <c r="B53" s="307">
        <v>207</v>
      </c>
      <c r="C53" s="308" t="s">
        <v>370</v>
      </c>
      <c r="D53" s="288"/>
      <c r="E53" s="289">
        <f>SUMIF('Pipe Audit'!$D$3:$D$82,A53,'Pipe Audit'!$K$3:$K$82)</f>
        <v>0</v>
      </c>
      <c r="F53" s="289">
        <f>SUMIF('Pipe Audit'!$D$3:$D$82,A53,'Pipe Audit'!$O$3:$O$82)</f>
        <v>0</v>
      </c>
      <c r="G53" s="289">
        <f t="shared" si="11"/>
        <v>0</v>
      </c>
      <c r="H53" s="290" t="e">
        <f t="shared" si="12"/>
        <v>#DIV/0!</v>
      </c>
      <c r="I53" s="289">
        <f>SUMIF('Pipe Audit'!$D$3:$D$82,A53,'Pipe Audit'!$BD$3:$BD$82)</f>
        <v>0</v>
      </c>
      <c r="J53" s="289">
        <f>SUMIF('Pipe Audit'!$D$3:$D$82,A53,'Pipe Audit'!$BE$3:$BE$82)</f>
        <v>0</v>
      </c>
      <c r="K53" s="289">
        <f t="shared" si="13"/>
        <v>0</v>
      </c>
      <c r="L53" s="291" t="e">
        <f t="shared" si="14"/>
        <v>#DIV/0!</v>
      </c>
      <c r="M53" s="289">
        <f>SUMIF('Pipe Audit'!$D$3:$D$82,A53,'Pipe Audit'!$AJ$3:$AJ$82)</f>
        <v>0</v>
      </c>
      <c r="N53" s="292" cm="1">
        <f t="array" ref="N53">SUM(IF('Pipe Audit'!$D$3:$D$82=$A53,IF('Pipe Audit'!$Q$3:$Q$82=1,'Pipe Audit'!$AJ$3:$AJ$82)))</f>
        <v>0</v>
      </c>
      <c r="O53" s="292">
        <f t="shared" si="15"/>
        <v>0</v>
      </c>
      <c r="P53" s="293" t="e">
        <f t="shared" si="16"/>
        <v>#DIV/0!</v>
      </c>
      <c r="Q53" s="294" cm="1">
        <f t="array" ref="Q53">SUM(IF('Pipe Audit'!$D$3:$D$82=$A53,IF('Pipe Audit'!$AJ$3:$AJ$82=1,'Pipe Audit'!$K$3:$K$82)))</f>
        <v>0</v>
      </c>
      <c r="R53" s="294">
        <f t="array" ref="R53">SUM(IF('Pipe Audit'!$D$3:$D$82=$A53,IF('Pipe Audit'!$Q$3:$Q$82=1,'Pipe Audit'!$K$3:$K$82)))</f>
        <v>0</v>
      </c>
      <c r="S53" s="294" cm="1">
        <f t="array" ref="S53">SUM(IF('Pipe Audit'!$D$3:$D$82=$A53,IF('Pipe Audit'!$U$3:$U$82&gt;0.25,'Pipe Audit'!$AJ$3:$AJ$82)))</f>
        <v>0</v>
      </c>
      <c r="T53" s="294">
        <f t="array" ref="T53">SUM(IF('Pipe Audit'!$D$3:$D$82=$A53,IF('Pipe Audit'!$U$3:$U$82&gt;0.2,'Pipe Audit'!$K$3:$K$82)))</f>
        <v>0</v>
      </c>
      <c r="U53" s="295">
        <f t="shared" si="17"/>
        <v>0</v>
      </c>
      <c r="V53" s="296" t="e">
        <f t="shared" si="18"/>
        <v>#DIV/0!</v>
      </c>
    </row>
    <row r="54" spans="1:22" ht="22.5" x14ac:dyDescent="0.45">
      <c r="A54" s="306" t="s">
        <v>264</v>
      </c>
      <c r="B54" s="307">
        <v>207</v>
      </c>
      <c r="C54" s="308" t="s">
        <v>371</v>
      </c>
      <c r="D54" s="288"/>
      <c r="E54" s="289">
        <f>SUMIF('Pipe Audit'!$D$3:$D$82,A54,'Pipe Audit'!$K$3:$K$82)</f>
        <v>0</v>
      </c>
      <c r="F54" s="289">
        <f>SUMIF('Pipe Audit'!$D$3:$D$82,A54,'Pipe Audit'!$O$3:$O$82)</f>
        <v>0</v>
      </c>
      <c r="G54" s="289">
        <f t="shared" si="11"/>
        <v>0</v>
      </c>
      <c r="H54" s="290" t="e">
        <f t="shared" si="12"/>
        <v>#DIV/0!</v>
      </c>
      <c r="I54" s="289">
        <f>SUMIF('Pipe Audit'!$D$3:$D$82,A54,'Pipe Audit'!$BD$3:$BD$82)</f>
        <v>0</v>
      </c>
      <c r="J54" s="289">
        <f>SUMIF('Pipe Audit'!$D$3:$D$82,A54,'Pipe Audit'!$BE$3:$BE$82)</f>
        <v>0</v>
      </c>
      <c r="K54" s="289">
        <f t="shared" si="13"/>
        <v>0</v>
      </c>
      <c r="L54" s="291" t="e">
        <f t="shared" si="14"/>
        <v>#DIV/0!</v>
      </c>
      <c r="M54" s="289">
        <f>SUMIF('Pipe Audit'!$D$3:$D$82,A54,'Pipe Audit'!$AJ$3:$AJ$82)</f>
        <v>0</v>
      </c>
      <c r="N54" s="292" cm="1">
        <f t="array" ref="N54">SUM(IF('Pipe Audit'!$D$3:$D$82=$A54,IF('Pipe Audit'!$Q$3:$Q$82=1,'Pipe Audit'!$AJ$3:$AJ$82)))</f>
        <v>0</v>
      </c>
      <c r="O54" s="292">
        <f t="shared" si="15"/>
        <v>0</v>
      </c>
      <c r="P54" s="293" t="e">
        <f t="shared" si="16"/>
        <v>#DIV/0!</v>
      </c>
      <c r="Q54" s="294" cm="1">
        <f t="array" ref="Q54">SUM(IF('Pipe Audit'!$D$3:$D$82=$A54,IF('Pipe Audit'!$AJ$3:$AJ$82=1,'Pipe Audit'!$K$3:$K$82)))</f>
        <v>0</v>
      </c>
      <c r="R54" s="294">
        <f t="array" ref="R54">SUM(IF('Pipe Audit'!$D$3:$D$82=$A54,IF('Pipe Audit'!$Q$3:$Q$82=1,'Pipe Audit'!$K$3:$K$82)))</f>
        <v>0</v>
      </c>
      <c r="S54" s="294" cm="1">
        <f t="array" ref="S54">SUM(IF('Pipe Audit'!$D$3:$D$82=$A54,IF('Pipe Audit'!$U$3:$U$82&gt;0.25,'Pipe Audit'!$AJ$3:$AJ$82)))</f>
        <v>0</v>
      </c>
      <c r="T54" s="294">
        <f t="array" ref="T54">SUM(IF('Pipe Audit'!$D$3:$D$82=$A54,IF('Pipe Audit'!$U$3:$U$82&gt;0.2,'Pipe Audit'!$K$3:$K$82)))</f>
        <v>0</v>
      </c>
      <c r="U54" s="295">
        <f t="shared" si="17"/>
        <v>0</v>
      </c>
      <c r="V54" s="296" t="e">
        <f t="shared" si="18"/>
        <v>#DIV/0!</v>
      </c>
    </row>
    <row r="55" spans="1:22" ht="22.5" x14ac:dyDescent="0.45">
      <c r="A55" s="306" t="s">
        <v>297</v>
      </c>
      <c r="B55" s="307">
        <v>207</v>
      </c>
      <c r="C55" s="308" t="s">
        <v>372</v>
      </c>
      <c r="D55" s="288"/>
      <c r="E55" s="289">
        <f>SUMIF('Pipe Audit'!$D$3:$D$82,A55,'Pipe Audit'!$K$3:$K$82)</f>
        <v>0</v>
      </c>
      <c r="F55" s="289">
        <f>SUMIF('Pipe Audit'!$D$3:$D$82,A55,'Pipe Audit'!$O$3:$O$82)</f>
        <v>0</v>
      </c>
      <c r="G55" s="289">
        <f t="shared" si="11"/>
        <v>0</v>
      </c>
      <c r="H55" s="290" t="e">
        <f t="shared" si="12"/>
        <v>#DIV/0!</v>
      </c>
      <c r="I55" s="289">
        <f>SUMIF('Pipe Audit'!$D$3:$D$82,A55,'Pipe Audit'!$BD$3:$BD$82)</f>
        <v>0</v>
      </c>
      <c r="J55" s="289">
        <f>SUMIF('Pipe Audit'!$D$3:$D$82,A55,'Pipe Audit'!$BE$3:$BE$82)</f>
        <v>0</v>
      </c>
      <c r="K55" s="289">
        <f t="shared" si="13"/>
        <v>0</v>
      </c>
      <c r="L55" s="291" t="e">
        <f t="shared" si="14"/>
        <v>#DIV/0!</v>
      </c>
      <c r="M55" s="289">
        <f>SUMIF('Pipe Audit'!$D$3:$D$82,A55,'Pipe Audit'!$AJ$3:$AJ$82)</f>
        <v>0</v>
      </c>
      <c r="N55" s="292" cm="1">
        <f t="array" ref="N55">SUM(IF('Pipe Audit'!$D$3:$D$82=$A55,IF('Pipe Audit'!$Q$3:$Q$82=1,'Pipe Audit'!$AJ$3:$AJ$82)))</f>
        <v>0</v>
      </c>
      <c r="O55" s="292">
        <f t="shared" si="15"/>
        <v>0</v>
      </c>
      <c r="P55" s="293" t="e">
        <f t="shared" si="16"/>
        <v>#DIV/0!</v>
      </c>
      <c r="Q55" s="294" cm="1">
        <f t="array" ref="Q55">SUM(IF('Pipe Audit'!$D$3:$D$82=$A55,IF('Pipe Audit'!$AJ$3:$AJ$82=1,'Pipe Audit'!$K$3:$K$82)))</f>
        <v>0</v>
      </c>
      <c r="R55" s="294">
        <f t="array" ref="R55">SUM(IF('Pipe Audit'!$D$3:$D$82=$A55,IF('Pipe Audit'!$Q$3:$Q$82=1,'Pipe Audit'!$K$3:$K$82)))</f>
        <v>0</v>
      </c>
      <c r="S55" s="294" cm="1">
        <f t="array" ref="S55">SUM(IF('Pipe Audit'!$D$3:$D$82=$A55,IF('Pipe Audit'!$U$3:$U$82&gt;0.25,'Pipe Audit'!$AJ$3:$AJ$82)))</f>
        <v>0</v>
      </c>
      <c r="T55" s="294">
        <f t="array" ref="T55">SUM(IF('Pipe Audit'!$D$3:$D$82=$A55,IF('Pipe Audit'!$U$3:$U$82&gt;0.2,'Pipe Audit'!$K$3:$K$82)))</f>
        <v>0</v>
      </c>
      <c r="U55" s="295">
        <f t="shared" si="17"/>
        <v>0</v>
      </c>
      <c r="V55" s="296" t="e">
        <f t="shared" si="18"/>
        <v>#DIV/0!</v>
      </c>
    </row>
    <row r="56" spans="1:22" ht="22.5" x14ac:dyDescent="0.45">
      <c r="A56" s="306" t="s">
        <v>265</v>
      </c>
      <c r="B56" s="307">
        <v>207</v>
      </c>
      <c r="C56" s="308" t="s">
        <v>373</v>
      </c>
      <c r="D56" s="288"/>
      <c r="E56" s="289">
        <f>SUMIF('Pipe Audit'!$D$3:$D$82,A56,'Pipe Audit'!$K$3:$K$82)</f>
        <v>0</v>
      </c>
      <c r="F56" s="289">
        <f>SUMIF('Pipe Audit'!$D$3:$D$82,A56,'Pipe Audit'!$O$3:$O$82)</f>
        <v>0</v>
      </c>
      <c r="G56" s="289">
        <f t="shared" si="11"/>
        <v>0</v>
      </c>
      <c r="H56" s="290" t="e">
        <f t="shared" si="12"/>
        <v>#DIV/0!</v>
      </c>
      <c r="I56" s="289">
        <f>SUMIF('Pipe Audit'!$D$3:$D$82,A56,'Pipe Audit'!$BD$3:$BD$82)</f>
        <v>0</v>
      </c>
      <c r="J56" s="289">
        <f>SUMIF('Pipe Audit'!$D$3:$D$82,A56,'Pipe Audit'!$BE$3:$BE$82)</f>
        <v>0</v>
      </c>
      <c r="K56" s="289">
        <f t="shared" si="13"/>
        <v>0</v>
      </c>
      <c r="L56" s="291" t="e">
        <f t="shared" si="14"/>
        <v>#DIV/0!</v>
      </c>
      <c r="M56" s="289">
        <f>SUMIF('Pipe Audit'!$D$3:$D$82,A56,'Pipe Audit'!$AJ$3:$AJ$82)</f>
        <v>0</v>
      </c>
      <c r="N56" s="292" cm="1">
        <f t="array" ref="N56">SUM(IF('Pipe Audit'!$D$3:$D$82=$A56,IF('Pipe Audit'!$Q$3:$Q$82=1,'Pipe Audit'!$AJ$3:$AJ$82)))</f>
        <v>0</v>
      </c>
      <c r="O56" s="292">
        <f t="shared" si="15"/>
        <v>0</v>
      </c>
      <c r="P56" s="293" t="e">
        <f t="shared" si="16"/>
        <v>#DIV/0!</v>
      </c>
      <c r="Q56" s="294" cm="1">
        <f t="array" ref="Q56">SUM(IF('Pipe Audit'!$D$3:$D$82=$A56,IF('Pipe Audit'!$AJ$3:$AJ$82=1,'Pipe Audit'!$K$3:$K$82)))</f>
        <v>0</v>
      </c>
      <c r="R56" s="294">
        <f t="array" ref="R56">SUM(IF('Pipe Audit'!$D$3:$D$82=$A56,IF('Pipe Audit'!$Q$3:$Q$82=1,'Pipe Audit'!$K$3:$K$82)))</f>
        <v>0</v>
      </c>
      <c r="S56" s="294" cm="1">
        <f t="array" ref="S56">SUM(IF('Pipe Audit'!$D$3:$D$82=$A56,IF('Pipe Audit'!$U$3:$U$82&gt;0.25,'Pipe Audit'!$AJ$3:$AJ$82)))</f>
        <v>0</v>
      </c>
      <c r="T56" s="294">
        <f t="array" ref="T56">SUM(IF('Pipe Audit'!$D$3:$D$82=$A56,IF('Pipe Audit'!$U$3:$U$82&gt;0.2,'Pipe Audit'!$K$3:$K$82)))</f>
        <v>0</v>
      </c>
      <c r="U56" s="295">
        <f t="shared" si="17"/>
        <v>0</v>
      </c>
      <c r="V56" s="296" t="e">
        <f t="shared" si="18"/>
        <v>#DIV/0!</v>
      </c>
    </row>
    <row r="57" spans="1:22" ht="22.5" x14ac:dyDescent="0.45">
      <c r="A57" s="306" t="s">
        <v>259</v>
      </c>
      <c r="B57" s="307">
        <v>207</v>
      </c>
      <c r="C57" s="308" t="s">
        <v>374</v>
      </c>
      <c r="D57" s="288"/>
      <c r="E57" s="289">
        <f>SUMIF('Pipe Audit'!$D$3:$D$82,A57,'Pipe Audit'!$K$3:$K$82)</f>
        <v>0</v>
      </c>
      <c r="F57" s="289">
        <f>SUMIF('Pipe Audit'!$D$3:$D$82,A57,'Pipe Audit'!$O$3:$O$82)</f>
        <v>0</v>
      </c>
      <c r="G57" s="289">
        <f t="shared" si="11"/>
        <v>0</v>
      </c>
      <c r="H57" s="290" t="e">
        <f t="shared" si="12"/>
        <v>#DIV/0!</v>
      </c>
      <c r="I57" s="289">
        <f>SUMIF('Pipe Audit'!$D$3:$D$82,A57,'Pipe Audit'!$BD$3:$BD$82)</f>
        <v>0</v>
      </c>
      <c r="J57" s="289">
        <f>SUMIF('Pipe Audit'!$D$3:$D$82,A57,'Pipe Audit'!$BE$3:$BE$82)</f>
        <v>0</v>
      </c>
      <c r="K57" s="289">
        <f t="shared" si="13"/>
        <v>0</v>
      </c>
      <c r="L57" s="291" t="e">
        <f t="shared" si="14"/>
        <v>#DIV/0!</v>
      </c>
      <c r="M57" s="289">
        <f>SUMIF('Pipe Audit'!$D$3:$D$82,A57,'Pipe Audit'!$AJ$3:$AJ$82)</f>
        <v>0</v>
      </c>
      <c r="N57" s="292" cm="1">
        <f t="array" ref="N57">SUM(IF('Pipe Audit'!$D$3:$D$82=$A57,IF('Pipe Audit'!$Q$3:$Q$82=1,'Pipe Audit'!$AJ$3:$AJ$82)))</f>
        <v>0</v>
      </c>
      <c r="O57" s="292">
        <f t="shared" si="15"/>
        <v>0</v>
      </c>
      <c r="P57" s="293" t="e">
        <f t="shared" si="16"/>
        <v>#DIV/0!</v>
      </c>
      <c r="Q57" s="294" cm="1">
        <f t="array" ref="Q57">SUM(IF('Pipe Audit'!$D$3:$D$82=$A57,IF('Pipe Audit'!$AJ$3:$AJ$82=1,'Pipe Audit'!$K$3:$K$82)))</f>
        <v>0</v>
      </c>
      <c r="R57" s="294">
        <f t="array" ref="R57">SUM(IF('Pipe Audit'!$D$3:$D$82=$A57,IF('Pipe Audit'!$Q$3:$Q$82=1,'Pipe Audit'!$K$3:$K$82)))</f>
        <v>0</v>
      </c>
      <c r="S57" s="294" cm="1">
        <f t="array" ref="S57">SUM(IF('Pipe Audit'!$D$3:$D$82=$A57,IF('Pipe Audit'!$U$3:$U$82&gt;0.25,'Pipe Audit'!$AJ$3:$AJ$82)))</f>
        <v>0</v>
      </c>
      <c r="T57" s="294">
        <f t="array" ref="T57">SUM(IF('Pipe Audit'!$D$3:$D$82=$A57,IF('Pipe Audit'!$U$3:$U$82&gt;0.2,'Pipe Audit'!$K$3:$K$82)))</f>
        <v>0</v>
      </c>
      <c r="U57" s="295">
        <f t="shared" si="17"/>
        <v>0</v>
      </c>
      <c r="V57" s="296" t="e">
        <f t="shared" si="18"/>
        <v>#DIV/0!</v>
      </c>
    </row>
    <row r="58" spans="1:22" ht="22.5" x14ac:dyDescent="0.45">
      <c r="A58" s="306" t="s">
        <v>279</v>
      </c>
      <c r="B58" s="307">
        <v>207</v>
      </c>
      <c r="C58" s="308" t="s">
        <v>375</v>
      </c>
      <c r="D58" s="288"/>
      <c r="E58" s="289">
        <f>SUMIF('Pipe Audit'!$D$3:$D$82,A58,'Pipe Audit'!$K$3:$K$82)</f>
        <v>0</v>
      </c>
      <c r="F58" s="289">
        <f>SUMIF('Pipe Audit'!$D$3:$D$82,A58,'Pipe Audit'!$O$3:$O$82)</f>
        <v>0</v>
      </c>
      <c r="G58" s="289">
        <f t="shared" si="11"/>
        <v>0</v>
      </c>
      <c r="H58" s="290" t="e">
        <f t="shared" si="12"/>
        <v>#DIV/0!</v>
      </c>
      <c r="I58" s="289">
        <f>SUMIF('Pipe Audit'!$D$3:$D$82,A58,'Pipe Audit'!$BD$3:$BD$82)</f>
        <v>0</v>
      </c>
      <c r="J58" s="289">
        <f>SUMIF('Pipe Audit'!$D$3:$D$82,A58,'Pipe Audit'!$BE$3:$BE$82)</f>
        <v>0</v>
      </c>
      <c r="K58" s="289">
        <f t="shared" si="13"/>
        <v>0</v>
      </c>
      <c r="L58" s="291" t="e">
        <f t="shared" si="14"/>
        <v>#DIV/0!</v>
      </c>
      <c r="M58" s="289">
        <f>SUMIF('Pipe Audit'!$D$3:$D$82,A58,'Pipe Audit'!$AJ$3:$AJ$82)</f>
        <v>0</v>
      </c>
      <c r="N58" s="292" cm="1">
        <f t="array" ref="N58">SUM(IF('Pipe Audit'!$D$3:$D$82=$A58,IF('Pipe Audit'!$Q$3:$Q$82=1,'Pipe Audit'!$AJ$3:$AJ$82)))</f>
        <v>0</v>
      </c>
      <c r="O58" s="292">
        <f t="shared" si="15"/>
        <v>0</v>
      </c>
      <c r="P58" s="293" t="e">
        <f t="shared" si="16"/>
        <v>#DIV/0!</v>
      </c>
      <c r="Q58" s="294" cm="1">
        <f t="array" ref="Q58">SUM(IF('Pipe Audit'!$D$3:$D$82=$A58,IF('Pipe Audit'!$AJ$3:$AJ$82=1,'Pipe Audit'!$K$3:$K$82)))</f>
        <v>0</v>
      </c>
      <c r="R58" s="294">
        <f t="array" ref="R58">SUM(IF('Pipe Audit'!$D$3:$D$82=$A58,IF('Pipe Audit'!$Q$3:$Q$82=1,'Pipe Audit'!$K$3:$K$82)))</f>
        <v>0</v>
      </c>
      <c r="S58" s="294" cm="1">
        <f t="array" ref="S58">SUM(IF('Pipe Audit'!$D$3:$D$82=$A58,IF('Pipe Audit'!$U$3:$U$82&gt;0.25,'Pipe Audit'!$AJ$3:$AJ$82)))</f>
        <v>0</v>
      </c>
      <c r="T58" s="294">
        <f t="array" ref="T58">SUM(IF('Pipe Audit'!$D$3:$D$82=$A58,IF('Pipe Audit'!$U$3:$U$82&gt;0.2,'Pipe Audit'!$K$3:$K$82)))</f>
        <v>0</v>
      </c>
      <c r="U58" s="295">
        <f t="shared" si="17"/>
        <v>0</v>
      </c>
      <c r="V58" s="296" t="e">
        <f t="shared" si="18"/>
        <v>#DIV/0!</v>
      </c>
    </row>
    <row r="59" spans="1:22" ht="22.5" x14ac:dyDescent="0.45">
      <c r="A59" s="306" t="s">
        <v>258</v>
      </c>
      <c r="B59" s="307">
        <v>207</v>
      </c>
      <c r="C59" s="308" t="s">
        <v>376</v>
      </c>
      <c r="D59" s="288"/>
      <c r="E59" s="289">
        <f>SUMIF('Pipe Audit'!$D$3:$D$82,A59,'Pipe Audit'!$K$3:$K$82)</f>
        <v>0</v>
      </c>
      <c r="F59" s="289">
        <f>SUMIF('Pipe Audit'!$D$3:$D$82,A59,'Pipe Audit'!$O$3:$O$82)</f>
        <v>0</v>
      </c>
      <c r="G59" s="289">
        <f t="shared" si="11"/>
        <v>0</v>
      </c>
      <c r="H59" s="290" t="e">
        <f t="shared" si="12"/>
        <v>#DIV/0!</v>
      </c>
      <c r="I59" s="289">
        <f>SUMIF('Pipe Audit'!$D$3:$D$82,A59,'Pipe Audit'!$BD$3:$BD$82)</f>
        <v>0</v>
      </c>
      <c r="J59" s="289">
        <f>SUMIF('Pipe Audit'!$D$3:$D$82,A59,'Pipe Audit'!$BE$3:$BE$82)</f>
        <v>0</v>
      </c>
      <c r="K59" s="289">
        <f t="shared" si="13"/>
        <v>0</v>
      </c>
      <c r="L59" s="291" t="e">
        <f t="shared" si="14"/>
        <v>#DIV/0!</v>
      </c>
      <c r="M59" s="289">
        <f>SUMIF('Pipe Audit'!$D$3:$D$82,A59,'Pipe Audit'!$AJ$3:$AJ$82)</f>
        <v>0</v>
      </c>
      <c r="N59" s="292" cm="1">
        <f t="array" ref="N59">SUM(IF('Pipe Audit'!$D$3:$D$82=$A59,IF('Pipe Audit'!$Q$3:$Q$82=1,'Pipe Audit'!$AJ$3:$AJ$82)))</f>
        <v>0</v>
      </c>
      <c r="O59" s="292">
        <f t="shared" si="15"/>
        <v>0</v>
      </c>
      <c r="P59" s="293" t="e">
        <f t="shared" si="16"/>
        <v>#DIV/0!</v>
      </c>
      <c r="Q59" s="294" cm="1">
        <f t="array" ref="Q59">SUM(IF('Pipe Audit'!$D$3:$D$82=$A59,IF('Pipe Audit'!$AJ$3:$AJ$82=1,'Pipe Audit'!$K$3:$K$82)))</f>
        <v>0</v>
      </c>
      <c r="R59" s="294">
        <f t="array" ref="R59">SUM(IF('Pipe Audit'!$D$3:$D$82=$A59,IF('Pipe Audit'!$Q$3:$Q$82=1,'Pipe Audit'!$K$3:$K$82)))</f>
        <v>0</v>
      </c>
      <c r="S59" s="294" cm="1">
        <f t="array" ref="S59">SUM(IF('Pipe Audit'!$D$3:$D$82=$A59,IF('Pipe Audit'!$U$3:$U$82&gt;0.25,'Pipe Audit'!$AJ$3:$AJ$82)))</f>
        <v>0</v>
      </c>
      <c r="T59" s="294">
        <f t="array" ref="T59">SUM(IF('Pipe Audit'!$D$3:$D$82=$A59,IF('Pipe Audit'!$U$3:$U$82&gt;0.2,'Pipe Audit'!$K$3:$K$82)))</f>
        <v>0</v>
      </c>
      <c r="U59" s="295">
        <f t="shared" si="17"/>
        <v>0</v>
      </c>
      <c r="V59" s="296" t="e">
        <f t="shared" si="18"/>
        <v>#DIV/0!</v>
      </c>
    </row>
    <row r="60" spans="1:22" ht="22.5" x14ac:dyDescent="0.45">
      <c r="A60" s="306" t="s">
        <v>268</v>
      </c>
      <c r="B60" s="307">
        <v>207</v>
      </c>
      <c r="C60" s="308" t="s">
        <v>377</v>
      </c>
      <c r="D60" s="288"/>
      <c r="E60" s="289">
        <f>SUMIF('Pipe Audit'!$D$3:$D$82,A60,'Pipe Audit'!$K$3:$K$82)</f>
        <v>0</v>
      </c>
      <c r="F60" s="289">
        <f>SUMIF('Pipe Audit'!$D$3:$D$82,A60,'Pipe Audit'!$O$3:$O$82)</f>
        <v>0</v>
      </c>
      <c r="G60" s="289">
        <f t="shared" si="11"/>
        <v>0</v>
      </c>
      <c r="H60" s="290" t="e">
        <f t="shared" si="12"/>
        <v>#DIV/0!</v>
      </c>
      <c r="I60" s="289">
        <f>SUMIF('Pipe Audit'!$D$3:$D$82,A60,'Pipe Audit'!$BD$3:$BD$82)</f>
        <v>0</v>
      </c>
      <c r="J60" s="289">
        <f>SUMIF('Pipe Audit'!$D$3:$D$82,A60,'Pipe Audit'!$BE$3:$BE$82)</f>
        <v>0</v>
      </c>
      <c r="K60" s="289">
        <f t="shared" si="13"/>
        <v>0</v>
      </c>
      <c r="L60" s="291" t="e">
        <f t="shared" si="14"/>
        <v>#DIV/0!</v>
      </c>
      <c r="M60" s="289">
        <f>SUMIF('Pipe Audit'!$D$3:$D$82,A60,'Pipe Audit'!$AJ$3:$AJ$82)</f>
        <v>0</v>
      </c>
      <c r="N60" s="292" cm="1">
        <f t="array" ref="N60">SUM(IF('Pipe Audit'!$D$3:$D$82=$A60,IF('Pipe Audit'!$Q$3:$Q$82=1,'Pipe Audit'!$AJ$3:$AJ$82)))</f>
        <v>0</v>
      </c>
      <c r="O60" s="292">
        <f t="shared" si="15"/>
        <v>0</v>
      </c>
      <c r="P60" s="293" t="e">
        <f t="shared" si="16"/>
        <v>#DIV/0!</v>
      </c>
      <c r="Q60" s="294" cm="1">
        <f t="array" ref="Q60">SUM(IF('Pipe Audit'!$D$3:$D$82=$A60,IF('Pipe Audit'!$AJ$3:$AJ$82=1,'Pipe Audit'!$K$3:$K$82)))</f>
        <v>0</v>
      </c>
      <c r="R60" s="294">
        <f t="array" ref="R60">SUM(IF('Pipe Audit'!$D$3:$D$82=$A60,IF('Pipe Audit'!$Q$3:$Q$82=1,'Pipe Audit'!$K$3:$K$82)))</f>
        <v>0</v>
      </c>
      <c r="S60" s="294" cm="1">
        <f t="array" ref="S60">SUM(IF('Pipe Audit'!$D$3:$D$82=$A60,IF('Pipe Audit'!$U$3:$U$82&gt;0.25,'Pipe Audit'!$AJ$3:$AJ$82)))</f>
        <v>0</v>
      </c>
      <c r="T60" s="294">
        <f t="array" ref="T60">SUM(IF('Pipe Audit'!$D$3:$D$82=$A60,IF('Pipe Audit'!$U$3:$U$82&gt;0.2,'Pipe Audit'!$K$3:$K$82)))</f>
        <v>0</v>
      </c>
      <c r="U60" s="295">
        <f t="shared" si="17"/>
        <v>0</v>
      </c>
      <c r="V60" s="296" t="e">
        <f t="shared" si="18"/>
        <v>#DIV/0!</v>
      </c>
    </row>
    <row r="61" spans="1:22" ht="22.5" x14ac:dyDescent="0.45">
      <c r="A61" s="306" t="s">
        <v>286</v>
      </c>
      <c r="B61" s="307">
        <v>207</v>
      </c>
      <c r="C61" s="308" t="s">
        <v>378</v>
      </c>
      <c r="D61" s="288"/>
      <c r="E61" s="289">
        <f>SUMIF('Pipe Audit'!$D$3:$D$82,A61,'Pipe Audit'!$K$3:$K$82)</f>
        <v>0</v>
      </c>
      <c r="F61" s="289">
        <f>SUMIF('Pipe Audit'!$D$3:$D$82,A61,'Pipe Audit'!$O$3:$O$82)</f>
        <v>0</v>
      </c>
      <c r="G61" s="289">
        <f t="shared" si="11"/>
        <v>0</v>
      </c>
      <c r="H61" s="290" t="e">
        <f t="shared" si="12"/>
        <v>#DIV/0!</v>
      </c>
      <c r="I61" s="289">
        <f>SUMIF('Pipe Audit'!$D$3:$D$82,A61,'Pipe Audit'!$BD$3:$BD$82)</f>
        <v>0</v>
      </c>
      <c r="J61" s="289">
        <f>SUMIF('Pipe Audit'!$D$3:$D$82,A61,'Pipe Audit'!$BE$3:$BE$82)</f>
        <v>0</v>
      </c>
      <c r="K61" s="289">
        <f t="shared" si="13"/>
        <v>0</v>
      </c>
      <c r="L61" s="291" t="e">
        <f t="shared" si="14"/>
        <v>#DIV/0!</v>
      </c>
      <c r="M61" s="289">
        <f>SUMIF('Pipe Audit'!$D$3:$D$82,A61,'Pipe Audit'!$AJ$3:$AJ$82)</f>
        <v>0</v>
      </c>
      <c r="N61" s="292" cm="1">
        <f t="array" ref="N61">SUM(IF('Pipe Audit'!$D$3:$D$82=$A61,IF('Pipe Audit'!$Q$3:$Q$82=1,'Pipe Audit'!$AJ$3:$AJ$82)))</f>
        <v>0</v>
      </c>
      <c r="O61" s="292">
        <f t="shared" si="15"/>
        <v>0</v>
      </c>
      <c r="P61" s="293" t="e">
        <f t="shared" si="16"/>
        <v>#DIV/0!</v>
      </c>
      <c r="Q61" s="294" cm="1">
        <f t="array" ref="Q61">SUM(IF('Pipe Audit'!$D$3:$D$82=$A61,IF('Pipe Audit'!$AJ$3:$AJ$82=1,'Pipe Audit'!$K$3:$K$82)))</f>
        <v>0</v>
      </c>
      <c r="R61" s="294">
        <f t="array" ref="R61">SUM(IF('Pipe Audit'!$D$3:$D$82=$A61,IF('Pipe Audit'!$Q$3:$Q$82=1,'Pipe Audit'!$K$3:$K$82)))</f>
        <v>0</v>
      </c>
      <c r="S61" s="294" cm="1">
        <f t="array" ref="S61">SUM(IF('Pipe Audit'!$D$3:$D$82=$A61,IF('Pipe Audit'!$U$3:$U$82&gt;0.25,'Pipe Audit'!$AJ$3:$AJ$82)))</f>
        <v>0</v>
      </c>
      <c r="T61" s="294">
        <f t="array" ref="T61">SUM(IF('Pipe Audit'!$D$3:$D$82=$A61,IF('Pipe Audit'!$U$3:$U$82&gt;0.2,'Pipe Audit'!$K$3:$K$82)))</f>
        <v>0</v>
      </c>
      <c r="U61" s="295">
        <f t="shared" si="17"/>
        <v>0</v>
      </c>
      <c r="V61" s="296" t="e">
        <f t="shared" si="18"/>
        <v>#DIV/0!</v>
      </c>
    </row>
    <row r="62" spans="1:22" ht="22.5" x14ac:dyDescent="0.45">
      <c r="A62" s="306" t="s">
        <v>281</v>
      </c>
      <c r="B62" s="307">
        <v>207</v>
      </c>
      <c r="C62" s="308" t="s">
        <v>379</v>
      </c>
      <c r="D62" s="288"/>
      <c r="E62" s="289">
        <f>SUMIF('Pipe Audit'!$D$3:$D$82,A62,'Pipe Audit'!$K$3:$K$82)</f>
        <v>0</v>
      </c>
      <c r="F62" s="289">
        <f>SUMIF('Pipe Audit'!$D$3:$D$82,A62,'Pipe Audit'!$O$3:$O$82)</f>
        <v>0</v>
      </c>
      <c r="G62" s="289">
        <f t="shared" si="11"/>
        <v>0</v>
      </c>
      <c r="H62" s="290" t="e">
        <f t="shared" si="12"/>
        <v>#DIV/0!</v>
      </c>
      <c r="I62" s="289">
        <f>SUMIF('Pipe Audit'!$D$3:$D$82,A62,'Pipe Audit'!$BD$3:$BD$82)</f>
        <v>0</v>
      </c>
      <c r="J62" s="289">
        <f>SUMIF('Pipe Audit'!$D$3:$D$82,A62,'Pipe Audit'!$BE$3:$BE$82)</f>
        <v>0</v>
      </c>
      <c r="K62" s="289">
        <f t="shared" si="13"/>
        <v>0</v>
      </c>
      <c r="L62" s="291" t="e">
        <f t="shared" si="14"/>
        <v>#DIV/0!</v>
      </c>
      <c r="M62" s="289">
        <f>SUMIF('Pipe Audit'!$D$3:$D$82,A62,'Pipe Audit'!$AJ$3:$AJ$82)</f>
        <v>0</v>
      </c>
      <c r="N62" s="292" cm="1">
        <f t="array" ref="N62">SUM(IF('Pipe Audit'!$D$3:$D$82=$A62,IF('Pipe Audit'!$Q$3:$Q$82=1,'Pipe Audit'!$AJ$3:$AJ$82)))</f>
        <v>0</v>
      </c>
      <c r="O62" s="292">
        <f t="shared" si="15"/>
        <v>0</v>
      </c>
      <c r="P62" s="293" t="e">
        <f t="shared" si="16"/>
        <v>#DIV/0!</v>
      </c>
      <c r="Q62" s="294" cm="1">
        <f t="array" ref="Q62">SUM(IF('Pipe Audit'!$D$3:$D$82=$A62,IF('Pipe Audit'!$AJ$3:$AJ$82=1,'Pipe Audit'!$K$3:$K$82)))</f>
        <v>0</v>
      </c>
      <c r="R62" s="294">
        <f t="array" ref="R62">SUM(IF('Pipe Audit'!$D$3:$D$82=$A62,IF('Pipe Audit'!$Q$3:$Q$82=1,'Pipe Audit'!$K$3:$K$82)))</f>
        <v>0</v>
      </c>
      <c r="S62" s="294" cm="1">
        <f t="array" ref="S62">SUM(IF('Pipe Audit'!$D$3:$D$82=$A62,IF('Pipe Audit'!$U$3:$U$82&gt;0.25,'Pipe Audit'!$AJ$3:$AJ$82)))</f>
        <v>0</v>
      </c>
      <c r="T62" s="294">
        <f t="array" ref="T62">SUM(IF('Pipe Audit'!$D$3:$D$82=$A62,IF('Pipe Audit'!$U$3:$U$82&gt;0.2,'Pipe Audit'!$K$3:$K$82)))</f>
        <v>0</v>
      </c>
      <c r="U62" s="295">
        <f t="shared" si="17"/>
        <v>0</v>
      </c>
      <c r="V62" s="296" t="e">
        <f t="shared" si="18"/>
        <v>#DIV/0!</v>
      </c>
    </row>
    <row r="63" spans="1:22" ht="22.5" x14ac:dyDescent="0.45">
      <c r="A63" s="306" t="s">
        <v>298</v>
      </c>
      <c r="B63" s="307">
        <v>207</v>
      </c>
      <c r="C63" s="308" t="s">
        <v>380</v>
      </c>
      <c r="D63" s="288"/>
      <c r="E63" s="289">
        <f>SUMIF('Pipe Audit'!$D$3:$D$82,A63,'Pipe Audit'!$K$3:$K$82)</f>
        <v>0</v>
      </c>
      <c r="F63" s="289">
        <f>SUMIF('Pipe Audit'!$D$3:$D$82,A63,'Pipe Audit'!$O$3:$O$82)</f>
        <v>0</v>
      </c>
      <c r="G63" s="289">
        <f t="shared" si="11"/>
        <v>0</v>
      </c>
      <c r="H63" s="290" t="e">
        <f t="shared" si="12"/>
        <v>#DIV/0!</v>
      </c>
      <c r="I63" s="289">
        <f>SUMIF('Pipe Audit'!$D$3:$D$82,A63,'Pipe Audit'!$BD$3:$BD$82)</f>
        <v>0</v>
      </c>
      <c r="J63" s="289">
        <f>SUMIF('Pipe Audit'!$D$3:$D$82,A63,'Pipe Audit'!$BE$3:$BE$82)</f>
        <v>0</v>
      </c>
      <c r="K63" s="289">
        <f t="shared" si="13"/>
        <v>0</v>
      </c>
      <c r="L63" s="291" t="e">
        <f t="shared" si="14"/>
        <v>#DIV/0!</v>
      </c>
      <c r="M63" s="289">
        <f>SUMIF('Pipe Audit'!$D$3:$D$82,A63,'Pipe Audit'!$AJ$3:$AJ$82)</f>
        <v>0</v>
      </c>
      <c r="N63" s="292" cm="1">
        <f t="array" ref="N63">SUM(IF('Pipe Audit'!$D$3:$D$82=$A63,IF('Pipe Audit'!$Q$3:$Q$82=1,'Pipe Audit'!$AJ$3:$AJ$82)))</f>
        <v>0</v>
      </c>
      <c r="O63" s="292">
        <f t="shared" si="15"/>
        <v>0</v>
      </c>
      <c r="P63" s="293" t="e">
        <f t="shared" si="16"/>
        <v>#DIV/0!</v>
      </c>
      <c r="Q63" s="294" cm="1">
        <f t="array" ref="Q63">SUM(IF('Pipe Audit'!$D$3:$D$82=$A63,IF('Pipe Audit'!$AJ$3:$AJ$82=1,'Pipe Audit'!$K$3:$K$82)))</f>
        <v>0</v>
      </c>
      <c r="R63" s="294">
        <f t="array" ref="R63">SUM(IF('Pipe Audit'!$D$3:$D$82=$A63,IF('Pipe Audit'!$Q$3:$Q$82=1,'Pipe Audit'!$K$3:$K$82)))</f>
        <v>0</v>
      </c>
      <c r="S63" s="294" cm="1">
        <f t="array" ref="S63">SUM(IF('Pipe Audit'!$D$3:$D$82=$A63,IF('Pipe Audit'!$U$3:$U$82&gt;0.25,'Pipe Audit'!$AJ$3:$AJ$82)))</f>
        <v>0</v>
      </c>
      <c r="T63" s="294">
        <f t="array" ref="T63">SUM(IF('Pipe Audit'!$D$3:$D$82=$A63,IF('Pipe Audit'!$U$3:$U$82&gt;0.2,'Pipe Audit'!$K$3:$K$82)))</f>
        <v>0</v>
      </c>
      <c r="U63" s="295">
        <f t="shared" si="17"/>
        <v>0</v>
      </c>
      <c r="V63" s="296" t="e">
        <f t="shared" si="18"/>
        <v>#DIV/0!</v>
      </c>
    </row>
    <row r="64" spans="1:22" ht="22.5" x14ac:dyDescent="0.45">
      <c r="A64" s="306" t="s">
        <v>278</v>
      </c>
      <c r="B64" s="307">
        <v>207</v>
      </c>
      <c r="C64" s="308" t="s">
        <v>381</v>
      </c>
      <c r="D64" s="288"/>
      <c r="E64" s="289">
        <f>SUMIF('Pipe Audit'!$D$3:$D$82,A64,'Pipe Audit'!$K$3:$K$82)</f>
        <v>0</v>
      </c>
      <c r="F64" s="289">
        <f>SUMIF('Pipe Audit'!$D$3:$D$82,A64,'Pipe Audit'!$O$3:$O$82)</f>
        <v>0</v>
      </c>
      <c r="G64" s="289">
        <f t="shared" si="11"/>
        <v>0</v>
      </c>
      <c r="H64" s="290" t="e">
        <f t="shared" si="12"/>
        <v>#DIV/0!</v>
      </c>
      <c r="I64" s="289">
        <f>SUMIF('Pipe Audit'!$D$3:$D$82,A64,'Pipe Audit'!$BD$3:$BD$82)</f>
        <v>0</v>
      </c>
      <c r="J64" s="289">
        <f>SUMIF('Pipe Audit'!$D$3:$D$82,A64,'Pipe Audit'!$BE$3:$BE$82)</f>
        <v>0</v>
      </c>
      <c r="K64" s="289">
        <f t="shared" si="13"/>
        <v>0</v>
      </c>
      <c r="L64" s="291" t="e">
        <f t="shared" si="14"/>
        <v>#DIV/0!</v>
      </c>
      <c r="M64" s="289">
        <f>SUMIF('Pipe Audit'!$D$3:$D$82,A64,'Pipe Audit'!$AJ$3:$AJ$82)</f>
        <v>0</v>
      </c>
      <c r="N64" s="292" cm="1">
        <f t="array" ref="N64">SUM(IF('Pipe Audit'!$D$3:$D$82=$A64,IF('Pipe Audit'!$Q$3:$Q$82=1,'Pipe Audit'!$AJ$3:$AJ$82)))</f>
        <v>0</v>
      </c>
      <c r="O64" s="292">
        <f t="shared" si="15"/>
        <v>0</v>
      </c>
      <c r="P64" s="293" t="e">
        <f t="shared" si="16"/>
        <v>#DIV/0!</v>
      </c>
      <c r="Q64" s="294" cm="1">
        <f t="array" ref="Q64">SUM(IF('Pipe Audit'!$D$3:$D$82=$A64,IF('Pipe Audit'!$AJ$3:$AJ$82=1,'Pipe Audit'!$K$3:$K$82)))</f>
        <v>0</v>
      </c>
      <c r="R64" s="294">
        <f t="array" ref="R64">SUM(IF('Pipe Audit'!$D$3:$D$82=$A64,IF('Pipe Audit'!$Q$3:$Q$82=1,'Pipe Audit'!$K$3:$K$82)))</f>
        <v>0</v>
      </c>
      <c r="S64" s="294" cm="1">
        <f t="array" ref="S64">SUM(IF('Pipe Audit'!$D$3:$D$82=$A64,IF('Pipe Audit'!$U$3:$U$82&gt;0.25,'Pipe Audit'!$AJ$3:$AJ$82)))</f>
        <v>0</v>
      </c>
      <c r="T64" s="294">
        <f t="array" ref="T64">SUM(IF('Pipe Audit'!$D$3:$D$82=$A64,IF('Pipe Audit'!$U$3:$U$82&gt;0.2,'Pipe Audit'!$K$3:$K$82)))</f>
        <v>0</v>
      </c>
      <c r="U64" s="295">
        <f t="shared" si="17"/>
        <v>0</v>
      </c>
      <c r="V64" s="296" t="e">
        <f t="shared" si="18"/>
        <v>#DIV/0!</v>
      </c>
    </row>
    <row r="65" spans="1:22" ht="22.5" x14ac:dyDescent="0.45">
      <c r="A65" s="306" t="s">
        <v>284</v>
      </c>
      <c r="B65" s="307">
        <v>207</v>
      </c>
      <c r="C65" s="308" t="s">
        <v>382</v>
      </c>
      <c r="D65" s="288"/>
      <c r="E65" s="289">
        <f>SUMIF('Pipe Audit'!$D$3:$D$82,A65,'Pipe Audit'!$K$3:$K$82)</f>
        <v>0</v>
      </c>
      <c r="F65" s="289">
        <f>SUMIF('Pipe Audit'!$D$3:$D$82,A65,'Pipe Audit'!$O$3:$O$82)</f>
        <v>0</v>
      </c>
      <c r="G65" s="289">
        <f t="shared" si="11"/>
        <v>0</v>
      </c>
      <c r="H65" s="290" t="e">
        <f t="shared" si="12"/>
        <v>#DIV/0!</v>
      </c>
      <c r="I65" s="289">
        <f>SUMIF('Pipe Audit'!$D$3:$D$82,A65,'Pipe Audit'!$BD$3:$BD$82)</f>
        <v>0</v>
      </c>
      <c r="J65" s="289">
        <f>SUMIF('Pipe Audit'!$D$3:$D$82,A65,'Pipe Audit'!$BE$3:$BE$82)</f>
        <v>0</v>
      </c>
      <c r="K65" s="289">
        <f t="shared" si="13"/>
        <v>0</v>
      </c>
      <c r="L65" s="291" t="e">
        <f t="shared" si="14"/>
        <v>#DIV/0!</v>
      </c>
      <c r="M65" s="289">
        <f>SUMIF('Pipe Audit'!$D$3:$D$82,A65,'Pipe Audit'!$AJ$3:$AJ$82)</f>
        <v>0</v>
      </c>
      <c r="N65" s="292" cm="1">
        <f t="array" ref="N65">SUM(IF('Pipe Audit'!$D$3:$D$82=$A65,IF('Pipe Audit'!$Q$3:$Q$82=1,'Pipe Audit'!$AJ$3:$AJ$82)))</f>
        <v>0</v>
      </c>
      <c r="O65" s="292">
        <f t="shared" si="15"/>
        <v>0</v>
      </c>
      <c r="P65" s="293" t="e">
        <f t="shared" si="16"/>
        <v>#DIV/0!</v>
      </c>
      <c r="Q65" s="294" cm="1">
        <f t="array" ref="Q65">SUM(IF('Pipe Audit'!$D$3:$D$82=$A65,IF('Pipe Audit'!$AJ$3:$AJ$82=1,'Pipe Audit'!$K$3:$K$82)))</f>
        <v>0</v>
      </c>
      <c r="R65" s="294">
        <f t="array" ref="R65">SUM(IF('Pipe Audit'!$D$3:$D$82=$A65,IF('Pipe Audit'!$Q$3:$Q$82=1,'Pipe Audit'!$K$3:$K$82)))</f>
        <v>0</v>
      </c>
      <c r="S65" s="294" cm="1">
        <f t="array" ref="S65">SUM(IF('Pipe Audit'!$D$3:$D$82=$A65,IF('Pipe Audit'!$U$3:$U$82&gt;0.25,'Pipe Audit'!$AJ$3:$AJ$82)))</f>
        <v>0</v>
      </c>
      <c r="T65" s="294">
        <f t="array" ref="T65">SUM(IF('Pipe Audit'!$D$3:$D$82=$A65,IF('Pipe Audit'!$U$3:$U$82&gt;0.2,'Pipe Audit'!$K$3:$K$82)))</f>
        <v>0</v>
      </c>
      <c r="U65" s="295">
        <f t="shared" si="17"/>
        <v>0</v>
      </c>
      <c r="V65" s="296" t="e">
        <f t="shared" si="18"/>
        <v>#DIV/0!</v>
      </c>
    </row>
    <row r="66" spans="1:22" ht="22.5" x14ac:dyDescent="0.45">
      <c r="A66" s="306" t="s">
        <v>299</v>
      </c>
      <c r="B66" s="307">
        <v>207</v>
      </c>
      <c r="C66" s="308" t="s">
        <v>383</v>
      </c>
      <c r="D66" s="288"/>
      <c r="E66" s="289">
        <f>SUMIF('Pipe Audit'!$D$3:$D$82,A66,'Pipe Audit'!$K$3:$K$82)</f>
        <v>0</v>
      </c>
      <c r="F66" s="289">
        <f>SUMIF('Pipe Audit'!$D$3:$D$82,A66,'Pipe Audit'!$O$3:$O$82)</f>
        <v>0</v>
      </c>
      <c r="G66" s="289">
        <f t="shared" si="11"/>
        <v>0</v>
      </c>
      <c r="H66" s="290" t="e">
        <f t="shared" si="12"/>
        <v>#DIV/0!</v>
      </c>
      <c r="I66" s="289">
        <f>SUMIF('Pipe Audit'!$D$3:$D$82,A66,'Pipe Audit'!$BD$3:$BD$82)</f>
        <v>0</v>
      </c>
      <c r="J66" s="289">
        <f>SUMIF('Pipe Audit'!$D$3:$D$82,A66,'Pipe Audit'!$BE$3:$BE$82)</f>
        <v>0</v>
      </c>
      <c r="K66" s="289">
        <f t="shared" si="13"/>
        <v>0</v>
      </c>
      <c r="L66" s="291" t="e">
        <f t="shared" si="14"/>
        <v>#DIV/0!</v>
      </c>
      <c r="M66" s="289">
        <f>SUMIF('Pipe Audit'!$D$3:$D$82,A66,'Pipe Audit'!$AJ$3:$AJ$82)</f>
        <v>0</v>
      </c>
      <c r="N66" s="292" cm="1">
        <f t="array" ref="N66">SUM(IF('Pipe Audit'!$D$3:$D$82=$A66,IF('Pipe Audit'!$Q$3:$Q$82=1,'Pipe Audit'!$AJ$3:$AJ$82)))</f>
        <v>0</v>
      </c>
      <c r="O66" s="292">
        <f t="shared" si="15"/>
        <v>0</v>
      </c>
      <c r="P66" s="293" t="e">
        <f t="shared" si="16"/>
        <v>#DIV/0!</v>
      </c>
      <c r="Q66" s="294" cm="1">
        <f t="array" ref="Q66">SUM(IF('Pipe Audit'!$D$3:$D$82=$A66,IF('Pipe Audit'!$AJ$3:$AJ$82=1,'Pipe Audit'!$K$3:$K$82)))</f>
        <v>0</v>
      </c>
      <c r="R66" s="294">
        <f t="array" ref="R66">SUM(IF('Pipe Audit'!$D$3:$D$82=$A66,IF('Pipe Audit'!$Q$3:$Q$82=1,'Pipe Audit'!$K$3:$K$82)))</f>
        <v>0</v>
      </c>
      <c r="S66" s="294" cm="1">
        <f t="array" ref="S66">SUM(IF('Pipe Audit'!$D$3:$D$82=$A66,IF('Pipe Audit'!$U$3:$U$82&gt;0.25,'Pipe Audit'!$AJ$3:$AJ$82)))</f>
        <v>0</v>
      </c>
      <c r="T66" s="294">
        <f t="array" ref="T66">SUM(IF('Pipe Audit'!$D$3:$D$82=$A66,IF('Pipe Audit'!$U$3:$U$82&gt;0.2,'Pipe Audit'!$K$3:$K$82)))</f>
        <v>0</v>
      </c>
      <c r="U66" s="295">
        <f t="shared" si="17"/>
        <v>0</v>
      </c>
      <c r="V66" s="296" t="e">
        <f t="shared" si="18"/>
        <v>#DIV/0!</v>
      </c>
    </row>
    <row r="67" spans="1:22" ht="22.5" x14ac:dyDescent="0.45">
      <c r="A67" s="306" t="s">
        <v>300</v>
      </c>
      <c r="B67" s="307">
        <v>207</v>
      </c>
      <c r="C67" s="308" t="s">
        <v>384</v>
      </c>
      <c r="D67" s="288"/>
      <c r="E67" s="289">
        <f>SUMIF('Pipe Audit'!$D$3:$D$82,A67,'Pipe Audit'!$K$3:$K$82)</f>
        <v>0</v>
      </c>
      <c r="F67" s="289">
        <f>SUMIF('Pipe Audit'!$D$3:$D$82,A67,'Pipe Audit'!$O$3:$O$82)</f>
        <v>0</v>
      </c>
      <c r="G67" s="289">
        <f t="shared" ref="G67:G98" si="19">E67-F67</f>
        <v>0</v>
      </c>
      <c r="H67" s="290" t="e">
        <f t="shared" ref="H67:H98" si="20">F67/E67</f>
        <v>#DIV/0!</v>
      </c>
      <c r="I67" s="289">
        <f>SUMIF('Pipe Audit'!$D$3:$D$82,A67,'Pipe Audit'!$BD$3:$BD$82)</f>
        <v>0</v>
      </c>
      <c r="J67" s="289">
        <f>SUMIF('Pipe Audit'!$D$3:$D$82,A67,'Pipe Audit'!$BE$3:$BE$82)</f>
        <v>0</v>
      </c>
      <c r="K67" s="289">
        <f t="shared" ref="K67:K98" si="21">I67-J67</f>
        <v>0</v>
      </c>
      <c r="L67" s="291" t="e">
        <f t="shared" ref="L67:L98" si="22">J67/I67</f>
        <v>#DIV/0!</v>
      </c>
      <c r="M67" s="289">
        <f>SUMIF('Pipe Audit'!$D$3:$D$82,A67,'Pipe Audit'!$AJ$3:$AJ$82)</f>
        <v>0</v>
      </c>
      <c r="N67" s="292" cm="1">
        <f t="array" ref="N67">SUM(IF('Pipe Audit'!$D$3:$D$82=$A67,IF('Pipe Audit'!$Q$3:$Q$82=1,'Pipe Audit'!$AJ$3:$AJ$82)))</f>
        <v>0</v>
      </c>
      <c r="O67" s="292">
        <f t="shared" ref="O67:O98" si="23">M67-N67</f>
        <v>0</v>
      </c>
      <c r="P67" s="293" t="e">
        <f t="shared" ref="P67:P98" si="24">N67/M67</f>
        <v>#DIV/0!</v>
      </c>
      <c r="Q67" s="294" cm="1">
        <f t="array" ref="Q67">SUM(IF('Pipe Audit'!$D$3:$D$82=$A67,IF('Pipe Audit'!$AJ$3:$AJ$82=1,'Pipe Audit'!$K$3:$K$82)))</f>
        <v>0</v>
      </c>
      <c r="R67" s="294">
        <f t="array" ref="R67">SUM(IF('Pipe Audit'!$D$3:$D$82=$A67,IF('Pipe Audit'!$Q$3:$Q$82=1,'Pipe Audit'!$K$3:$K$82)))</f>
        <v>0</v>
      </c>
      <c r="S67" s="294" cm="1">
        <f t="array" ref="S67">SUM(IF('Pipe Audit'!$D$3:$D$82=$A67,IF('Pipe Audit'!$U$3:$U$82&gt;0.25,'Pipe Audit'!$AJ$3:$AJ$82)))</f>
        <v>0</v>
      </c>
      <c r="T67" s="294">
        <f t="array" ref="T67">SUM(IF('Pipe Audit'!$D$3:$D$82=$A67,IF('Pipe Audit'!$U$3:$U$82&gt;0.2,'Pipe Audit'!$K$3:$K$82)))</f>
        <v>0</v>
      </c>
      <c r="U67" s="295">
        <f t="shared" ref="U67:U98" si="25">SUM(M67-S67)</f>
        <v>0</v>
      </c>
      <c r="V67" s="296" t="e">
        <f t="shared" ref="V67:V98" si="26">SUM(S67/M67)</f>
        <v>#DIV/0!</v>
      </c>
    </row>
    <row r="68" spans="1:22" ht="22.5" x14ac:dyDescent="0.45">
      <c r="A68" s="306" t="s">
        <v>301</v>
      </c>
      <c r="B68" s="307">
        <v>207</v>
      </c>
      <c r="C68" s="308" t="s">
        <v>385</v>
      </c>
      <c r="D68" s="288"/>
      <c r="E68" s="289">
        <f>SUMIF('Pipe Audit'!$D$3:$D$82,A68,'Pipe Audit'!$K$3:$K$82)</f>
        <v>0</v>
      </c>
      <c r="F68" s="289">
        <f>SUMIF('Pipe Audit'!$D$3:$D$82,A68,'Pipe Audit'!$O$3:$O$82)</f>
        <v>0</v>
      </c>
      <c r="G68" s="289">
        <f t="shared" si="19"/>
        <v>0</v>
      </c>
      <c r="H68" s="290" t="e">
        <f t="shared" si="20"/>
        <v>#DIV/0!</v>
      </c>
      <c r="I68" s="289">
        <f>SUMIF('Pipe Audit'!$D$3:$D$82,A68,'Pipe Audit'!$BD$3:$BD$82)</f>
        <v>0</v>
      </c>
      <c r="J68" s="289">
        <f>SUMIF('Pipe Audit'!$D$3:$D$82,A68,'Pipe Audit'!$BE$3:$BE$82)</f>
        <v>0</v>
      </c>
      <c r="K68" s="289">
        <f t="shared" si="21"/>
        <v>0</v>
      </c>
      <c r="L68" s="291" t="e">
        <f t="shared" si="22"/>
        <v>#DIV/0!</v>
      </c>
      <c r="M68" s="289">
        <f>SUMIF('Pipe Audit'!$D$3:$D$82,A68,'Pipe Audit'!$AJ$3:$AJ$82)</f>
        <v>0</v>
      </c>
      <c r="N68" s="292" cm="1">
        <f t="array" ref="N68">SUM(IF('Pipe Audit'!$D$3:$D$82=$A68,IF('Pipe Audit'!$Q$3:$Q$82=1,'Pipe Audit'!$AJ$3:$AJ$82)))</f>
        <v>0</v>
      </c>
      <c r="O68" s="292">
        <f t="shared" si="23"/>
        <v>0</v>
      </c>
      <c r="P68" s="293" t="e">
        <f t="shared" si="24"/>
        <v>#DIV/0!</v>
      </c>
      <c r="Q68" s="294" cm="1">
        <f t="array" ref="Q68">SUM(IF('Pipe Audit'!$D$3:$D$82=$A68,IF('Pipe Audit'!$AJ$3:$AJ$82=1,'Pipe Audit'!$K$3:$K$82)))</f>
        <v>0</v>
      </c>
      <c r="R68" s="294">
        <f t="array" ref="R68">SUM(IF('Pipe Audit'!$D$3:$D$82=$A68,IF('Pipe Audit'!$Q$3:$Q$82=1,'Pipe Audit'!$K$3:$K$82)))</f>
        <v>0</v>
      </c>
      <c r="S68" s="294" cm="1">
        <f t="array" ref="S68">SUM(IF('Pipe Audit'!$D$3:$D$82=$A68,IF('Pipe Audit'!$U$3:$U$82&gt;0.25,'Pipe Audit'!$AJ$3:$AJ$82)))</f>
        <v>0</v>
      </c>
      <c r="T68" s="294">
        <f t="array" ref="T68">SUM(IF('Pipe Audit'!$D$3:$D$82=$A68,IF('Pipe Audit'!$U$3:$U$82&gt;0.2,'Pipe Audit'!$K$3:$K$82)))</f>
        <v>0</v>
      </c>
      <c r="U68" s="295">
        <f t="shared" si="25"/>
        <v>0</v>
      </c>
      <c r="V68" s="296" t="e">
        <f t="shared" si="26"/>
        <v>#DIV/0!</v>
      </c>
    </row>
    <row r="69" spans="1:22" ht="22.5" x14ac:dyDescent="0.45">
      <c r="A69" s="306" t="s">
        <v>302</v>
      </c>
      <c r="B69" s="307">
        <v>207</v>
      </c>
      <c r="C69" s="308" t="s">
        <v>386</v>
      </c>
      <c r="D69" s="288"/>
      <c r="E69" s="289">
        <f>SUMIF('Pipe Audit'!$D$3:$D$82,A69,'Pipe Audit'!$K$3:$K$82)</f>
        <v>0</v>
      </c>
      <c r="F69" s="289">
        <f>SUMIF('Pipe Audit'!$D$3:$D$82,A69,'Pipe Audit'!$O$3:$O$82)</f>
        <v>0</v>
      </c>
      <c r="G69" s="289">
        <f t="shared" si="19"/>
        <v>0</v>
      </c>
      <c r="H69" s="290" t="e">
        <f t="shared" si="20"/>
        <v>#DIV/0!</v>
      </c>
      <c r="I69" s="289">
        <f>SUMIF('Pipe Audit'!$D$3:$D$82,A69,'Pipe Audit'!$BD$3:$BD$82)</f>
        <v>0</v>
      </c>
      <c r="J69" s="289">
        <f>SUMIF('Pipe Audit'!$D$3:$D$82,A69,'Pipe Audit'!$BE$3:$BE$82)</f>
        <v>0</v>
      </c>
      <c r="K69" s="289">
        <f t="shared" si="21"/>
        <v>0</v>
      </c>
      <c r="L69" s="291" t="e">
        <f t="shared" si="22"/>
        <v>#DIV/0!</v>
      </c>
      <c r="M69" s="289">
        <f>SUMIF('Pipe Audit'!$D$3:$D$82,A69,'Pipe Audit'!$AJ$3:$AJ$82)</f>
        <v>0</v>
      </c>
      <c r="N69" s="292" cm="1">
        <f t="array" ref="N69">SUM(IF('Pipe Audit'!$D$3:$D$82=$A69,IF('Pipe Audit'!$Q$3:$Q$82=1,'Pipe Audit'!$AJ$3:$AJ$82)))</f>
        <v>0</v>
      </c>
      <c r="O69" s="292">
        <f t="shared" si="23"/>
        <v>0</v>
      </c>
      <c r="P69" s="293" t="e">
        <f t="shared" si="24"/>
        <v>#DIV/0!</v>
      </c>
      <c r="Q69" s="294" cm="1">
        <f t="array" ref="Q69">SUM(IF('Pipe Audit'!$D$3:$D$82=$A69,IF('Pipe Audit'!$AJ$3:$AJ$82=1,'Pipe Audit'!$K$3:$K$82)))</f>
        <v>0</v>
      </c>
      <c r="R69" s="294">
        <f t="array" ref="R69">SUM(IF('Pipe Audit'!$D$3:$D$82=$A69,IF('Pipe Audit'!$Q$3:$Q$82=1,'Pipe Audit'!$K$3:$K$82)))</f>
        <v>0</v>
      </c>
      <c r="S69" s="294" cm="1">
        <f t="array" ref="S69">SUM(IF('Pipe Audit'!$D$3:$D$82=$A69,IF('Pipe Audit'!$U$3:$U$82&gt;0.25,'Pipe Audit'!$AJ$3:$AJ$82)))</f>
        <v>0</v>
      </c>
      <c r="T69" s="294">
        <f t="array" ref="T69">SUM(IF('Pipe Audit'!$D$3:$D$82=$A69,IF('Pipe Audit'!$U$3:$U$82&gt;0.2,'Pipe Audit'!$K$3:$K$82)))</f>
        <v>0</v>
      </c>
      <c r="U69" s="295">
        <f t="shared" si="25"/>
        <v>0</v>
      </c>
      <c r="V69" s="296" t="e">
        <f t="shared" si="26"/>
        <v>#DIV/0!</v>
      </c>
    </row>
    <row r="70" spans="1:22" ht="22.5" x14ac:dyDescent="0.45">
      <c r="A70" s="306" t="s">
        <v>283</v>
      </c>
      <c r="B70" s="307">
        <v>208</v>
      </c>
      <c r="C70" s="308" t="s">
        <v>387</v>
      </c>
      <c r="D70" s="288"/>
      <c r="E70" s="289">
        <f>SUMIF('Pipe Audit'!$D$3:$D$82,A70,'Pipe Audit'!$K$3:$K$82)</f>
        <v>0</v>
      </c>
      <c r="F70" s="289">
        <f>SUMIF('Pipe Audit'!$D$3:$D$82,A70,'Pipe Audit'!$O$3:$O$82)</f>
        <v>0</v>
      </c>
      <c r="G70" s="289">
        <f t="shared" si="19"/>
        <v>0</v>
      </c>
      <c r="H70" s="290" t="e">
        <f t="shared" si="20"/>
        <v>#DIV/0!</v>
      </c>
      <c r="I70" s="289">
        <f>SUMIF('Pipe Audit'!$D$3:$D$82,A70,'Pipe Audit'!$BD$3:$BD$82)</f>
        <v>0</v>
      </c>
      <c r="J70" s="289">
        <f>SUMIF('Pipe Audit'!$D$3:$D$82,A70,'Pipe Audit'!$BE$3:$BE$82)</f>
        <v>0</v>
      </c>
      <c r="K70" s="289">
        <f t="shared" si="21"/>
        <v>0</v>
      </c>
      <c r="L70" s="291" t="e">
        <f t="shared" si="22"/>
        <v>#DIV/0!</v>
      </c>
      <c r="M70" s="289">
        <f>SUMIF('Pipe Audit'!$D$3:$D$82,A70,'Pipe Audit'!$AJ$3:$AJ$82)</f>
        <v>0</v>
      </c>
      <c r="N70" s="292" cm="1">
        <f t="array" ref="N70">SUM(IF('Pipe Audit'!$D$3:$D$82=$A70,IF('Pipe Audit'!$Q$3:$Q$82=1,'Pipe Audit'!$AJ$3:$AJ$82)))</f>
        <v>0</v>
      </c>
      <c r="O70" s="292">
        <f t="shared" si="23"/>
        <v>0</v>
      </c>
      <c r="P70" s="293" t="e">
        <f t="shared" si="24"/>
        <v>#DIV/0!</v>
      </c>
      <c r="Q70" s="294" cm="1">
        <f t="array" ref="Q70">SUM(IF('Pipe Audit'!$D$3:$D$82=$A70,IF('Pipe Audit'!$AJ$3:$AJ$82=1,'Pipe Audit'!$K$3:$K$82)))</f>
        <v>0</v>
      </c>
      <c r="R70" s="294">
        <f t="array" ref="R70">SUM(IF('Pipe Audit'!$D$3:$D$82=$A70,IF('Pipe Audit'!$Q$3:$Q$82=1,'Pipe Audit'!$K$3:$K$82)))</f>
        <v>0</v>
      </c>
      <c r="S70" s="294" cm="1">
        <f t="array" ref="S70">SUM(IF('Pipe Audit'!$D$3:$D$82=$A70,IF('Pipe Audit'!$U$3:$U$82&gt;0.25,'Pipe Audit'!$AJ$3:$AJ$82)))</f>
        <v>0</v>
      </c>
      <c r="T70" s="294">
        <f t="array" ref="T70">SUM(IF('Pipe Audit'!$D$3:$D$82=$A70,IF('Pipe Audit'!$U$3:$U$82&gt;0.2,'Pipe Audit'!$K$3:$K$82)))</f>
        <v>0</v>
      </c>
      <c r="U70" s="295">
        <f t="shared" si="25"/>
        <v>0</v>
      </c>
      <c r="V70" s="296" t="e">
        <f t="shared" si="26"/>
        <v>#DIV/0!</v>
      </c>
    </row>
    <row r="71" spans="1:22" ht="22.5" x14ac:dyDescent="0.45">
      <c r="A71" s="306" t="s">
        <v>303</v>
      </c>
      <c r="B71" s="307">
        <v>208</v>
      </c>
      <c r="C71" s="308" t="s">
        <v>388</v>
      </c>
      <c r="D71" s="288"/>
      <c r="E71" s="289">
        <f>SUMIF('Pipe Audit'!$D$3:$D$82,A71,'Pipe Audit'!$K$3:$K$82)</f>
        <v>0</v>
      </c>
      <c r="F71" s="289">
        <f>SUMIF('Pipe Audit'!$D$3:$D$82,A71,'Pipe Audit'!$O$3:$O$82)</f>
        <v>0</v>
      </c>
      <c r="G71" s="289">
        <f t="shared" si="19"/>
        <v>0</v>
      </c>
      <c r="H71" s="290" t="e">
        <f t="shared" si="20"/>
        <v>#DIV/0!</v>
      </c>
      <c r="I71" s="289">
        <f>SUMIF('Pipe Audit'!$D$3:$D$82,A71,'Pipe Audit'!$BD$3:$BD$82)</f>
        <v>0</v>
      </c>
      <c r="J71" s="289">
        <f>SUMIF('Pipe Audit'!$D$3:$D$82,A71,'Pipe Audit'!$BE$3:$BE$82)</f>
        <v>0</v>
      </c>
      <c r="K71" s="289">
        <f t="shared" si="21"/>
        <v>0</v>
      </c>
      <c r="L71" s="291" t="e">
        <f t="shared" si="22"/>
        <v>#DIV/0!</v>
      </c>
      <c r="M71" s="289">
        <f>SUMIF('Pipe Audit'!$D$3:$D$82,A71,'Pipe Audit'!$AJ$3:$AJ$82)</f>
        <v>0</v>
      </c>
      <c r="N71" s="292" cm="1">
        <f t="array" ref="N71">SUM(IF('Pipe Audit'!$D$3:$D$82=$A71,IF('Pipe Audit'!$Q$3:$Q$82=1,'Pipe Audit'!$AJ$3:$AJ$82)))</f>
        <v>0</v>
      </c>
      <c r="O71" s="292">
        <f t="shared" si="23"/>
        <v>0</v>
      </c>
      <c r="P71" s="293" t="e">
        <f t="shared" si="24"/>
        <v>#DIV/0!</v>
      </c>
      <c r="Q71" s="294" cm="1">
        <f t="array" ref="Q71">SUM(IF('Pipe Audit'!$D$3:$D$82=$A71,IF('Pipe Audit'!$AJ$3:$AJ$82=1,'Pipe Audit'!$K$3:$K$82)))</f>
        <v>0</v>
      </c>
      <c r="R71" s="294">
        <f t="array" ref="R71">SUM(IF('Pipe Audit'!$D$3:$D$82=$A71,IF('Pipe Audit'!$Q$3:$Q$82=1,'Pipe Audit'!$K$3:$K$82)))</f>
        <v>0</v>
      </c>
      <c r="S71" s="294" cm="1">
        <f t="array" ref="S71">SUM(IF('Pipe Audit'!$D$3:$D$82=$A71,IF('Pipe Audit'!$U$3:$U$82&gt;0.25,'Pipe Audit'!$AJ$3:$AJ$82)))</f>
        <v>0</v>
      </c>
      <c r="T71" s="294">
        <f t="array" ref="T71">SUM(IF('Pipe Audit'!$D$3:$D$82=$A71,IF('Pipe Audit'!$U$3:$U$82&gt;0.2,'Pipe Audit'!$K$3:$K$82)))</f>
        <v>0</v>
      </c>
      <c r="U71" s="295">
        <f t="shared" si="25"/>
        <v>0</v>
      </c>
      <c r="V71" s="296" t="e">
        <f t="shared" si="26"/>
        <v>#DIV/0!</v>
      </c>
    </row>
    <row r="72" spans="1:22" ht="22.5" x14ac:dyDescent="0.45">
      <c r="A72" s="306" t="s">
        <v>304</v>
      </c>
      <c r="B72" s="307">
        <v>208</v>
      </c>
      <c r="C72" s="308" t="s">
        <v>389</v>
      </c>
      <c r="D72" s="288"/>
      <c r="E72" s="289">
        <f>SUMIF('Pipe Audit'!$D$3:$D$82,A72,'Pipe Audit'!$K$3:$K$82)</f>
        <v>0</v>
      </c>
      <c r="F72" s="289">
        <f>SUMIF('Pipe Audit'!$D$3:$D$82,A72,'Pipe Audit'!$O$3:$O$82)</f>
        <v>0</v>
      </c>
      <c r="G72" s="289">
        <f t="shared" si="19"/>
        <v>0</v>
      </c>
      <c r="H72" s="290" t="e">
        <f t="shared" si="20"/>
        <v>#DIV/0!</v>
      </c>
      <c r="I72" s="289">
        <f>SUMIF('Pipe Audit'!$D$3:$D$82,A72,'Pipe Audit'!$BD$3:$BD$82)</f>
        <v>0</v>
      </c>
      <c r="J72" s="289">
        <f>SUMIF('Pipe Audit'!$D$3:$D$82,A72,'Pipe Audit'!$BE$3:$BE$82)</f>
        <v>0</v>
      </c>
      <c r="K72" s="289">
        <f t="shared" si="21"/>
        <v>0</v>
      </c>
      <c r="L72" s="291" t="e">
        <f t="shared" si="22"/>
        <v>#DIV/0!</v>
      </c>
      <c r="M72" s="289">
        <f>SUMIF('Pipe Audit'!$D$3:$D$82,A72,'Pipe Audit'!$AJ$3:$AJ$82)</f>
        <v>0</v>
      </c>
      <c r="N72" s="292" cm="1">
        <f t="array" ref="N72">SUM(IF('Pipe Audit'!$D$3:$D$82=$A72,IF('Pipe Audit'!$Q$3:$Q$82=1,'Pipe Audit'!$AJ$3:$AJ$82)))</f>
        <v>0</v>
      </c>
      <c r="O72" s="292">
        <f t="shared" si="23"/>
        <v>0</v>
      </c>
      <c r="P72" s="293" t="e">
        <f t="shared" si="24"/>
        <v>#DIV/0!</v>
      </c>
      <c r="Q72" s="294" cm="1">
        <f t="array" ref="Q72">SUM(IF('Pipe Audit'!$D$3:$D$82=$A72,IF('Pipe Audit'!$AJ$3:$AJ$82=1,'Pipe Audit'!$K$3:$K$82)))</f>
        <v>0</v>
      </c>
      <c r="R72" s="294">
        <f t="array" ref="R72">SUM(IF('Pipe Audit'!$D$3:$D$82=$A72,IF('Pipe Audit'!$Q$3:$Q$82=1,'Pipe Audit'!$K$3:$K$82)))</f>
        <v>0</v>
      </c>
      <c r="S72" s="294" cm="1">
        <f t="array" ref="S72">SUM(IF('Pipe Audit'!$D$3:$D$82=$A72,IF('Pipe Audit'!$U$3:$U$82&gt;0.25,'Pipe Audit'!$AJ$3:$AJ$82)))</f>
        <v>0</v>
      </c>
      <c r="T72" s="294">
        <f t="array" ref="T72">SUM(IF('Pipe Audit'!$D$3:$D$82=$A72,IF('Pipe Audit'!$U$3:$U$82&gt;0.2,'Pipe Audit'!$K$3:$K$82)))</f>
        <v>0</v>
      </c>
      <c r="U72" s="295">
        <f t="shared" si="25"/>
        <v>0</v>
      </c>
      <c r="V72" s="296" t="e">
        <f t="shared" si="26"/>
        <v>#DIV/0!</v>
      </c>
    </row>
    <row r="73" spans="1:22" ht="22.5" x14ac:dyDescent="0.45">
      <c r="A73" s="306" t="s">
        <v>305</v>
      </c>
      <c r="B73" s="307">
        <v>208</v>
      </c>
      <c r="C73" s="308" t="s">
        <v>390</v>
      </c>
      <c r="D73" s="288"/>
      <c r="E73" s="289">
        <f>SUMIF('Pipe Audit'!$D$3:$D$82,A73,'Pipe Audit'!$K$3:$K$82)</f>
        <v>0</v>
      </c>
      <c r="F73" s="289">
        <f>SUMIF('Pipe Audit'!$D$3:$D$82,A73,'Pipe Audit'!$O$3:$O$82)</f>
        <v>0</v>
      </c>
      <c r="G73" s="289">
        <f t="shared" si="19"/>
        <v>0</v>
      </c>
      <c r="H73" s="290" t="e">
        <f t="shared" si="20"/>
        <v>#DIV/0!</v>
      </c>
      <c r="I73" s="289">
        <f>SUMIF('Pipe Audit'!$D$3:$D$82,A73,'Pipe Audit'!$BD$3:$BD$82)</f>
        <v>0</v>
      </c>
      <c r="J73" s="289">
        <f>SUMIF('Pipe Audit'!$D$3:$D$82,A73,'Pipe Audit'!$BE$3:$BE$82)</f>
        <v>0</v>
      </c>
      <c r="K73" s="289">
        <f t="shared" si="21"/>
        <v>0</v>
      </c>
      <c r="L73" s="291" t="e">
        <f t="shared" si="22"/>
        <v>#DIV/0!</v>
      </c>
      <c r="M73" s="289">
        <f>SUMIF('Pipe Audit'!$D$3:$D$82,A73,'Pipe Audit'!$AJ$3:$AJ$82)</f>
        <v>0</v>
      </c>
      <c r="N73" s="292" cm="1">
        <f t="array" ref="N73">SUM(IF('Pipe Audit'!$D$3:$D$82=$A73,IF('Pipe Audit'!$Q$3:$Q$82=1,'Pipe Audit'!$AJ$3:$AJ$82)))</f>
        <v>0</v>
      </c>
      <c r="O73" s="292">
        <f t="shared" si="23"/>
        <v>0</v>
      </c>
      <c r="P73" s="293" t="e">
        <f t="shared" si="24"/>
        <v>#DIV/0!</v>
      </c>
      <c r="Q73" s="294" cm="1">
        <f t="array" ref="Q73">SUM(IF('Pipe Audit'!$D$3:$D$82=$A73,IF('Pipe Audit'!$AJ$3:$AJ$82=1,'Pipe Audit'!$K$3:$K$82)))</f>
        <v>0</v>
      </c>
      <c r="R73" s="294">
        <f t="array" ref="R73">SUM(IF('Pipe Audit'!$D$3:$D$82=$A73,IF('Pipe Audit'!$Q$3:$Q$82=1,'Pipe Audit'!$K$3:$K$82)))</f>
        <v>0</v>
      </c>
      <c r="S73" s="294" cm="1">
        <f t="array" ref="S73">SUM(IF('Pipe Audit'!$D$3:$D$82=$A73,IF('Pipe Audit'!$U$3:$U$82&gt;0.25,'Pipe Audit'!$AJ$3:$AJ$82)))</f>
        <v>0</v>
      </c>
      <c r="T73" s="294">
        <f t="array" ref="T73">SUM(IF('Pipe Audit'!$D$3:$D$82=$A73,IF('Pipe Audit'!$U$3:$U$82&gt;0.2,'Pipe Audit'!$K$3:$K$82)))</f>
        <v>0</v>
      </c>
      <c r="U73" s="295">
        <f t="shared" si="25"/>
        <v>0</v>
      </c>
      <c r="V73" s="296" t="e">
        <f t="shared" si="26"/>
        <v>#DIV/0!</v>
      </c>
    </row>
    <row r="74" spans="1:22" ht="22.5" x14ac:dyDescent="0.45">
      <c r="A74" s="306" t="s">
        <v>306</v>
      </c>
      <c r="B74" s="307">
        <v>208</v>
      </c>
      <c r="C74" s="308" t="s">
        <v>391</v>
      </c>
      <c r="D74" s="288"/>
      <c r="E74" s="289">
        <f>SUMIF('Pipe Audit'!$D$3:$D$82,A74,'Pipe Audit'!$K$3:$K$82)</f>
        <v>0</v>
      </c>
      <c r="F74" s="289">
        <f>SUMIF('Pipe Audit'!$D$3:$D$82,A74,'Pipe Audit'!$O$3:$O$82)</f>
        <v>0</v>
      </c>
      <c r="G74" s="289">
        <f t="shared" si="19"/>
        <v>0</v>
      </c>
      <c r="H74" s="290" t="e">
        <f t="shared" si="20"/>
        <v>#DIV/0!</v>
      </c>
      <c r="I74" s="289">
        <f>SUMIF('Pipe Audit'!$D$3:$D$82,A74,'Pipe Audit'!$BD$3:$BD$82)</f>
        <v>0</v>
      </c>
      <c r="J74" s="289">
        <f>SUMIF('Pipe Audit'!$D$3:$D$82,A74,'Pipe Audit'!$BE$3:$BE$82)</f>
        <v>0</v>
      </c>
      <c r="K74" s="289">
        <f t="shared" si="21"/>
        <v>0</v>
      </c>
      <c r="L74" s="291" t="e">
        <f t="shared" si="22"/>
        <v>#DIV/0!</v>
      </c>
      <c r="M74" s="289">
        <f>SUMIF('Pipe Audit'!$D$3:$D$82,A74,'Pipe Audit'!$AJ$3:$AJ$82)</f>
        <v>0</v>
      </c>
      <c r="N74" s="292" cm="1">
        <f t="array" ref="N74">SUM(IF('Pipe Audit'!$D$3:$D$82=$A74,IF('Pipe Audit'!$Q$3:$Q$82=1,'Pipe Audit'!$AJ$3:$AJ$82)))</f>
        <v>0</v>
      </c>
      <c r="O74" s="292">
        <f t="shared" si="23"/>
        <v>0</v>
      </c>
      <c r="P74" s="293" t="e">
        <f t="shared" si="24"/>
        <v>#DIV/0!</v>
      </c>
      <c r="Q74" s="294" cm="1">
        <f t="array" ref="Q74">SUM(IF('Pipe Audit'!$D$3:$D$82=$A74,IF('Pipe Audit'!$AJ$3:$AJ$82=1,'Pipe Audit'!$K$3:$K$82)))</f>
        <v>0</v>
      </c>
      <c r="R74" s="294">
        <f t="array" ref="R74">SUM(IF('Pipe Audit'!$D$3:$D$82=$A74,IF('Pipe Audit'!$Q$3:$Q$82=1,'Pipe Audit'!$K$3:$K$82)))</f>
        <v>0</v>
      </c>
      <c r="S74" s="294" cm="1">
        <f t="array" ref="S74">SUM(IF('Pipe Audit'!$D$3:$D$82=$A74,IF('Pipe Audit'!$U$3:$U$82&gt;0.25,'Pipe Audit'!$AJ$3:$AJ$82)))</f>
        <v>0</v>
      </c>
      <c r="T74" s="294">
        <f t="array" ref="T74">SUM(IF('Pipe Audit'!$D$3:$D$82=$A74,IF('Pipe Audit'!$U$3:$U$82&gt;0.2,'Pipe Audit'!$K$3:$K$82)))</f>
        <v>0</v>
      </c>
      <c r="U74" s="295">
        <f t="shared" si="25"/>
        <v>0</v>
      </c>
      <c r="V74" s="296" t="e">
        <f t="shared" si="26"/>
        <v>#DIV/0!</v>
      </c>
    </row>
    <row r="75" spans="1:22" ht="22.5" x14ac:dyDescent="0.45">
      <c r="A75" s="306" t="s">
        <v>307</v>
      </c>
      <c r="B75" s="307">
        <v>208</v>
      </c>
      <c r="C75" s="308" t="s">
        <v>392</v>
      </c>
      <c r="D75" s="288"/>
      <c r="E75" s="289">
        <f>SUMIF('Pipe Audit'!$D$3:$D$82,A75,'Pipe Audit'!$K$3:$K$82)</f>
        <v>0</v>
      </c>
      <c r="F75" s="289">
        <f>SUMIF('Pipe Audit'!$D$3:$D$82,A75,'Pipe Audit'!$O$3:$O$82)</f>
        <v>0</v>
      </c>
      <c r="G75" s="289">
        <f t="shared" si="19"/>
        <v>0</v>
      </c>
      <c r="H75" s="290" t="e">
        <f t="shared" si="20"/>
        <v>#DIV/0!</v>
      </c>
      <c r="I75" s="289">
        <f>SUMIF('Pipe Audit'!$D$3:$D$82,A75,'Pipe Audit'!$BD$3:$BD$82)</f>
        <v>0</v>
      </c>
      <c r="J75" s="289">
        <f>SUMIF('Pipe Audit'!$D$3:$D$82,A75,'Pipe Audit'!$BE$3:$BE$82)</f>
        <v>0</v>
      </c>
      <c r="K75" s="289">
        <f t="shared" si="21"/>
        <v>0</v>
      </c>
      <c r="L75" s="291" t="e">
        <f t="shared" si="22"/>
        <v>#DIV/0!</v>
      </c>
      <c r="M75" s="289">
        <f>SUMIF('Pipe Audit'!$D$3:$D$82,A75,'Pipe Audit'!$AJ$3:$AJ$82)</f>
        <v>0</v>
      </c>
      <c r="N75" s="292" cm="1">
        <f t="array" ref="N75">SUM(IF('Pipe Audit'!$D$3:$D$82=$A75,IF('Pipe Audit'!$Q$3:$Q$82=1,'Pipe Audit'!$AJ$3:$AJ$82)))</f>
        <v>0</v>
      </c>
      <c r="O75" s="292">
        <f t="shared" si="23"/>
        <v>0</v>
      </c>
      <c r="P75" s="293" t="e">
        <f t="shared" si="24"/>
        <v>#DIV/0!</v>
      </c>
      <c r="Q75" s="294" cm="1">
        <f t="array" ref="Q75">SUM(IF('Pipe Audit'!$D$3:$D$82=$A75,IF('Pipe Audit'!$AJ$3:$AJ$82=1,'Pipe Audit'!$K$3:$K$82)))</f>
        <v>0</v>
      </c>
      <c r="R75" s="294">
        <f t="array" ref="R75">SUM(IF('Pipe Audit'!$D$3:$D$82=$A75,IF('Pipe Audit'!$Q$3:$Q$82=1,'Pipe Audit'!$K$3:$K$82)))</f>
        <v>0</v>
      </c>
      <c r="S75" s="294" cm="1">
        <f t="array" ref="S75">SUM(IF('Pipe Audit'!$D$3:$D$82=$A75,IF('Pipe Audit'!$U$3:$U$82&gt;0.25,'Pipe Audit'!$AJ$3:$AJ$82)))</f>
        <v>0</v>
      </c>
      <c r="T75" s="294">
        <f t="array" ref="T75">SUM(IF('Pipe Audit'!$D$3:$D$82=$A75,IF('Pipe Audit'!$U$3:$U$82&gt;0.2,'Pipe Audit'!$K$3:$K$82)))</f>
        <v>0</v>
      </c>
      <c r="U75" s="295">
        <f t="shared" si="25"/>
        <v>0</v>
      </c>
      <c r="V75" s="296" t="e">
        <f t="shared" si="26"/>
        <v>#DIV/0!</v>
      </c>
    </row>
    <row r="76" spans="1:22" ht="22.5" x14ac:dyDescent="0.45">
      <c r="A76" s="306" t="s">
        <v>308</v>
      </c>
      <c r="B76" s="307">
        <v>208</v>
      </c>
      <c r="C76" s="308" t="s">
        <v>393</v>
      </c>
      <c r="D76" s="288"/>
      <c r="E76" s="289">
        <f>SUMIF('Pipe Audit'!$D$3:$D$82,A76,'Pipe Audit'!$K$3:$K$82)</f>
        <v>0</v>
      </c>
      <c r="F76" s="289">
        <f>SUMIF('Pipe Audit'!$D$3:$D$82,A76,'Pipe Audit'!$O$3:$O$82)</f>
        <v>0</v>
      </c>
      <c r="G76" s="289">
        <f t="shared" si="19"/>
        <v>0</v>
      </c>
      <c r="H76" s="290" t="e">
        <f t="shared" si="20"/>
        <v>#DIV/0!</v>
      </c>
      <c r="I76" s="289">
        <f>SUMIF('Pipe Audit'!$D$3:$D$82,A76,'Pipe Audit'!$BD$3:$BD$82)</f>
        <v>0</v>
      </c>
      <c r="J76" s="289">
        <f>SUMIF('Pipe Audit'!$D$3:$D$82,A76,'Pipe Audit'!$BE$3:$BE$82)</f>
        <v>0</v>
      </c>
      <c r="K76" s="289">
        <f t="shared" si="21"/>
        <v>0</v>
      </c>
      <c r="L76" s="291" t="e">
        <f t="shared" si="22"/>
        <v>#DIV/0!</v>
      </c>
      <c r="M76" s="289">
        <f>SUMIF('Pipe Audit'!$D$3:$D$82,A76,'Pipe Audit'!$AJ$3:$AJ$82)</f>
        <v>0</v>
      </c>
      <c r="N76" s="292" cm="1">
        <f t="array" ref="N76">SUM(IF('Pipe Audit'!$D$3:$D$82=$A76,IF('Pipe Audit'!$Q$3:$Q$82=1,'Pipe Audit'!$AJ$3:$AJ$82)))</f>
        <v>0</v>
      </c>
      <c r="O76" s="292">
        <f t="shared" si="23"/>
        <v>0</v>
      </c>
      <c r="P76" s="293" t="e">
        <f t="shared" si="24"/>
        <v>#DIV/0!</v>
      </c>
      <c r="Q76" s="294" cm="1">
        <f t="array" ref="Q76">SUM(IF('Pipe Audit'!$D$3:$D$82=$A76,IF('Pipe Audit'!$AJ$3:$AJ$82=1,'Pipe Audit'!$K$3:$K$82)))</f>
        <v>0</v>
      </c>
      <c r="R76" s="294">
        <f t="array" ref="R76">SUM(IF('Pipe Audit'!$D$3:$D$82=$A76,IF('Pipe Audit'!$Q$3:$Q$82=1,'Pipe Audit'!$K$3:$K$82)))</f>
        <v>0</v>
      </c>
      <c r="S76" s="294" cm="1">
        <f t="array" ref="S76">SUM(IF('Pipe Audit'!$D$3:$D$82=$A76,IF('Pipe Audit'!$U$3:$U$82&gt;0.25,'Pipe Audit'!$AJ$3:$AJ$82)))</f>
        <v>0</v>
      </c>
      <c r="T76" s="294">
        <f t="array" ref="T76">SUM(IF('Pipe Audit'!$D$3:$D$82=$A76,IF('Pipe Audit'!$U$3:$U$82&gt;0.2,'Pipe Audit'!$K$3:$K$82)))</f>
        <v>0</v>
      </c>
      <c r="U76" s="295">
        <f t="shared" si="25"/>
        <v>0</v>
      </c>
      <c r="V76" s="296" t="e">
        <f t="shared" si="26"/>
        <v>#DIV/0!</v>
      </c>
    </row>
    <row r="77" spans="1:22" ht="22.5" x14ac:dyDescent="0.45">
      <c r="A77" s="306" t="s">
        <v>309</v>
      </c>
      <c r="B77" s="307">
        <v>208</v>
      </c>
      <c r="C77" s="308" t="s">
        <v>394</v>
      </c>
      <c r="D77" s="288"/>
      <c r="E77" s="289">
        <f>SUMIF('Pipe Audit'!$D$3:$D$82,A77,'Pipe Audit'!$K$3:$K$82)</f>
        <v>0</v>
      </c>
      <c r="F77" s="289">
        <f>SUMIF('Pipe Audit'!$D$3:$D$82,A77,'Pipe Audit'!$O$3:$O$82)</f>
        <v>0</v>
      </c>
      <c r="G77" s="289">
        <f t="shared" si="19"/>
        <v>0</v>
      </c>
      <c r="H77" s="290" t="e">
        <f t="shared" si="20"/>
        <v>#DIV/0!</v>
      </c>
      <c r="I77" s="289">
        <f>SUMIF('Pipe Audit'!$D$3:$D$82,A77,'Pipe Audit'!$BD$3:$BD$82)</f>
        <v>0</v>
      </c>
      <c r="J77" s="289">
        <f>SUMIF('Pipe Audit'!$D$3:$D$82,A77,'Pipe Audit'!$BE$3:$BE$82)</f>
        <v>0</v>
      </c>
      <c r="K77" s="289">
        <f t="shared" si="21"/>
        <v>0</v>
      </c>
      <c r="L77" s="291" t="e">
        <f t="shared" si="22"/>
        <v>#DIV/0!</v>
      </c>
      <c r="M77" s="289">
        <f>SUMIF('Pipe Audit'!$D$3:$D$82,A77,'Pipe Audit'!$AJ$3:$AJ$82)</f>
        <v>0</v>
      </c>
      <c r="N77" s="292" cm="1">
        <f t="array" ref="N77">SUM(IF('Pipe Audit'!$D$3:$D$82=$A77,IF('Pipe Audit'!$Q$3:$Q$82=1,'Pipe Audit'!$AJ$3:$AJ$82)))</f>
        <v>0</v>
      </c>
      <c r="O77" s="292">
        <f t="shared" si="23"/>
        <v>0</v>
      </c>
      <c r="P77" s="293" t="e">
        <f t="shared" si="24"/>
        <v>#DIV/0!</v>
      </c>
      <c r="Q77" s="294" cm="1">
        <f t="array" ref="Q77">SUM(IF('Pipe Audit'!$D$3:$D$82=$A77,IF('Pipe Audit'!$AJ$3:$AJ$82=1,'Pipe Audit'!$K$3:$K$82)))</f>
        <v>0</v>
      </c>
      <c r="R77" s="294">
        <f t="array" ref="R77">SUM(IF('Pipe Audit'!$D$3:$D$82=$A77,IF('Pipe Audit'!$Q$3:$Q$82=1,'Pipe Audit'!$K$3:$K$82)))</f>
        <v>0</v>
      </c>
      <c r="S77" s="294" cm="1">
        <f t="array" ref="S77">SUM(IF('Pipe Audit'!$D$3:$D$82=$A77,IF('Pipe Audit'!$U$3:$U$82&gt;0.25,'Pipe Audit'!$AJ$3:$AJ$82)))</f>
        <v>0</v>
      </c>
      <c r="T77" s="294">
        <f t="array" ref="T77">SUM(IF('Pipe Audit'!$D$3:$D$82=$A77,IF('Pipe Audit'!$U$3:$U$82&gt;0.2,'Pipe Audit'!$K$3:$K$82)))</f>
        <v>0</v>
      </c>
      <c r="U77" s="295">
        <f t="shared" si="25"/>
        <v>0</v>
      </c>
      <c r="V77" s="296" t="e">
        <f t="shared" si="26"/>
        <v>#DIV/0!</v>
      </c>
    </row>
    <row r="78" spans="1:22" ht="22.5" x14ac:dyDescent="0.45">
      <c r="A78" s="306" t="s">
        <v>310</v>
      </c>
      <c r="B78" s="307">
        <v>208</v>
      </c>
      <c r="C78" s="308" t="s">
        <v>395</v>
      </c>
      <c r="D78" s="288"/>
      <c r="E78" s="289">
        <f>SUMIF('Pipe Audit'!$D$3:$D$82,A78,'Pipe Audit'!$K$3:$K$82)</f>
        <v>0</v>
      </c>
      <c r="F78" s="289">
        <f>SUMIF('Pipe Audit'!$D$3:$D$82,A78,'Pipe Audit'!$O$3:$O$82)</f>
        <v>0</v>
      </c>
      <c r="G78" s="289">
        <f t="shared" si="19"/>
        <v>0</v>
      </c>
      <c r="H78" s="290" t="e">
        <f t="shared" si="20"/>
        <v>#DIV/0!</v>
      </c>
      <c r="I78" s="289">
        <f>SUMIF('Pipe Audit'!$D$3:$D$82,A78,'Pipe Audit'!$BD$3:$BD$82)</f>
        <v>0</v>
      </c>
      <c r="J78" s="289">
        <f>SUMIF('Pipe Audit'!$D$3:$D$82,A78,'Pipe Audit'!$BE$3:$BE$82)</f>
        <v>0</v>
      </c>
      <c r="K78" s="289">
        <f t="shared" si="21"/>
        <v>0</v>
      </c>
      <c r="L78" s="291" t="e">
        <f t="shared" si="22"/>
        <v>#DIV/0!</v>
      </c>
      <c r="M78" s="289">
        <f>SUMIF('Pipe Audit'!$D$3:$D$82,A78,'Pipe Audit'!$AJ$3:$AJ$82)</f>
        <v>0</v>
      </c>
      <c r="N78" s="292" cm="1">
        <f t="array" ref="N78">SUM(IF('Pipe Audit'!$D$3:$D$82=$A78,IF('Pipe Audit'!$Q$3:$Q$82=1,'Pipe Audit'!$AJ$3:$AJ$82)))</f>
        <v>0</v>
      </c>
      <c r="O78" s="292">
        <f t="shared" si="23"/>
        <v>0</v>
      </c>
      <c r="P78" s="293" t="e">
        <f t="shared" si="24"/>
        <v>#DIV/0!</v>
      </c>
      <c r="Q78" s="294" cm="1">
        <f t="array" ref="Q78">SUM(IF('Pipe Audit'!$D$3:$D$82=$A78,IF('Pipe Audit'!$AJ$3:$AJ$82=1,'Pipe Audit'!$K$3:$K$82)))</f>
        <v>0</v>
      </c>
      <c r="R78" s="294">
        <f t="array" ref="R78">SUM(IF('Pipe Audit'!$D$3:$D$82=$A78,IF('Pipe Audit'!$Q$3:$Q$82=1,'Pipe Audit'!$K$3:$K$82)))</f>
        <v>0</v>
      </c>
      <c r="S78" s="294" cm="1">
        <f t="array" ref="S78">SUM(IF('Pipe Audit'!$D$3:$D$82=$A78,IF('Pipe Audit'!$U$3:$U$82&gt;0.25,'Pipe Audit'!$AJ$3:$AJ$82)))</f>
        <v>0</v>
      </c>
      <c r="T78" s="294">
        <f t="array" ref="T78">SUM(IF('Pipe Audit'!$D$3:$D$82=$A78,IF('Pipe Audit'!$U$3:$U$82&gt;0.2,'Pipe Audit'!$K$3:$K$82)))</f>
        <v>0</v>
      </c>
      <c r="U78" s="295">
        <f t="shared" si="25"/>
        <v>0</v>
      </c>
      <c r="V78" s="296" t="e">
        <f t="shared" si="26"/>
        <v>#DIV/0!</v>
      </c>
    </row>
    <row r="79" spans="1:22" ht="22.5" x14ac:dyDescent="0.45">
      <c r="A79" s="306" t="s">
        <v>311</v>
      </c>
      <c r="B79" s="307">
        <v>208</v>
      </c>
      <c r="C79" s="308" t="s">
        <v>396</v>
      </c>
      <c r="D79" s="288"/>
      <c r="E79" s="289">
        <f>SUMIF('Pipe Audit'!$D$3:$D$82,A79,'Pipe Audit'!$K$3:$K$82)</f>
        <v>0</v>
      </c>
      <c r="F79" s="289">
        <f>SUMIF('Pipe Audit'!$D$3:$D$82,A79,'Pipe Audit'!$O$3:$O$82)</f>
        <v>0</v>
      </c>
      <c r="G79" s="289">
        <f t="shared" si="19"/>
        <v>0</v>
      </c>
      <c r="H79" s="290" t="e">
        <f t="shared" si="20"/>
        <v>#DIV/0!</v>
      </c>
      <c r="I79" s="289">
        <f>SUMIF('Pipe Audit'!$D$3:$D$82,A79,'Pipe Audit'!$BD$3:$BD$82)</f>
        <v>0</v>
      </c>
      <c r="J79" s="289">
        <f>SUMIF('Pipe Audit'!$D$3:$D$82,A79,'Pipe Audit'!$BE$3:$BE$82)</f>
        <v>0</v>
      </c>
      <c r="K79" s="289">
        <f t="shared" si="21"/>
        <v>0</v>
      </c>
      <c r="L79" s="291" t="e">
        <f t="shared" si="22"/>
        <v>#DIV/0!</v>
      </c>
      <c r="M79" s="289">
        <f>SUMIF('Pipe Audit'!$D$3:$D$82,A79,'Pipe Audit'!$AJ$3:$AJ$82)</f>
        <v>0</v>
      </c>
      <c r="N79" s="292" cm="1">
        <f t="array" ref="N79">SUM(IF('Pipe Audit'!$D$3:$D$82=$A79,IF('Pipe Audit'!$Q$3:$Q$82=1,'Pipe Audit'!$AJ$3:$AJ$82)))</f>
        <v>0</v>
      </c>
      <c r="O79" s="292">
        <f t="shared" si="23"/>
        <v>0</v>
      </c>
      <c r="P79" s="293" t="e">
        <f t="shared" si="24"/>
        <v>#DIV/0!</v>
      </c>
      <c r="Q79" s="294" cm="1">
        <f t="array" ref="Q79">SUM(IF('Pipe Audit'!$D$3:$D$82=$A79,IF('Pipe Audit'!$AJ$3:$AJ$82=1,'Pipe Audit'!$K$3:$K$82)))</f>
        <v>0</v>
      </c>
      <c r="R79" s="294">
        <f t="array" ref="R79">SUM(IF('Pipe Audit'!$D$3:$D$82=$A79,IF('Pipe Audit'!$Q$3:$Q$82=1,'Pipe Audit'!$K$3:$K$82)))</f>
        <v>0</v>
      </c>
      <c r="S79" s="294" cm="1">
        <f t="array" ref="S79">SUM(IF('Pipe Audit'!$D$3:$D$82=$A79,IF('Pipe Audit'!$U$3:$U$82&gt;0.25,'Pipe Audit'!$AJ$3:$AJ$82)))</f>
        <v>0</v>
      </c>
      <c r="T79" s="294">
        <f t="array" ref="T79">SUM(IF('Pipe Audit'!$D$3:$D$82=$A79,IF('Pipe Audit'!$U$3:$U$82&gt;0.2,'Pipe Audit'!$K$3:$K$82)))</f>
        <v>0</v>
      </c>
      <c r="U79" s="295">
        <f t="shared" si="25"/>
        <v>0</v>
      </c>
      <c r="V79" s="296" t="e">
        <f t="shared" si="26"/>
        <v>#DIV/0!</v>
      </c>
    </row>
    <row r="80" spans="1:22" ht="22.5" x14ac:dyDescent="0.45">
      <c r="A80" s="306" t="s">
        <v>312</v>
      </c>
      <c r="B80" s="307">
        <v>208</v>
      </c>
      <c r="C80" s="308" t="s">
        <v>397</v>
      </c>
      <c r="D80" s="288"/>
      <c r="E80" s="289">
        <f>SUMIF('Pipe Audit'!$D$3:$D$82,A80,'Pipe Audit'!$K$3:$K$82)</f>
        <v>0</v>
      </c>
      <c r="F80" s="289">
        <f>SUMIF('Pipe Audit'!$D$3:$D$82,A80,'Pipe Audit'!$O$3:$O$82)</f>
        <v>0</v>
      </c>
      <c r="G80" s="289">
        <f t="shared" si="19"/>
        <v>0</v>
      </c>
      <c r="H80" s="290" t="e">
        <f t="shared" si="20"/>
        <v>#DIV/0!</v>
      </c>
      <c r="I80" s="289">
        <f>SUMIF('Pipe Audit'!$D$3:$D$82,A80,'Pipe Audit'!$BD$3:$BD$82)</f>
        <v>0</v>
      </c>
      <c r="J80" s="289">
        <f>SUMIF('Pipe Audit'!$D$3:$D$82,A80,'Pipe Audit'!$BE$3:$BE$82)</f>
        <v>0</v>
      </c>
      <c r="K80" s="289">
        <f t="shared" si="21"/>
        <v>0</v>
      </c>
      <c r="L80" s="291" t="e">
        <f t="shared" si="22"/>
        <v>#DIV/0!</v>
      </c>
      <c r="M80" s="289">
        <f>SUMIF('Pipe Audit'!$D$3:$D$82,A80,'Pipe Audit'!$AJ$3:$AJ$82)</f>
        <v>0</v>
      </c>
      <c r="N80" s="292" cm="1">
        <f t="array" ref="N80">SUM(IF('Pipe Audit'!$D$3:$D$82=$A80,IF('Pipe Audit'!$Q$3:$Q$82=1,'Pipe Audit'!$AJ$3:$AJ$82)))</f>
        <v>0</v>
      </c>
      <c r="O80" s="292">
        <f t="shared" si="23"/>
        <v>0</v>
      </c>
      <c r="P80" s="293" t="e">
        <f t="shared" si="24"/>
        <v>#DIV/0!</v>
      </c>
      <c r="Q80" s="294" cm="1">
        <f t="array" ref="Q80">SUM(IF('Pipe Audit'!$D$3:$D$82=$A80,IF('Pipe Audit'!$AJ$3:$AJ$82=1,'Pipe Audit'!$K$3:$K$82)))</f>
        <v>0</v>
      </c>
      <c r="R80" s="294">
        <f t="array" ref="R80">SUM(IF('Pipe Audit'!$D$3:$D$82=$A80,IF('Pipe Audit'!$Q$3:$Q$82=1,'Pipe Audit'!$K$3:$K$82)))</f>
        <v>0</v>
      </c>
      <c r="S80" s="294" cm="1">
        <f t="array" ref="S80">SUM(IF('Pipe Audit'!$D$3:$D$82=$A80,IF('Pipe Audit'!$U$3:$U$82&gt;0.25,'Pipe Audit'!$AJ$3:$AJ$82)))</f>
        <v>0</v>
      </c>
      <c r="T80" s="294">
        <f t="array" ref="T80">SUM(IF('Pipe Audit'!$D$3:$D$82=$A80,IF('Pipe Audit'!$U$3:$U$82&gt;0.2,'Pipe Audit'!$K$3:$K$82)))</f>
        <v>0</v>
      </c>
      <c r="U80" s="295">
        <f t="shared" si="25"/>
        <v>0</v>
      </c>
      <c r="V80" s="296" t="e">
        <f t="shared" si="26"/>
        <v>#DIV/0!</v>
      </c>
    </row>
    <row r="81" spans="1:22" ht="22.5" x14ac:dyDescent="0.45">
      <c r="A81" s="306" t="s">
        <v>313</v>
      </c>
      <c r="B81" s="307">
        <v>208</v>
      </c>
      <c r="C81" s="308" t="s">
        <v>398</v>
      </c>
      <c r="D81" s="288"/>
      <c r="E81" s="289">
        <f>SUMIF('Pipe Audit'!$D$3:$D$82,A81,'Pipe Audit'!$K$3:$K$82)</f>
        <v>0</v>
      </c>
      <c r="F81" s="289">
        <f>SUMIF('Pipe Audit'!$D$3:$D$82,A81,'Pipe Audit'!$O$3:$O$82)</f>
        <v>0</v>
      </c>
      <c r="G81" s="289">
        <f t="shared" si="19"/>
        <v>0</v>
      </c>
      <c r="H81" s="290" t="e">
        <f t="shared" si="20"/>
        <v>#DIV/0!</v>
      </c>
      <c r="I81" s="289">
        <f>SUMIF('Pipe Audit'!$D$3:$D$82,A81,'Pipe Audit'!$BD$3:$BD$82)</f>
        <v>0</v>
      </c>
      <c r="J81" s="289">
        <f>SUMIF('Pipe Audit'!$D$3:$D$82,A81,'Pipe Audit'!$BE$3:$BE$82)</f>
        <v>0</v>
      </c>
      <c r="K81" s="289">
        <f t="shared" si="21"/>
        <v>0</v>
      </c>
      <c r="L81" s="291" t="e">
        <f t="shared" si="22"/>
        <v>#DIV/0!</v>
      </c>
      <c r="M81" s="289">
        <f>SUMIF('Pipe Audit'!$D$3:$D$82,A81,'Pipe Audit'!$AJ$3:$AJ$82)</f>
        <v>0</v>
      </c>
      <c r="N81" s="292" cm="1">
        <f t="array" ref="N81">SUM(IF('Pipe Audit'!$D$3:$D$82=$A81,IF('Pipe Audit'!$Q$3:$Q$82=1,'Pipe Audit'!$AJ$3:$AJ$82)))</f>
        <v>0</v>
      </c>
      <c r="O81" s="292">
        <f t="shared" si="23"/>
        <v>0</v>
      </c>
      <c r="P81" s="293" t="e">
        <f t="shared" si="24"/>
        <v>#DIV/0!</v>
      </c>
      <c r="Q81" s="294" cm="1">
        <f t="array" ref="Q81">SUM(IF('Pipe Audit'!$D$3:$D$82=$A81,IF('Pipe Audit'!$AJ$3:$AJ$82=1,'Pipe Audit'!$K$3:$K$82)))</f>
        <v>0</v>
      </c>
      <c r="R81" s="294">
        <f t="array" ref="R81">SUM(IF('Pipe Audit'!$D$3:$D$82=$A81,IF('Pipe Audit'!$Q$3:$Q$82=1,'Pipe Audit'!$K$3:$K$82)))</f>
        <v>0</v>
      </c>
      <c r="S81" s="294" cm="1">
        <f t="array" ref="S81">SUM(IF('Pipe Audit'!$D$3:$D$82=$A81,IF('Pipe Audit'!$U$3:$U$82&gt;0.25,'Pipe Audit'!$AJ$3:$AJ$82)))</f>
        <v>0</v>
      </c>
      <c r="T81" s="294">
        <f t="array" ref="T81">SUM(IF('Pipe Audit'!$D$3:$D$82=$A81,IF('Pipe Audit'!$U$3:$U$82&gt;0.2,'Pipe Audit'!$K$3:$K$82)))</f>
        <v>0</v>
      </c>
      <c r="U81" s="295">
        <f t="shared" si="25"/>
        <v>0</v>
      </c>
      <c r="V81" s="296" t="e">
        <f t="shared" si="26"/>
        <v>#DIV/0!</v>
      </c>
    </row>
    <row r="82" spans="1:22" ht="22.5" x14ac:dyDescent="0.45">
      <c r="A82" s="306" t="s">
        <v>314</v>
      </c>
      <c r="B82" s="307">
        <v>208</v>
      </c>
      <c r="C82" s="308" t="s">
        <v>399</v>
      </c>
      <c r="D82" s="288"/>
      <c r="E82" s="289">
        <f>SUMIF('Pipe Audit'!$D$3:$D$82,A82,'Pipe Audit'!$K$3:$K$82)</f>
        <v>0</v>
      </c>
      <c r="F82" s="289">
        <f>SUMIF('Pipe Audit'!$D$3:$D$82,A82,'Pipe Audit'!$O$3:$O$82)</f>
        <v>0</v>
      </c>
      <c r="G82" s="289">
        <f t="shared" si="19"/>
        <v>0</v>
      </c>
      <c r="H82" s="290" t="e">
        <f t="shared" si="20"/>
        <v>#DIV/0!</v>
      </c>
      <c r="I82" s="289">
        <f>SUMIF('Pipe Audit'!$D$3:$D$82,A82,'Pipe Audit'!$BD$3:$BD$82)</f>
        <v>0</v>
      </c>
      <c r="J82" s="289">
        <f>SUMIF('Pipe Audit'!$D$3:$D$82,A82,'Pipe Audit'!$BE$3:$BE$82)</f>
        <v>0</v>
      </c>
      <c r="K82" s="289">
        <f t="shared" si="21"/>
        <v>0</v>
      </c>
      <c r="L82" s="291" t="e">
        <f t="shared" si="22"/>
        <v>#DIV/0!</v>
      </c>
      <c r="M82" s="289">
        <f>SUMIF('Pipe Audit'!$D$3:$D$82,A82,'Pipe Audit'!$AJ$3:$AJ$82)</f>
        <v>0</v>
      </c>
      <c r="N82" s="292" cm="1">
        <f t="array" ref="N82">SUM(IF('Pipe Audit'!$D$3:$D$82=$A82,IF('Pipe Audit'!$Q$3:$Q$82=1,'Pipe Audit'!$AJ$3:$AJ$82)))</f>
        <v>0</v>
      </c>
      <c r="O82" s="292">
        <f t="shared" si="23"/>
        <v>0</v>
      </c>
      <c r="P82" s="293" t="e">
        <f t="shared" si="24"/>
        <v>#DIV/0!</v>
      </c>
      <c r="Q82" s="294" cm="1">
        <f t="array" ref="Q82">SUM(IF('Pipe Audit'!$D$3:$D$82=$A82,IF('Pipe Audit'!$AJ$3:$AJ$82=1,'Pipe Audit'!$K$3:$K$82)))</f>
        <v>0</v>
      </c>
      <c r="R82" s="294">
        <f t="array" ref="R82">SUM(IF('Pipe Audit'!$D$3:$D$82=$A82,IF('Pipe Audit'!$Q$3:$Q$82=1,'Pipe Audit'!$K$3:$K$82)))</f>
        <v>0</v>
      </c>
      <c r="S82" s="294" cm="1">
        <f t="array" ref="S82">SUM(IF('Pipe Audit'!$D$3:$D$82=$A82,IF('Pipe Audit'!$U$3:$U$82&gt;0.25,'Pipe Audit'!$AJ$3:$AJ$82)))</f>
        <v>0</v>
      </c>
      <c r="T82" s="294">
        <f t="array" ref="T82">SUM(IF('Pipe Audit'!$D$3:$D$82=$A82,IF('Pipe Audit'!$U$3:$U$82&gt;0.2,'Pipe Audit'!$K$3:$K$82)))</f>
        <v>0</v>
      </c>
      <c r="U82" s="295">
        <f t="shared" si="25"/>
        <v>0</v>
      </c>
      <c r="V82" s="296" t="e">
        <f t="shared" si="26"/>
        <v>#DIV/0!</v>
      </c>
    </row>
    <row r="83" spans="1:22" ht="22.5" x14ac:dyDescent="0.45">
      <c r="A83" s="306" t="s">
        <v>315</v>
      </c>
      <c r="B83" s="307">
        <v>208</v>
      </c>
      <c r="C83" s="308" t="s">
        <v>400</v>
      </c>
      <c r="D83" s="288"/>
      <c r="E83" s="289">
        <f>SUMIF('Pipe Audit'!$D$3:$D$82,A83,'Pipe Audit'!$K$3:$K$82)</f>
        <v>0</v>
      </c>
      <c r="F83" s="289">
        <f>SUMIF('Pipe Audit'!$D$3:$D$82,A83,'Pipe Audit'!$O$3:$O$82)</f>
        <v>0</v>
      </c>
      <c r="G83" s="289">
        <f t="shared" si="19"/>
        <v>0</v>
      </c>
      <c r="H83" s="290" t="e">
        <f t="shared" si="20"/>
        <v>#DIV/0!</v>
      </c>
      <c r="I83" s="289">
        <f>SUMIF('Pipe Audit'!$D$3:$D$82,A83,'Pipe Audit'!$BD$3:$BD$82)</f>
        <v>0</v>
      </c>
      <c r="J83" s="289">
        <f>SUMIF('Pipe Audit'!$D$3:$D$82,A83,'Pipe Audit'!$BE$3:$BE$82)</f>
        <v>0</v>
      </c>
      <c r="K83" s="289">
        <f t="shared" si="21"/>
        <v>0</v>
      </c>
      <c r="L83" s="291" t="e">
        <f t="shared" si="22"/>
        <v>#DIV/0!</v>
      </c>
      <c r="M83" s="289">
        <f>SUMIF('Pipe Audit'!$D$3:$D$82,A83,'Pipe Audit'!$AJ$3:$AJ$82)</f>
        <v>0</v>
      </c>
      <c r="N83" s="292" cm="1">
        <f t="array" ref="N83">SUM(IF('Pipe Audit'!$D$3:$D$82=$A83,IF('Pipe Audit'!$Q$3:$Q$82=1,'Pipe Audit'!$AJ$3:$AJ$82)))</f>
        <v>0</v>
      </c>
      <c r="O83" s="292">
        <f t="shared" si="23"/>
        <v>0</v>
      </c>
      <c r="P83" s="293" t="e">
        <f t="shared" si="24"/>
        <v>#DIV/0!</v>
      </c>
      <c r="Q83" s="294" cm="1">
        <f t="array" ref="Q83">SUM(IF('Pipe Audit'!$D$3:$D$82=$A83,IF('Pipe Audit'!$AJ$3:$AJ$82=1,'Pipe Audit'!$K$3:$K$82)))</f>
        <v>0</v>
      </c>
      <c r="R83" s="294">
        <f t="array" ref="R83">SUM(IF('Pipe Audit'!$D$3:$D$82=$A83,IF('Pipe Audit'!$Q$3:$Q$82=1,'Pipe Audit'!$K$3:$K$82)))</f>
        <v>0</v>
      </c>
      <c r="S83" s="294" cm="1">
        <f t="array" ref="S83">SUM(IF('Pipe Audit'!$D$3:$D$82=$A83,IF('Pipe Audit'!$U$3:$U$82&gt;0.25,'Pipe Audit'!$AJ$3:$AJ$82)))</f>
        <v>0</v>
      </c>
      <c r="T83" s="294">
        <f t="array" ref="T83">SUM(IF('Pipe Audit'!$D$3:$D$82=$A83,IF('Pipe Audit'!$U$3:$U$82&gt;0.2,'Pipe Audit'!$K$3:$K$82)))</f>
        <v>0</v>
      </c>
      <c r="U83" s="295">
        <f t="shared" si="25"/>
        <v>0</v>
      </c>
      <c r="V83" s="296" t="e">
        <f t="shared" si="26"/>
        <v>#DIV/0!</v>
      </c>
    </row>
    <row r="84" spans="1:22" ht="22.5" x14ac:dyDescent="0.45">
      <c r="A84" s="306" t="s">
        <v>316</v>
      </c>
      <c r="B84" s="307">
        <v>208</v>
      </c>
      <c r="C84" s="308" t="s">
        <v>401</v>
      </c>
      <c r="D84" s="288"/>
      <c r="E84" s="289">
        <f>SUMIF('Pipe Audit'!$D$3:$D$82,A84,'Pipe Audit'!$K$3:$K$82)</f>
        <v>0</v>
      </c>
      <c r="F84" s="289">
        <f>SUMIF('Pipe Audit'!$D$3:$D$82,A84,'Pipe Audit'!$O$3:$O$82)</f>
        <v>0</v>
      </c>
      <c r="G84" s="289">
        <f t="shared" si="19"/>
        <v>0</v>
      </c>
      <c r="H84" s="290" t="e">
        <f t="shared" si="20"/>
        <v>#DIV/0!</v>
      </c>
      <c r="I84" s="289">
        <f>SUMIF('Pipe Audit'!$D$3:$D$82,A84,'Pipe Audit'!$BD$3:$BD$82)</f>
        <v>0</v>
      </c>
      <c r="J84" s="289">
        <f>SUMIF('Pipe Audit'!$D$3:$D$82,A84,'Pipe Audit'!$BE$3:$BE$82)</f>
        <v>0</v>
      </c>
      <c r="K84" s="289">
        <f t="shared" si="21"/>
        <v>0</v>
      </c>
      <c r="L84" s="291" t="e">
        <f t="shared" si="22"/>
        <v>#DIV/0!</v>
      </c>
      <c r="M84" s="289">
        <f>SUMIF('Pipe Audit'!$D$3:$D$82,A84,'Pipe Audit'!$AJ$3:$AJ$82)</f>
        <v>0</v>
      </c>
      <c r="N84" s="292" cm="1">
        <f t="array" ref="N84">SUM(IF('Pipe Audit'!$D$3:$D$82=$A84,IF('Pipe Audit'!$Q$3:$Q$82=1,'Pipe Audit'!$AJ$3:$AJ$82)))</f>
        <v>0</v>
      </c>
      <c r="O84" s="292">
        <f t="shared" si="23"/>
        <v>0</v>
      </c>
      <c r="P84" s="293" t="e">
        <f t="shared" si="24"/>
        <v>#DIV/0!</v>
      </c>
      <c r="Q84" s="294" cm="1">
        <f t="array" ref="Q84">SUM(IF('Pipe Audit'!$D$3:$D$82=$A84,IF('Pipe Audit'!$AJ$3:$AJ$82=1,'Pipe Audit'!$K$3:$K$82)))</f>
        <v>0</v>
      </c>
      <c r="R84" s="294">
        <f t="array" ref="R84">SUM(IF('Pipe Audit'!$D$3:$D$82=$A84,IF('Pipe Audit'!$Q$3:$Q$82=1,'Pipe Audit'!$K$3:$K$82)))</f>
        <v>0</v>
      </c>
      <c r="S84" s="294" cm="1">
        <f t="array" ref="S84">SUM(IF('Pipe Audit'!$D$3:$D$82=$A84,IF('Pipe Audit'!$U$3:$U$82&gt;0.25,'Pipe Audit'!$AJ$3:$AJ$82)))</f>
        <v>0</v>
      </c>
      <c r="T84" s="294">
        <f t="array" ref="T84">SUM(IF('Pipe Audit'!$D$3:$D$82=$A84,IF('Pipe Audit'!$U$3:$U$82&gt;0.2,'Pipe Audit'!$K$3:$K$82)))</f>
        <v>0</v>
      </c>
      <c r="U84" s="295">
        <f t="shared" si="25"/>
        <v>0</v>
      </c>
      <c r="V84" s="296" t="e">
        <f t="shared" si="26"/>
        <v>#DIV/0!</v>
      </c>
    </row>
    <row r="85" spans="1:22" ht="22.5" x14ac:dyDescent="0.45">
      <c r="A85" s="306" t="s">
        <v>317</v>
      </c>
      <c r="B85" s="307">
        <v>208</v>
      </c>
      <c r="C85" s="308" t="s">
        <v>402</v>
      </c>
      <c r="D85" s="288"/>
      <c r="E85" s="289">
        <f>SUMIF('Pipe Audit'!$D$3:$D$82,A85,'Pipe Audit'!$K$3:$K$82)</f>
        <v>0</v>
      </c>
      <c r="F85" s="289">
        <f>SUMIF('Pipe Audit'!$D$3:$D$82,A85,'Pipe Audit'!$O$3:$O$82)</f>
        <v>0</v>
      </c>
      <c r="G85" s="289">
        <f t="shared" si="19"/>
        <v>0</v>
      </c>
      <c r="H85" s="290" t="e">
        <f t="shared" si="20"/>
        <v>#DIV/0!</v>
      </c>
      <c r="I85" s="289">
        <f>SUMIF('Pipe Audit'!$D$3:$D$82,A85,'Pipe Audit'!$BD$3:$BD$82)</f>
        <v>0</v>
      </c>
      <c r="J85" s="289">
        <f>SUMIF('Pipe Audit'!$D$3:$D$82,A85,'Pipe Audit'!$BE$3:$BE$82)</f>
        <v>0</v>
      </c>
      <c r="K85" s="289">
        <f t="shared" si="21"/>
        <v>0</v>
      </c>
      <c r="L85" s="291" t="e">
        <f t="shared" si="22"/>
        <v>#DIV/0!</v>
      </c>
      <c r="M85" s="289">
        <f>SUMIF('Pipe Audit'!$D$3:$D$82,A85,'Pipe Audit'!$AJ$3:$AJ$82)</f>
        <v>0</v>
      </c>
      <c r="N85" s="292" cm="1">
        <f t="array" ref="N85">SUM(IF('Pipe Audit'!$D$3:$D$82=$A85,IF('Pipe Audit'!$Q$3:$Q$82=1,'Pipe Audit'!$AJ$3:$AJ$82)))</f>
        <v>0</v>
      </c>
      <c r="O85" s="292">
        <f t="shared" si="23"/>
        <v>0</v>
      </c>
      <c r="P85" s="293" t="e">
        <f t="shared" si="24"/>
        <v>#DIV/0!</v>
      </c>
      <c r="Q85" s="294" cm="1">
        <f t="array" ref="Q85">SUM(IF('Pipe Audit'!$D$3:$D$82=$A85,IF('Pipe Audit'!$AJ$3:$AJ$82=1,'Pipe Audit'!$K$3:$K$82)))</f>
        <v>0</v>
      </c>
      <c r="R85" s="294">
        <f t="array" ref="R85">SUM(IF('Pipe Audit'!$D$3:$D$82=$A85,IF('Pipe Audit'!$Q$3:$Q$82=1,'Pipe Audit'!$K$3:$K$82)))</f>
        <v>0</v>
      </c>
      <c r="S85" s="294" cm="1">
        <f t="array" ref="S85">SUM(IF('Pipe Audit'!$D$3:$D$82=$A85,IF('Pipe Audit'!$U$3:$U$82&gt;0.25,'Pipe Audit'!$AJ$3:$AJ$82)))</f>
        <v>0</v>
      </c>
      <c r="T85" s="294">
        <f t="array" ref="T85">SUM(IF('Pipe Audit'!$D$3:$D$82=$A85,IF('Pipe Audit'!$U$3:$U$82&gt;0.2,'Pipe Audit'!$K$3:$K$82)))</f>
        <v>0</v>
      </c>
      <c r="U85" s="295">
        <f t="shared" si="25"/>
        <v>0</v>
      </c>
      <c r="V85" s="296" t="e">
        <f t="shared" si="26"/>
        <v>#DIV/0!</v>
      </c>
    </row>
    <row r="86" spans="1:22" ht="22.5" x14ac:dyDescent="0.45">
      <c r="A86" s="306" t="s">
        <v>318</v>
      </c>
      <c r="B86" s="307">
        <v>208</v>
      </c>
      <c r="C86" s="308" t="s">
        <v>403</v>
      </c>
      <c r="D86" s="288"/>
      <c r="E86" s="289">
        <f>SUMIF('Pipe Audit'!$D$3:$D$82,A86,'Pipe Audit'!$K$3:$K$82)</f>
        <v>0</v>
      </c>
      <c r="F86" s="289">
        <f>SUMIF('Pipe Audit'!$D$3:$D$82,A86,'Pipe Audit'!$O$3:$O$82)</f>
        <v>0</v>
      </c>
      <c r="G86" s="289">
        <f t="shared" si="19"/>
        <v>0</v>
      </c>
      <c r="H86" s="290" t="e">
        <f t="shared" si="20"/>
        <v>#DIV/0!</v>
      </c>
      <c r="I86" s="289">
        <f>SUMIF('Pipe Audit'!$D$3:$D$82,A86,'Pipe Audit'!$BD$3:$BD$82)</f>
        <v>0</v>
      </c>
      <c r="J86" s="289">
        <f>SUMIF('Pipe Audit'!$D$3:$D$82,A86,'Pipe Audit'!$BE$3:$BE$82)</f>
        <v>0</v>
      </c>
      <c r="K86" s="289">
        <f t="shared" si="21"/>
        <v>0</v>
      </c>
      <c r="L86" s="291" t="e">
        <f t="shared" si="22"/>
        <v>#DIV/0!</v>
      </c>
      <c r="M86" s="289">
        <f>SUMIF('Pipe Audit'!$D$3:$D$82,A86,'Pipe Audit'!$AJ$3:$AJ$82)</f>
        <v>0</v>
      </c>
      <c r="N86" s="292" cm="1">
        <f t="array" ref="N86">SUM(IF('Pipe Audit'!$D$3:$D$82=$A86,IF('Pipe Audit'!$Q$3:$Q$82=1,'Pipe Audit'!$AJ$3:$AJ$82)))</f>
        <v>0</v>
      </c>
      <c r="O86" s="292">
        <f t="shared" si="23"/>
        <v>0</v>
      </c>
      <c r="P86" s="293" t="e">
        <f t="shared" si="24"/>
        <v>#DIV/0!</v>
      </c>
      <c r="Q86" s="294" cm="1">
        <f t="array" ref="Q86">SUM(IF('Pipe Audit'!$D$3:$D$82=$A86,IF('Pipe Audit'!$AJ$3:$AJ$82=1,'Pipe Audit'!$K$3:$K$82)))</f>
        <v>0</v>
      </c>
      <c r="R86" s="294">
        <f t="array" ref="R86">SUM(IF('Pipe Audit'!$D$3:$D$82=$A86,IF('Pipe Audit'!$Q$3:$Q$82=1,'Pipe Audit'!$K$3:$K$82)))</f>
        <v>0</v>
      </c>
      <c r="S86" s="294" cm="1">
        <f t="array" ref="S86">SUM(IF('Pipe Audit'!$D$3:$D$82=$A86,IF('Pipe Audit'!$U$3:$U$82&gt;0.25,'Pipe Audit'!$AJ$3:$AJ$82)))</f>
        <v>0</v>
      </c>
      <c r="T86" s="294">
        <f t="array" ref="T86">SUM(IF('Pipe Audit'!$D$3:$D$82=$A86,IF('Pipe Audit'!$U$3:$U$82&gt;0.2,'Pipe Audit'!$K$3:$K$82)))</f>
        <v>0</v>
      </c>
      <c r="U86" s="295">
        <f t="shared" si="25"/>
        <v>0</v>
      </c>
      <c r="V86" s="296" t="e">
        <f t="shared" si="26"/>
        <v>#DIV/0!</v>
      </c>
    </row>
    <row r="87" spans="1:22" ht="22.5" x14ac:dyDescent="0.45">
      <c r="A87" s="306" t="s">
        <v>319</v>
      </c>
      <c r="B87" s="307">
        <v>208</v>
      </c>
      <c r="C87" s="308" t="s">
        <v>404</v>
      </c>
      <c r="D87" s="288"/>
      <c r="E87" s="289">
        <f>SUMIF('Pipe Audit'!$D$3:$D$82,A87,'Pipe Audit'!$K$3:$K$82)</f>
        <v>0</v>
      </c>
      <c r="F87" s="289">
        <f>SUMIF('Pipe Audit'!$D$3:$D$82,A87,'Pipe Audit'!$O$3:$O$82)</f>
        <v>0</v>
      </c>
      <c r="G87" s="289">
        <f t="shared" si="19"/>
        <v>0</v>
      </c>
      <c r="H87" s="290" t="e">
        <f t="shared" si="20"/>
        <v>#DIV/0!</v>
      </c>
      <c r="I87" s="289">
        <f>SUMIF('Pipe Audit'!$D$3:$D$82,A87,'Pipe Audit'!$BD$3:$BD$82)</f>
        <v>0</v>
      </c>
      <c r="J87" s="289">
        <f>SUMIF('Pipe Audit'!$D$3:$D$82,A87,'Pipe Audit'!$BE$3:$BE$82)</f>
        <v>0</v>
      </c>
      <c r="K87" s="289">
        <f t="shared" si="21"/>
        <v>0</v>
      </c>
      <c r="L87" s="291" t="e">
        <f t="shared" si="22"/>
        <v>#DIV/0!</v>
      </c>
      <c r="M87" s="289">
        <f>SUMIF('Pipe Audit'!$D$3:$D$82,A87,'Pipe Audit'!$AJ$3:$AJ$82)</f>
        <v>0</v>
      </c>
      <c r="N87" s="292" cm="1">
        <f t="array" ref="N87">SUM(IF('Pipe Audit'!$D$3:$D$82=$A87,IF('Pipe Audit'!$Q$3:$Q$82=1,'Pipe Audit'!$AJ$3:$AJ$82)))</f>
        <v>0</v>
      </c>
      <c r="O87" s="292">
        <f t="shared" si="23"/>
        <v>0</v>
      </c>
      <c r="P87" s="293" t="e">
        <f t="shared" si="24"/>
        <v>#DIV/0!</v>
      </c>
      <c r="Q87" s="294" cm="1">
        <f t="array" ref="Q87">SUM(IF('Pipe Audit'!$D$3:$D$82=$A87,IF('Pipe Audit'!$AJ$3:$AJ$82=1,'Pipe Audit'!$K$3:$K$82)))</f>
        <v>0</v>
      </c>
      <c r="R87" s="294">
        <f t="array" ref="R87">SUM(IF('Pipe Audit'!$D$3:$D$82=$A87,IF('Pipe Audit'!$Q$3:$Q$82=1,'Pipe Audit'!$K$3:$K$82)))</f>
        <v>0</v>
      </c>
      <c r="S87" s="294" cm="1">
        <f t="array" ref="S87">SUM(IF('Pipe Audit'!$D$3:$D$82=$A87,IF('Pipe Audit'!$U$3:$U$82&gt;0.25,'Pipe Audit'!$AJ$3:$AJ$82)))</f>
        <v>0</v>
      </c>
      <c r="T87" s="294">
        <f t="array" ref="T87">SUM(IF('Pipe Audit'!$D$3:$D$82=$A87,IF('Pipe Audit'!$U$3:$U$82&gt;0.2,'Pipe Audit'!$K$3:$K$82)))</f>
        <v>0</v>
      </c>
      <c r="U87" s="295">
        <f t="shared" si="25"/>
        <v>0</v>
      </c>
      <c r="V87" s="296" t="e">
        <f t="shared" si="26"/>
        <v>#DIV/0!</v>
      </c>
    </row>
    <row r="88" spans="1:22" ht="22.5" x14ac:dyDescent="0.45">
      <c r="A88" s="306" t="s">
        <v>261</v>
      </c>
      <c r="B88" s="307">
        <v>209</v>
      </c>
      <c r="C88" s="308" t="s">
        <v>452</v>
      </c>
      <c r="D88" s="288"/>
      <c r="E88" s="289">
        <f>SUMIF('Pipe Audit'!$D$3:$D$82,A88,'Pipe Audit'!$K$3:$K$82)</f>
        <v>0</v>
      </c>
      <c r="F88" s="289">
        <f>SUMIF('Pipe Audit'!$D$3:$D$82,A88,'Pipe Audit'!$O$3:$O$82)</f>
        <v>0</v>
      </c>
      <c r="G88" s="289">
        <f t="shared" si="19"/>
        <v>0</v>
      </c>
      <c r="H88" s="290" t="e">
        <f t="shared" si="20"/>
        <v>#DIV/0!</v>
      </c>
      <c r="I88" s="289">
        <f>SUMIF('Pipe Audit'!$D$3:$D$82,A88,'Pipe Audit'!$BD$3:$BD$82)</f>
        <v>0</v>
      </c>
      <c r="J88" s="289">
        <f>SUMIF('Pipe Audit'!$D$3:$D$82,A88,'Pipe Audit'!$BE$3:$BE$82)</f>
        <v>0</v>
      </c>
      <c r="K88" s="289">
        <f t="shared" si="21"/>
        <v>0</v>
      </c>
      <c r="L88" s="291" t="e">
        <f t="shared" si="22"/>
        <v>#DIV/0!</v>
      </c>
      <c r="M88" s="289">
        <f>SUMIF('Pipe Audit'!$D$3:$D$82,A88,'Pipe Audit'!$AJ$3:$AJ$82)</f>
        <v>0</v>
      </c>
      <c r="N88" s="292" cm="1">
        <f t="array" ref="N88">SUM(IF('Pipe Audit'!$D$3:$D$82=$A88,IF('Pipe Audit'!$Q$3:$Q$82=1,'Pipe Audit'!$AJ$3:$AJ$82)))</f>
        <v>0</v>
      </c>
      <c r="O88" s="292">
        <f t="shared" si="23"/>
        <v>0</v>
      </c>
      <c r="P88" s="293" t="e">
        <f t="shared" si="24"/>
        <v>#DIV/0!</v>
      </c>
      <c r="Q88" s="294" cm="1">
        <f t="array" ref="Q88">SUM(IF('Pipe Audit'!$D$3:$D$82=$A88,IF('Pipe Audit'!$AJ$3:$AJ$82=1,'Pipe Audit'!$K$3:$K$82)))</f>
        <v>0</v>
      </c>
      <c r="R88" s="294">
        <f t="array" ref="R88">SUM(IF('Pipe Audit'!$D$3:$D$82=$A88,IF('Pipe Audit'!$Q$3:$Q$82=1,'Pipe Audit'!$K$3:$K$82)))</f>
        <v>0</v>
      </c>
      <c r="S88" s="294" cm="1">
        <f t="array" ref="S88">SUM(IF('Pipe Audit'!$D$3:$D$82=$A88,IF('Pipe Audit'!$U$3:$U$82&gt;0.25,'Pipe Audit'!$AJ$3:$AJ$82)))</f>
        <v>0</v>
      </c>
      <c r="T88" s="294">
        <f t="array" ref="T88">SUM(IF('Pipe Audit'!$D$3:$D$82=$A88,IF('Pipe Audit'!$U$3:$U$82&gt;0.2,'Pipe Audit'!$K$3:$K$82)))</f>
        <v>0</v>
      </c>
      <c r="U88" s="295">
        <f t="shared" si="25"/>
        <v>0</v>
      </c>
      <c r="V88" s="296" t="e">
        <f t="shared" si="26"/>
        <v>#DIV/0!</v>
      </c>
    </row>
    <row r="89" spans="1:22" ht="22.5" x14ac:dyDescent="0.45">
      <c r="A89" s="306" t="s">
        <v>164</v>
      </c>
      <c r="B89" s="307">
        <v>209</v>
      </c>
      <c r="C89" s="308" t="s">
        <v>453</v>
      </c>
      <c r="D89" s="288"/>
      <c r="E89" s="289">
        <f>SUMIF('Pipe Audit'!$D$3:$D$82,A89,'Pipe Audit'!$K$3:$K$82)</f>
        <v>0</v>
      </c>
      <c r="F89" s="289">
        <f>SUMIF('Pipe Audit'!$D$3:$D$82,A89,'Pipe Audit'!$O$3:$O$82)</f>
        <v>0</v>
      </c>
      <c r="G89" s="289">
        <f t="shared" si="19"/>
        <v>0</v>
      </c>
      <c r="H89" s="290" t="e">
        <f t="shared" si="20"/>
        <v>#DIV/0!</v>
      </c>
      <c r="I89" s="289">
        <f>SUMIF('Pipe Audit'!$D$3:$D$82,A89,'Pipe Audit'!$BD$3:$BD$82)</f>
        <v>0</v>
      </c>
      <c r="J89" s="289">
        <f>SUMIF('Pipe Audit'!$D$3:$D$82,A89,'Pipe Audit'!$BE$3:$BE$82)</f>
        <v>0</v>
      </c>
      <c r="K89" s="289">
        <f t="shared" si="21"/>
        <v>0</v>
      </c>
      <c r="L89" s="291" t="e">
        <f t="shared" si="22"/>
        <v>#DIV/0!</v>
      </c>
      <c r="M89" s="289">
        <f>SUMIF('Pipe Audit'!$D$3:$D$82,A89,'Pipe Audit'!$AJ$3:$AJ$82)</f>
        <v>0</v>
      </c>
      <c r="N89" s="292" cm="1">
        <f t="array" ref="N89">SUM(IF('Pipe Audit'!$D$3:$D$82=$A89,IF('Pipe Audit'!$Q$3:$Q$82=1,'Pipe Audit'!$AJ$3:$AJ$82)))</f>
        <v>0</v>
      </c>
      <c r="O89" s="292">
        <f t="shared" si="23"/>
        <v>0</v>
      </c>
      <c r="P89" s="293" t="e">
        <f t="shared" si="24"/>
        <v>#DIV/0!</v>
      </c>
      <c r="Q89" s="294" cm="1">
        <f t="array" ref="Q89">SUM(IF('Pipe Audit'!$D$3:$D$82=$A89,IF('Pipe Audit'!$AJ$3:$AJ$82=1,'Pipe Audit'!$K$3:$K$82)))</f>
        <v>0</v>
      </c>
      <c r="R89" s="294">
        <f t="array" ref="R89">SUM(IF('Pipe Audit'!$D$3:$D$82=$A89,IF('Pipe Audit'!$Q$3:$Q$82=1,'Pipe Audit'!$K$3:$K$82)))</f>
        <v>0</v>
      </c>
      <c r="S89" s="294" cm="1">
        <f t="array" ref="S89">SUM(IF('Pipe Audit'!$D$3:$D$82=$A89,IF('Pipe Audit'!$U$3:$U$82&gt;0.25,'Pipe Audit'!$AJ$3:$AJ$82)))</f>
        <v>0</v>
      </c>
      <c r="T89" s="294">
        <f t="array" ref="T89">SUM(IF('Pipe Audit'!$D$3:$D$82=$A89,IF('Pipe Audit'!$U$3:$U$82&gt;0.2,'Pipe Audit'!$K$3:$K$82)))</f>
        <v>0</v>
      </c>
      <c r="U89" s="295">
        <f t="shared" si="25"/>
        <v>0</v>
      </c>
      <c r="V89" s="296" t="e">
        <f t="shared" si="26"/>
        <v>#DIV/0!</v>
      </c>
    </row>
    <row r="90" spans="1:22" ht="22.5" x14ac:dyDescent="0.45">
      <c r="A90" s="306" t="s">
        <v>195</v>
      </c>
      <c r="B90" s="307">
        <v>209</v>
      </c>
      <c r="C90" s="308" t="s">
        <v>454</v>
      </c>
      <c r="D90" s="288"/>
      <c r="E90" s="289">
        <f>SUMIF('Pipe Audit'!$D$3:$D$82,A90,'Pipe Audit'!$K$3:$K$82)</f>
        <v>0</v>
      </c>
      <c r="F90" s="289">
        <f>SUMIF('Pipe Audit'!$D$3:$D$82,A90,'Pipe Audit'!$O$3:$O$82)</f>
        <v>0</v>
      </c>
      <c r="G90" s="289">
        <f t="shared" si="19"/>
        <v>0</v>
      </c>
      <c r="H90" s="290" t="e">
        <f t="shared" si="20"/>
        <v>#DIV/0!</v>
      </c>
      <c r="I90" s="289">
        <f>SUMIF('Pipe Audit'!$D$3:$D$82,A90,'Pipe Audit'!$BD$3:$BD$82)</f>
        <v>0</v>
      </c>
      <c r="J90" s="289">
        <f>SUMIF('Pipe Audit'!$D$3:$D$82,A90,'Pipe Audit'!$BE$3:$BE$82)</f>
        <v>0</v>
      </c>
      <c r="K90" s="289">
        <f t="shared" si="21"/>
        <v>0</v>
      </c>
      <c r="L90" s="291" t="e">
        <f t="shared" si="22"/>
        <v>#DIV/0!</v>
      </c>
      <c r="M90" s="289">
        <f>SUMIF('Pipe Audit'!$D$3:$D$82,A90,'Pipe Audit'!$AJ$3:$AJ$82)</f>
        <v>0</v>
      </c>
      <c r="N90" s="292" cm="1">
        <f t="array" ref="N90">SUM(IF('Pipe Audit'!$D$3:$D$82=$A90,IF('Pipe Audit'!$Q$3:$Q$82=1,'Pipe Audit'!$AJ$3:$AJ$82)))</f>
        <v>0</v>
      </c>
      <c r="O90" s="292">
        <f t="shared" si="23"/>
        <v>0</v>
      </c>
      <c r="P90" s="293" t="e">
        <f t="shared" si="24"/>
        <v>#DIV/0!</v>
      </c>
      <c r="Q90" s="294" cm="1">
        <f t="array" ref="Q90">SUM(IF('Pipe Audit'!$D$3:$D$82=$A90,IF('Pipe Audit'!$AJ$3:$AJ$82=1,'Pipe Audit'!$K$3:$K$82)))</f>
        <v>0</v>
      </c>
      <c r="R90" s="294">
        <f t="array" ref="R90">SUM(IF('Pipe Audit'!$D$3:$D$82=$A90,IF('Pipe Audit'!$Q$3:$Q$82=1,'Pipe Audit'!$K$3:$K$82)))</f>
        <v>0</v>
      </c>
      <c r="S90" s="294" cm="1">
        <f t="array" ref="S90">SUM(IF('Pipe Audit'!$D$3:$D$82=$A90,IF('Pipe Audit'!$U$3:$U$82&gt;0.25,'Pipe Audit'!$AJ$3:$AJ$82)))</f>
        <v>0</v>
      </c>
      <c r="T90" s="294">
        <f t="array" ref="T90">SUM(IF('Pipe Audit'!$D$3:$D$82=$A90,IF('Pipe Audit'!$U$3:$U$82&gt;0.2,'Pipe Audit'!$K$3:$K$82)))</f>
        <v>0</v>
      </c>
      <c r="U90" s="295">
        <f t="shared" si="25"/>
        <v>0</v>
      </c>
      <c r="V90" s="296" t="e">
        <f t="shared" si="26"/>
        <v>#DIV/0!</v>
      </c>
    </row>
    <row r="91" spans="1:22" ht="22.5" x14ac:dyDescent="0.45">
      <c r="A91" s="306" t="s">
        <v>324</v>
      </c>
      <c r="B91" s="307">
        <v>209</v>
      </c>
      <c r="C91" s="308" t="s">
        <v>455</v>
      </c>
      <c r="D91" s="288"/>
      <c r="E91" s="289">
        <f>SUMIF('Pipe Audit'!$D$3:$D$82,A91,'Pipe Audit'!$K$3:$K$82)</f>
        <v>0</v>
      </c>
      <c r="F91" s="289">
        <f>SUMIF('Pipe Audit'!$D$3:$D$82,A91,'Pipe Audit'!$O$3:$O$82)</f>
        <v>0</v>
      </c>
      <c r="G91" s="289">
        <f t="shared" si="19"/>
        <v>0</v>
      </c>
      <c r="H91" s="290" t="e">
        <f t="shared" si="20"/>
        <v>#DIV/0!</v>
      </c>
      <c r="I91" s="289">
        <f>SUMIF('Pipe Audit'!$D$3:$D$82,A91,'Pipe Audit'!$BD$3:$BD$82)</f>
        <v>0</v>
      </c>
      <c r="J91" s="289">
        <f>SUMIF('Pipe Audit'!$D$3:$D$82,A91,'Pipe Audit'!$BE$3:$BE$82)</f>
        <v>0</v>
      </c>
      <c r="K91" s="289">
        <f t="shared" si="21"/>
        <v>0</v>
      </c>
      <c r="L91" s="291" t="e">
        <f t="shared" si="22"/>
        <v>#DIV/0!</v>
      </c>
      <c r="M91" s="289">
        <f>SUMIF('Pipe Audit'!$D$3:$D$82,A91,'Pipe Audit'!$AJ$3:$AJ$82)</f>
        <v>0</v>
      </c>
      <c r="N91" s="292" cm="1">
        <f t="array" ref="N91">SUM(IF('Pipe Audit'!$D$3:$D$82=$A91,IF('Pipe Audit'!$Q$3:$Q$82=1,'Pipe Audit'!$AJ$3:$AJ$82)))</f>
        <v>0</v>
      </c>
      <c r="O91" s="292">
        <f t="shared" si="23"/>
        <v>0</v>
      </c>
      <c r="P91" s="293" t="e">
        <f t="shared" si="24"/>
        <v>#DIV/0!</v>
      </c>
      <c r="Q91" s="294" cm="1">
        <f t="array" ref="Q91">SUM(IF('Pipe Audit'!$D$3:$D$82=$A91,IF('Pipe Audit'!$AJ$3:$AJ$82=1,'Pipe Audit'!$K$3:$K$82)))</f>
        <v>0</v>
      </c>
      <c r="R91" s="294">
        <f t="array" ref="R91">SUM(IF('Pipe Audit'!$D$3:$D$82=$A91,IF('Pipe Audit'!$Q$3:$Q$82=1,'Pipe Audit'!$K$3:$K$82)))</f>
        <v>0</v>
      </c>
      <c r="S91" s="294" cm="1">
        <f t="array" ref="S91">SUM(IF('Pipe Audit'!$D$3:$D$82=$A91,IF('Pipe Audit'!$U$3:$U$82&gt;0.25,'Pipe Audit'!$AJ$3:$AJ$82)))</f>
        <v>0</v>
      </c>
      <c r="T91" s="294">
        <f t="array" ref="T91">SUM(IF('Pipe Audit'!$D$3:$D$82=$A91,IF('Pipe Audit'!$U$3:$U$82&gt;0.2,'Pipe Audit'!$K$3:$K$82)))</f>
        <v>0</v>
      </c>
      <c r="U91" s="295">
        <f t="shared" si="25"/>
        <v>0</v>
      </c>
      <c r="V91" s="296" t="e">
        <f t="shared" si="26"/>
        <v>#DIV/0!</v>
      </c>
    </row>
    <row r="92" spans="1:22" ht="22.5" x14ac:dyDescent="0.45">
      <c r="A92" s="306" t="s">
        <v>224</v>
      </c>
      <c r="B92" s="307">
        <v>209</v>
      </c>
      <c r="C92" s="308" t="s">
        <v>456</v>
      </c>
      <c r="D92" s="288"/>
      <c r="E92" s="289">
        <f>SUMIF('Pipe Audit'!$D$3:$D$82,A92,'Pipe Audit'!$K$3:$K$82)</f>
        <v>0</v>
      </c>
      <c r="F92" s="289">
        <f>SUMIF('Pipe Audit'!$D$3:$D$82,A92,'Pipe Audit'!$O$3:$O$82)</f>
        <v>0</v>
      </c>
      <c r="G92" s="289">
        <f t="shared" si="19"/>
        <v>0</v>
      </c>
      <c r="H92" s="290" t="e">
        <f t="shared" si="20"/>
        <v>#DIV/0!</v>
      </c>
      <c r="I92" s="289">
        <f>SUMIF('Pipe Audit'!$D$3:$D$82,A92,'Pipe Audit'!$BD$3:$BD$82)</f>
        <v>0</v>
      </c>
      <c r="J92" s="289">
        <f>SUMIF('Pipe Audit'!$D$3:$D$82,A92,'Pipe Audit'!$BE$3:$BE$82)</f>
        <v>0</v>
      </c>
      <c r="K92" s="289">
        <f t="shared" si="21"/>
        <v>0</v>
      </c>
      <c r="L92" s="291" t="e">
        <f t="shared" si="22"/>
        <v>#DIV/0!</v>
      </c>
      <c r="M92" s="289">
        <f>SUMIF('Pipe Audit'!$D$3:$D$82,A92,'Pipe Audit'!$AJ$3:$AJ$82)</f>
        <v>0</v>
      </c>
      <c r="N92" s="292" cm="1">
        <f t="array" ref="N92">SUM(IF('Pipe Audit'!$D$3:$D$82=$A92,IF('Pipe Audit'!$Q$3:$Q$82=1,'Pipe Audit'!$AJ$3:$AJ$82)))</f>
        <v>0</v>
      </c>
      <c r="O92" s="292">
        <f t="shared" si="23"/>
        <v>0</v>
      </c>
      <c r="P92" s="293" t="e">
        <f t="shared" si="24"/>
        <v>#DIV/0!</v>
      </c>
      <c r="Q92" s="294" cm="1">
        <f t="array" ref="Q92">SUM(IF('Pipe Audit'!$D$3:$D$82=$A92,IF('Pipe Audit'!$AJ$3:$AJ$82=1,'Pipe Audit'!$K$3:$K$82)))</f>
        <v>0</v>
      </c>
      <c r="R92" s="294">
        <f t="array" ref="R92">SUM(IF('Pipe Audit'!$D$3:$D$82=$A92,IF('Pipe Audit'!$Q$3:$Q$82=1,'Pipe Audit'!$K$3:$K$82)))</f>
        <v>0</v>
      </c>
      <c r="S92" s="294" cm="1">
        <f t="array" ref="S92">SUM(IF('Pipe Audit'!$D$3:$D$82=$A92,IF('Pipe Audit'!$U$3:$U$82&gt;0.25,'Pipe Audit'!$AJ$3:$AJ$82)))</f>
        <v>0</v>
      </c>
      <c r="T92" s="294">
        <f t="array" ref="T92">SUM(IF('Pipe Audit'!$D$3:$D$82=$A92,IF('Pipe Audit'!$U$3:$U$82&gt;0.2,'Pipe Audit'!$K$3:$K$82)))</f>
        <v>0</v>
      </c>
      <c r="U92" s="295">
        <f t="shared" si="25"/>
        <v>0</v>
      </c>
      <c r="V92" s="296" t="e">
        <f t="shared" si="26"/>
        <v>#DIV/0!</v>
      </c>
    </row>
    <row r="93" spans="1:22" ht="22.5" x14ac:dyDescent="0.45">
      <c r="A93" s="306" t="s">
        <v>325</v>
      </c>
      <c r="B93" s="307">
        <v>209</v>
      </c>
      <c r="C93" s="308" t="s">
        <v>457</v>
      </c>
      <c r="D93" s="288"/>
      <c r="E93" s="289">
        <f>SUMIF('Pipe Audit'!$D$3:$D$82,A93,'Pipe Audit'!$K$3:$K$82)</f>
        <v>0</v>
      </c>
      <c r="F93" s="289">
        <f>SUMIF('Pipe Audit'!$D$3:$D$82,A93,'Pipe Audit'!$O$3:$O$82)</f>
        <v>0</v>
      </c>
      <c r="G93" s="289">
        <f t="shared" si="19"/>
        <v>0</v>
      </c>
      <c r="H93" s="290" t="e">
        <f t="shared" si="20"/>
        <v>#DIV/0!</v>
      </c>
      <c r="I93" s="289">
        <f>SUMIF('Pipe Audit'!$D$3:$D$82,A93,'Pipe Audit'!$BD$3:$BD$82)</f>
        <v>0</v>
      </c>
      <c r="J93" s="289">
        <f>SUMIF('Pipe Audit'!$D$3:$D$82,A93,'Pipe Audit'!$BE$3:$BE$82)</f>
        <v>0</v>
      </c>
      <c r="K93" s="289">
        <f t="shared" si="21"/>
        <v>0</v>
      </c>
      <c r="L93" s="291" t="e">
        <f t="shared" si="22"/>
        <v>#DIV/0!</v>
      </c>
      <c r="M93" s="289">
        <f>SUMIF('Pipe Audit'!$D$3:$D$82,A93,'Pipe Audit'!$AJ$3:$AJ$82)</f>
        <v>0</v>
      </c>
      <c r="N93" s="292" cm="1">
        <f t="array" ref="N93">SUM(IF('Pipe Audit'!$D$3:$D$82=$A93,IF('Pipe Audit'!$Q$3:$Q$82=1,'Pipe Audit'!$AJ$3:$AJ$82)))</f>
        <v>0</v>
      </c>
      <c r="O93" s="292">
        <f t="shared" si="23"/>
        <v>0</v>
      </c>
      <c r="P93" s="293" t="e">
        <f t="shared" si="24"/>
        <v>#DIV/0!</v>
      </c>
      <c r="Q93" s="294" cm="1">
        <f t="array" ref="Q93">SUM(IF('Pipe Audit'!$D$3:$D$82=$A93,IF('Pipe Audit'!$AJ$3:$AJ$82=1,'Pipe Audit'!$K$3:$K$82)))</f>
        <v>0</v>
      </c>
      <c r="R93" s="294">
        <f t="array" ref="R93">SUM(IF('Pipe Audit'!$D$3:$D$82=$A93,IF('Pipe Audit'!$Q$3:$Q$82=1,'Pipe Audit'!$K$3:$K$82)))</f>
        <v>0</v>
      </c>
      <c r="S93" s="294" cm="1">
        <f t="array" ref="S93">SUM(IF('Pipe Audit'!$D$3:$D$82=$A93,IF('Pipe Audit'!$U$3:$U$82&gt;0.25,'Pipe Audit'!$AJ$3:$AJ$82)))</f>
        <v>0</v>
      </c>
      <c r="T93" s="294">
        <f t="array" ref="T93">SUM(IF('Pipe Audit'!$D$3:$D$82=$A93,IF('Pipe Audit'!$U$3:$U$82&gt;0.2,'Pipe Audit'!$K$3:$K$82)))</f>
        <v>0</v>
      </c>
      <c r="U93" s="295">
        <f t="shared" si="25"/>
        <v>0</v>
      </c>
      <c r="V93" s="296" t="e">
        <f t="shared" si="26"/>
        <v>#DIV/0!</v>
      </c>
    </row>
    <row r="94" spans="1:22" ht="22.5" x14ac:dyDescent="0.45">
      <c r="A94" s="306" t="s">
        <v>326</v>
      </c>
      <c r="B94" s="307">
        <v>209</v>
      </c>
      <c r="C94" s="308" t="s">
        <v>458</v>
      </c>
      <c r="D94" s="288"/>
      <c r="E94" s="289">
        <f>SUMIF('Pipe Audit'!$D$3:$D$82,A94,'Pipe Audit'!$K$3:$K$82)</f>
        <v>0</v>
      </c>
      <c r="F94" s="289">
        <f>SUMIF('Pipe Audit'!$D$3:$D$82,A94,'Pipe Audit'!$O$3:$O$82)</f>
        <v>0</v>
      </c>
      <c r="G94" s="289">
        <f t="shared" si="19"/>
        <v>0</v>
      </c>
      <c r="H94" s="290" t="e">
        <f t="shared" si="20"/>
        <v>#DIV/0!</v>
      </c>
      <c r="I94" s="289">
        <f>SUMIF('Pipe Audit'!$D$3:$D$82,A94,'Pipe Audit'!$BD$3:$BD$82)</f>
        <v>0</v>
      </c>
      <c r="J94" s="289">
        <f>SUMIF('Pipe Audit'!$D$3:$D$82,A94,'Pipe Audit'!$BE$3:$BE$82)</f>
        <v>0</v>
      </c>
      <c r="K94" s="289">
        <f t="shared" si="21"/>
        <v>0</v>
      </c>
      <c r="L94" s="291" t="e">
        <f t="shared" si="22"/>
        <v>#DIV/0!</v>
      </c>
      <c r="M94" s="289">
        <f>SUMIF('Pipe Audit'!$D$3:$D$82,A94,'Pipe Audit'!$AJ$3:$AJ$82)</f>
        <v>0</v>
      </c>
      <c r="N94" s="292" cm="1">
        <f t="array" ref="N94">SUM(IF('Pipe Audit'!$D$3:$D$82=$A94,IF('Pipe Audit'!$Q$3:$Q$82=1,'Pipe Audit'!$AJ$3:$AJ$82)))</f>
        <v>0</v>
      </c>
      <c r="O94" s="292">
        <f t="shared" si="23"/>
        <v>0</v>
      </c>
      <c r="P94" s="293" t="e">
        <f t="shared" si="24"/>
        <v>#DIV/0!</v>
      </c>
      <c r="Q94" s="294" cm="1">
        <f t="array" ref="Q94">SUM(IF('Pipe Audit'!$D$3:$D$82=$A94,IF('Pipe Audit'!$AJ$3:$AJ$82=1,'Pipe Audit'!$K$3:$K$82)))</f>
        <v>0</v>
      </c>
      <c r="R94" s="294">
        <f t="array" ref="R94">SUM(IF('Pipe Audit'!$D$3:$D$82=$A94,IF('Pipe Audit'!$Q$3:$Q$82=1,'Pipe Audit'!$K$3:$K$82)))</f>
        <v>0</v>
      </c>
      <c r="S94" s="294" cm="1">
        <f t="array" ref="S94">SUM(IF('Pipe Audit'!$D$3:$D$82=$A94,IF('Pipe Audit'!$U$3:$U$82&gt;0.25,'Pipe Audit'!$AJ$3:$AJ$82)))</f>
        <v>0</v>
      </c>
      <c r="T94" s="294">
        <f t="array" ref="T94">SUM(IF('Pipe Audit'!$D$3:$D$82=$A94,IF('Pipe Audit'!$U$3:$U$82&gt;0.2,'Pipe Audit'!$K$3:$K$82)))</f>
        <v>0</v>
      </c>
      <c r="U94" s="295">
        <f t="shared" si="25"/>
        <v>0</v>
      </c>
      <c r="V94" s="296" t="e">
        <f t="shared" si="26"/>
        <v>#DIV/0!</v>
      </c>
    </row>
    <row r="95" spans="1:22" ht="22.5" x14ac:dyDescent="0.45">
      <c r="A95" s="306" t="s">
        <v>192</v>
      </c>
      <c r="B95" s="307">
        <v>209</v>
      </c>
      <c r="C95" s="308" t="s">
        <v>459</v>
      </c>
      <c r="D95" s="288"/>
      <c r="E95" s="289">
        <f>SUMIF('Pipe Audit'!$D$3:$D$82,A95,'Pipe Audit'!$K$3:$K$82)</f>
        <v>0</v>
      </c>
      <c r="F95" s="289">
        <f>SUMIF('Pipe Audit'!$D$3:$D$82,A95,'Pipe Audit'!$O$3:$O$82)</f>
        <v>0</v>
      </c>
      <c r="G95" s="289">
        <f t="shared" si="19"/>
        <v>0</v>
      </c>
      <c r="H95" s="290" t="e">
        <f t="shared" si="20"/>
        <v>#DIV/0!</v>
      </c>
      <c r="I95" s="289">
        <f>SUMIF('Pipe Audit'!$D$3:$D$82,A95,'Pipe Audit'!$BD$3:$BD$82)</f>
        <v>0</v>
      </c>
      <c r="J95" s="289">
        <f>SUMIF('Pipe Audit'!$D$3:$D$82,A95,'Pipe Audit'!$BE$3:$BE$82)</f>
        <v>0</v>
      </c>
      <c r="K95" s="289">
        <f t="shared" si="21"/>
        <v>0</v>
      </c>
      <c r="L95" s="291" t="e">
        <f t="shared" si="22"/>
        <v>#DIV/0!</v>
      </c>
      <c r="M95" s="289">
        <f>SUMIF('Pipe Audit'!$D$3:$D$82,A95,'Pipe Audit'!$AJ$3:$AJ$82)</f>
        <v>0</v>
      </c>
      <c r="N95" s="292" cm="1">
        <f t="array" ref="N95">SUM(IF('Pipe Audit'!$D$3:$D$82=$A95,IF('Pipe Audit'!$Q$3:$Q$82=1,'Pipe Audit'!$AJ$3:$AJ$82)))</f>
        <v>0</v>
      </c>
      <c r="O95" s="292">
        <f t="shared" si="23"/>
        <v>0</v>
      </c>
      <c r="P95" s="293" t="e">
        <f t="shared" si="24"/>
        <v>#DIV/0!</v>
      </c>
      <c r="Q95" s="294" cm="1">
        <f t="array" ref="Q95">SUM(IF('Pipe Audit'!$D$3:$D$82=$A95,IF('Pipe Audit'!$AJ$3:$AJ$82=1,'Pipe Audit'!$K$3:$K$82)))</f>
        <v>0</v>
      </c>
      <c r="R95" s="294">
        <f t="array" ref="R95">SUM(IF('Pipe Audit'!$D$3:$D$82=$A95,IF('Pipe Audit'!$Q$3:$Q$82=1,'Pipe Audit'!$K$3:$K$82)))</f>
        <v>0</v>
      </c>
      <c r="S95" s="294" cm="1">
        <f t="array" ref="S95">SUM(IF('Pipe Audit'!$D$3:$D$82=$A95,IF('Pipe Audit'!$U$3:$U$82&gt;0.25,'Pipe Audit'!$AJ$3:$AJ$82)))</f>
        <v>0</v>
      </c>
      <c r="T95" s="294">
        <f t="array" ref="T95">SUM(IF('Pipe Audit'!$D$3:$D$82=$A95,IF('Pipe Audit'!$U$3:$U$82&gt;0.2,'Pipe Audit'!$K$3:$K$82)))</f>
        <v>0</v>
      </c>
      <c r="U95" s="295">
        <f t="shared" si="25"/>
        <v>0</v>
      </c>
      <c r="V95" s="296" t="e">
        <f t="shared" si="26"/>
        <v>#DIV/0!</v>
      </c>
    </row>
    <row r="96" spans="1:22" ht="22.5" x14ac:dyDescent="0.45">
      <c r="A96" s="306" t="s">
        <v>327</v>
      </c>
      <c r="B96" s="307">
        <v>209</v>
      </c>
      <c r="C96" s="308" t="s">
        <v>460</v>
      </c>
      <c r="D96" s="288"/>
      <c r="E96" s="289">
        <f>SUMIF('Pipe Audit'!$D$3:$D$82,A96,'Pipe Audit'!$K$3:$K$82)</f>
        <v>0</v>
      </c>
      <c r="F96" s="289">
        <f>SUMIF('Pipe Audit'!$D$3:$D$82,A96,'Pipe Audit'!$O$3:$O$82)</f>
        <v>0</v>
      </c>
      <c r="G96" s="289">
        <f t="shared" si="19"/>
        <v>0</v>
      </c>
      <c r="H96" s="290" t="e">
        <f t="shared" si="20"/>
        <v>#DIV/0!</v>
      </c>
      <c r="I96" s="289">
        <f>SUMIF('Pipe Audit'!$D$3:$D$82,A96,'Pipe Audit'!$BD$3:$BD$82)</f>
        <v>0</v>
      </c>
      <c r="J96" s="289">
        <f>SUMIF('Pipe Audit'!$D$3:$D$82,A96,'Pipe Audit'!$BE$3:$BE$82)</f>
        <v>0</v>
      </c>
      <c r="K96" s="289">
        <f t="shared" si="21"/>
        <v>0</v>
      </c>
      <c r="L96" s="291" t="e">
        <f t="shared" si="22"/>
        <v>#DIV/0!</v>
      </c>
      <c r="M96" s="289">
        <f>SUMIF('Pipe Audit'!$D$3:$D$82,A96,'Pipe Audit'!$AJ$3:$AJ$82)</f>
        <v>0</v>
      </c>
      <c r="N96" s="292" cm="1">
        <f t="array" ref="N96">SUM(IF('Pipe Audit'!$D$3:$D$82=$A96,IF('Pipe Audit'!$Q$3:$Q$82=1,'Pipe Audit'!$AJ$3:$AJ$82)))</f>
        <v>0</v>
      </c>
      <c r="O96" s="292">
        <f t="shared" si="23"/>
        <v>0</v>
      </c>
      <c r="P96" s="293" t="e">
        <f t="shared" si="24"/>
        <v>#DIV/0!</v>
      </c>
      <c r="Q96" s="294" cm="1">
        <f t="array" ref="Q96">SUM(IF('Pipe Audit'!$D$3:$D$82=$A96,IF('Pipe Audit'!$AJ$3:$AJ$82=1,'Pipe Audit'!$K$3:$K$82)))</f>
        <v>0</v>
      </c>
      <c r="R96" s="294">
        <f t="array" ref="R96">SUM(IF('Pipe Audit'!$D$3:$D$82=$A96,IF('Pipe Audit'!$Q$3:$Q$82=1,'Pipe Audit'!$K$3:$K$82)))</f>
        <v>0</v>
      </c>
      <c r="S96" s="294" cm="1">
        <f t="array" ref="S96">SUM(IF('Pipe Audit'!$D$3:$D$82=$A96,IF('Pipe Audit'!$U$3:$U$82&gt;0.25,'Pipe Audit'!$AJ$3:$AJ$82)))</f>
        <v>0</v>
      </c>
      <c r="T96" s="294">
        <f t="array" ref="T96">SUM(IF('Pipe Audit'!$D$3:$D$82=$A96,IF('Pipe Audit'!$U$3:$U$82&gt;0.2,'Pipe Audit'!$K$3:$K$82)))</f>
        <v>0</v>
      </c>
      <c r="U96" s="295">
        <f t="shared" si="25"/>
        <v>0</v>
      </c>
      <c r="V96" s="296" t="e">
        <f t="shared" si="26"/>
        <v>#DIV/0!</v>
      </c>
    </row>
    <row r="97" spans="1:22" ht="22.5" x14ac:dyDescent="0.45">
      <c r="A97" s="306" t="s">
        <v>208</v>
      </c>
      <c r="B97" s="307">
        <v>209</v>
      </c>
      <c r="C97" s="308" t="s">
        <v>461</v>
      </c>
      <c r="D97" s="288"/>
      <c r="E97" s="289">
        <f>SUMIF('Pipe Audit'!$D$3:$D$82,A97,'Pipe Audit'!$K$3:$K$82)</f>
        <v>0</v>
      </c>
      <c r="F97" s="289">
        <f>SUMIF('Pipe Audit'!$D$3:$D$82,A97,'Pipe Audit'!$O$3:$O$82)</f>
        <v>0</v>
      </c>
      <c r="G97" s="289">
        <f t="shared" si="19"/>
        <v>0</v>
      </c>
      <c r="H97" s="290" t="e">
        <f t="shared" si="20"/>
        <v>#DIV/0!</v>
      </c>
      <c r="I97" s="289">
        <f>SUMIF('Pipe Audit'!$D$3:$D$82,A97,'Pipe Audit'!$BD$3:$BD$82)</f>
        <v>0</v>
      </c>
      <c r="J97" s="289">
        <f>SUMIF('Pipe Audit'!$D$3:$D$82,A97,'Pipe Audit'!$BE$3:$BE$82)</f>
        <v>0</v>
      </c>
      <c r="K97" s="289">
        <f t="shared" si="21"/>
        <v>0</v>
      </c>
      <c r="L97" s="291" t="e">
        <f t="shared" si="22"/>
        <v>#DIV/0!</v>
      </c>
      <c r="M97" s="289">
        <f>SUMIF('Pipe Audit'!$D$3:$D$82,A97,'Pipe Audit'!$AJ$3:$AJ$82)</f>
        <v>0</v>
      </c>
      <c r="N97" s="292" cm="1">
        <f t="array" ref="N97">SUM(IF('Pipe Audit'!$D$3:$D$82=$A97,IF('Pipe Audit'!$Q$3:$Q$82=1,'Pipe Audit'!$AJ$3:$AJ$82)))</f>
        <v>0</v>
      </c>
      <c r="O97" s="292">
        <f t="shared" si="23"/>
        <v>0</v>
      </c>
      <c r="P97" s="293" t="e">
        <f t="shared" si="24"/>
        <v>#DIV/0!</v>
      </c>
      <c r="Q97" s="294" cm="1">
        <f t="array" ref="Q97">SUM(IF('Pipe Audit'!$D$3:$D$82=$A97,IF('Pipe Audit'!$AJ$3:$AJ$82=1,'Pipe Audit'!$K$3:$K$82)))</f>
        <v>0</v>
      </c>
      <c r="R97" s="294">
        <f t="array" ref="R97">SUM(IF('Pipe Audit'!$D$3:$D$82=$A97,IF('Pipe Audit'!$Q$3:$Q$82=1,'Pipe Audit'!$K$3:$K$82)))</f>
        <v>0</v>
      </c>
      <c r="S97" s="294" cm="1">
        <f t="array" ref="S97">SUM(IF('Pipe Audit'!$D$3:$D$82=$A97,IF('Pipe Audit'!$U$3:$U$82&gt;0.25,'Pipe Audit'!$AJ$3:$AJ$82)))</f>
        <v>0</v>
      </c>
      <c r="T97" s="294">
        <f t="array" ref="T97">SUM(IF('Pipe Audit'!$D$3:$D$82=$A97,IF('Pipe Audit'!$U$3:$U$82&gt;0.2,'Pipe Audit'!$K$3:$K$82)))</f>
        <v>0</v>
      </c>
      <c r="U97" s="295">
        <f t="shared" si="25"/>
        <v>0</v>
      </c>
      <c r="V97" s="296" t="e">
        <f t="shared" si="26"/>
        <v>#DIV/0!</v>
      </c>
    </row>
    <row r="98" spans="1:22" ht="22.5" x14ac:dyDescent="0.45">
      <c r="A98" s="306" t="s">
        <v>328</v>
      </c>
      <c r="B98" s="307">
        <v>209</v>
      </c>
      <c r="C98" s="308" t="s">
        <v>462</v>
      </c>
      <c r="D98" s="288"/>
      <c r="E98" s="289">
        <f>SUMIF('Pipe Audit'!$D$3:$D$82,A98,'Pipe Audit'!$K$3:$K$82)</f>
        <v>0</v>
      </c>
      <c r="F98" s="289">
        <f>SUMIF('Pipe Audit'!$D$3:$D$82,A98,'Pipe Audit'!$O$3:$O$82)</f>
        <v>0</v>
      </c>
      <c r="G98" s="289">
        <f t="shared" si="19"/>
        <v>0</v>
      </c>
      <c r="H98" s="290" t="e">
        <f t="shared" si="20"/>
        <v>#DIV/0!</v>
      </c>
      <c r="I98" s="289">
        <f>SUMIF('Pipe Audit'!$D$3:$D$82,A98,'Pipe Audit'!$BD$3:$BD$82)</f>
        <v>0</v>
      </c>
      <c r="J98" s="289">
        <f>SUMIF('Pipe Audit'!$D$3:$D$82,A98,'Pipe Audit'!$BE$3:$BE$82)</f>
        <v>0</v>
      </c>
      <c r="K98" s="289">
        <f t="shared" si="21"/>
        <v>0</v>
      </c>
      <c r="L98" s="291" t="e">
        <f t="shared" si="22"/>
        <v>#DIV/0!</v>
      </c>
      <c r="M98" s="289">
        <f>SUMIF('Pipe Audit'!$D$3:$D$82,A98,'Pipe Audit'!$AJ$3:$AJ$82)</f>
        <v>0</v>
      </c>
      <c r="N98" s="292" cm="1">
        <f t="array" ref="N98">SUM(IF('Pipe Audit'!$D$3:$D$82=$A98,IF('Pipe Audit'!$Q$3:$Q$82=1,'Pipe Audit'!$AJ$3:$AJ$82)))</f>
        <v>0</v>
      </c>
      <c r="O98" s="292">
        <f t="shared" si="23"/>
        <v>0</v>
      </c>
      <c r="P98" s="293" t="e">
        <f t="shared" si="24"/>
        <v>#DIV/0!</v>
      </c>
      <c r="Q98" s="294" cm="1">
        <f t="array" ref="Q98">SUM(IF('Pipe Audit'!$D$3:$D$82=$A98,IF('Pipe Audit'!$AJ$3:$AJ$82=1,'Pipe Audit'!$K$3:$K$82)))</f>
        <v>0</v>
      </c>
      <c r="R98" s="294">
        <f t="array" ref="R98">SUM(IF('Pipe Audit'!$D$3:$D$82=$A98,IF('Pipe Audit'!$Q$3:$Q$82=1,'Pipe Audit'!$K$3:$K$82)))</f>
        <v>0</v>
      </c>
      <c r="S98" s="294" cm="1">
        <f t="array" ref="S98">SUM(IF('Pipe Audit'!$D$3:$D$82=$A98,IF('Pipe Audit'!$U$3:$U$82&gt;0.25,'Pipe Audit'!$AJ$3:$AJ$82)))</f>
        <v>0</v>
      </c>
      <c r="T98" s="294">
        <f t="array" ref="T98">SUM(IF('Pipe Audit'!$D$3:$D$82=$A98,IF('Pipe Audit'!$U$3:$U$82&gt;0.2,'Pipe Audit'!$K$3:$K$82)))</f>
        <v>0</v>
      </c>
      <c r="U98" s="295">
        <f t="shared" si="25"/>
        <v>0</v>
      </c>
      <c r="V98" s="296" t="e">
        <f t="shared" si="26"/>
        <v>#DIV/0!</v>
      </c>
    </row>
    <row r="99" spans="1:22" ht="22.5" x14ac:dyDescent="0.45">
      <c r="A99" s="306" t="s">
        <v>196</v>
      </c>
      <c r="B99" s="307">
        <v>210</v>
      </c>
      <c r="C99" s="308" t="s">
        <v>463</v>
      </c>
      <c r="D99" s="288"/>
      <c r="E99" s="289">
        <f>SUMIF('Pipe Audit'!$D$3:$D$82,A99,'Pipe Audit'!$K$3:$K$82)</f>
        <v>0</v>
      </c>
      <c r="F99" s="289">
        <f>SUMIF('Pipe Audit'!$D$3:$D$82,A99,'Pipe Audit'!$O$3:$O$82)</f>
        <v>0</v>
      </c>
      <c r="G99" s="289">
        <f t="shared" ref="G99:G130" si="27">E99-F99</f>
        <v>0</v>
      </c>
      <c r="H99" s="290" t="e">
        <f t="shared" ref="H99:H130" si="28">F99/E99</f>
        <v>#DIV/0!</v>
      </c>
      <c r="I99" s="289">
        <f>SUMIF('Pipe Audit'!$D$3:$D$82,A99,'Pipe Audit'!$BD$3:$BD$82)</f>
        <v>0</v>
      </c>
      <c r="J99" s="289">
        <f>SUMIF('Pipe Audit'!$D$3:$D$82,A99,'Pipe Audit'!$BE$3:$BE$82)</f>
        <v>0</v>
      </c>
      <c r="K99" s="289">
        <f t="shared" ref="K99:K130" si="29">I99-J99</f>
        <v>0</v>
      </c>
      <c r="L99" s="291" t="e">
        <f t="shared" ref="L99:L130" si="30">J99/I99</f>
        <v>#DIV/0!</v>
      </c>
      <c r="M99" s="289">
        <f>SUMIF('Pipe Audit'!$D$3:$D$82,A99,'Pipe Audit'!$AJ$3:$AJ$82)</f>
        <v>0</v>
      </c>
      <c r="N99" s="292" cm="1">
        <f t="array" ref="N99">SUM(IF('Pipe Audit'!$D$3:$D$82=$A99,IF('Pipe Audit'!$Q$3:$Q$82=1,'Pipe Audit'!$AJ$3:$AJ$82)))</f>
        <v>0</v>
      </c>
      <c r="O99" s="292">
        <f t="shared" ref="O99:O130" si="31">M99-N99</f>
        <v>0</v>
      </c>
      <c r="P99" s="293" t="e">
        <f t="shared" ref="P99:P130" si="32">N99/M99</f>
        <v>#DIV/0!</v>
      </c>
      <c r="Q99" s="294" cm="1">
        <f t="array" ref="Q99">SUM(IF('Pipe Audit'!$D$3:$D$82=$A99,IF('Pipe Audit'!$AJ$3:$AJ$82=1,'Pipe Audit'!$K$3:$K$82)))</f>
        <v>0</v>
      </c>
      <c r="R99" s="294">
        <f t="array" ref="R99">SUM(IF('Pipe Audit'!$D$3:$D$82=$A99,IF('Pipe Audit'!$Q$3:$Q$82=1,'Pipe Audit'!$K$3:$K$82)))</f>
        <v>0</v>
      </c>
      <c r="S99" s="294" cm="1">
        <f t="array" ref="S99">SUM(IF('Pipe Audit'!$D$3:$D$82=$A99,IF('Pipe Audit'!$U$3:$U$82&gt;0.25,'Pipe Audit'!$AJ$3:$AJ$82)))</f>
        <v>0</v>
      </c>
      <c r="T99" s="294">
        <f t="array" ref="T99">SUM(IF('Pipe Audit'!$D$3:$D$82=$A99,IF('Pipe Audit'!$U$3:$U$82&gt;0.2,'Pipe Audit'!$K$3:$K$82)))</f>
        <v>0</v>
      </c>
      <c r="U99" s="295">
        <f t="shared" ref="U99:U130" si="33">SUM(M99-S99)</f>
        <v>0</v>
      </c>
      <c r="V99" s="296" t="e">
        <f t="shared" ref="V99:V130" si="34">SUM(S99/M99)</f>
        <v>#DIV/0!</v>
      </c>
    </row>
    <row r="100" spans="1:22" ht="22.5" x14ac:dyDescent="0.45">
      <c r="A100" s="306" t="s">
        <v>235</v>
      </c>
      <c r="B100" s="307">
        <v>210</v>
      </c>
      <c r="C100" s="308" t="s">
        <v>464</v>
      </c>
      <c r="D100" s="288"/>
      <c r="E100" s="289">
        <f>SUMIF('Pipe Audit'!$D$3:$D$82,A100,'Pipe Audit'!$K$3:$K$82)</f>
        <v>0</v>
      </c>
      <c r="F100" s="289">
        <f>SUMIF('Pipe Audit'!$D$3:$D$82,A100,'Pipe Audit'!$O$3:$O$82)</f>
        <v>0</v>
      </c>
      <c r="G100" s="289">
        <f t="shared" si="27"/>
        <v>0</v>
      </c>
      <c r="H100" s="290" t="e">
        <f t="shared" si="28"/>
        <v>#DIV/0!</v>
      </c>
      <c r="I100" s="289">
        <f>SUMIF('Pipe Audit'!$D$3:$D$82,A100,'Pipe Audit'!$BD$3:$BD$82)</f>
        <v>0</v>
      </c>
      <c r="J100" s="289">
        <f>SUMIF('Pipe Audit'!$D$3:$D$82,A100,'Pipe Audit'!$BE$3:$BE$82)</f>
        <v>0</v>
      </c>
      <c r="K100" s="289">
        <f t="shared" si="29"/>
        <v>0</v>
      </c>
      <c r="L100" s="291" t="e">
        <f t="shared" si="30"/>
        <v>#DIV/0!</v>
      </c>
      <c r="M100" s="289">
        <f>SUMIF('Pipe Audit'!$D$3:$D$82,A100,'Pipe Audit'!$AJ$3:$AJ$82)</f>
        <v>0</v>
      </c>
      <c r="N100" s="292" cm="1">
        <f t="array" ref="N100">SUM(IF('Pipe Audit'!$D$3:$D$82=$A100,IF('Pipe Audit'!$Q$3:$Q$82=1,'Pipe Audit'!$AJ$3:$AJ$82)))</f>
        <v>0</v>
      </c>
      <c r="O100" s="292">
        <f t="shared" si="31"/>
        <v>0</v>
      </c>
      <c r="P100" s="293" t="e">
        <f t="shared" si="32"/>
        <v>#DIV/0!</v>
      </c>
      <c r="Q100" s="294" cm="1">
        <f t="array" ref="Q100">SUM(IF('Pipe Audit'!$D$3:$D$82=$A100,IF('Pipe Audit'!$AJ$3:$AJ$82=1,'Pipe Audit'!$K$3:$K$82)))</f>
        <v>0</v>
      </c>
      <c r="R100" s="294">
        <f t="array" ref="R100">SUM(IF('Pipe Audit'!$D$3:$D$82=$A100,IF('Pipe Audit'!$Q$3:$Q$82=1,'Pipe Audit'!$K$3:$K$82)))</f>
        <v>0</v>
      </c>
      <c r="S100" s="294" cm="1">
        <f t="array" ref="S100">SUM(IF('Pipe Audit'!$D$3:$D$82=$A100,IF('Pipe Audit'!$U$3:$U$82&gt;0.25,'Pipe Audit'!$AJ$3:$AJ$82)))</f>
        <v>0</v>
      </c>
      <c r="T100" s="294">
        <f t="array" ref="T100">SUM(IF('Pipe Audit'!$D$3:$D$82=$A100,IF('Pipe Audit'!$U$3:$U$82&gt;0.2,'Pipe Audit'!$K$3:$K$82)))</f>
        <v>0</v>
      </c>
      <c r="U100" s="295">
        <f t="shared" si="33"/>
        <v>0</v>
      </c>
      <c r="V100" s="296" t="e">
        <f t="shared" si="34"/>
        <v>#DIV/0!</v>
      </c>
    </row>
    <row r="101" spans="1:22" ht="22.5" x14ac:dyDescent="0.45">
      <c r="A101" s="306" t="s">
        <v>185</v>
      </c>
      <c r="B101" s="307">
        <v>210</v>
      </c>
      <c r="C101" s="308" t="s">
        <v>465</v>
      </c>
      <c r="D101" s="288"/>
      <c r="E101" s="289">
        <f>SUMIF('Pipe Audit'!$D$3:$D$82,A101,'Pipe Audit'!$K$3:$K$82)</f>
        <v>0</v>
      </c>
      <c r="F101" s="289">
        <f>SUMIF('Pipe Audit'!$D$3:$D$82,A101,'Pipe Audit'!$O$3:$O$82)</f>
        <v>0</v>
      </c>
      <c r="G101" s="289">
        <f t="shared" si="27"/>
        <v>0</v>
      </c>
      <c r="H101" s="290" t="e">
        <f t="shared" si="28"/>
        <v>#DIV/0!</v>
      </c>
      <c r="I101" s="289">
        <f>SUMIF('Pipe Audit'!$D$3:$D$82,A101,'Pipe Audit'!$BD$3:$BD$82)</f>
        <v>0</v>
      </c>
      <c r="J101" s="289">
        <f>SUMIF('Pipe Audit'!$D$3:$D$82,A101,'Pipe Audit'!$BE$3:$BE$82)</f>
        <v>0</v>
      </c>
      <c r="K101" s="289">
        <f t="shared" si="29"/>
        <v>0</v>
      </c>
      <c r="L101" s="291" t="e">
        <f t="shared" si="30"/>
        <v>#DIV/0!</v>
      </c>
      <c r="M101" s="289">
        <f>SUMIF('Pipe Audit'!$D$3:$D$82,A101,'Pipe Audit'!$AJ$3:$AJ$82)</f>
        <v>0</v>
      </c>
      <c r="N101" s="292" cm="1">
        <f t="array" ref="N101">SUM(IF('Pipe Audit'!$D$3:$D$82=$A101,IF('Pipe Audit'!$Q$3:$Q$82=1,'Pipe Audit'!$AJ$3:$AJ$82)))</f>
        <v>0</v>
      </c>
      <c r="O101" s="292">
        <f t="shared" si="31"/>
        <v>0</v>
      </c>
      <c r="P101" s="293" t="e">
        <f t="shared" si="32"/>
        <v>#DIV/0!</v>
      </c>
      <c r="Q101" s="294" cm="1">
        <f t="array" ref="Q101">SUM(IF('Pipe Audit'!$D$3:$D$82=$A101,IF('Pipe Audit'!$AJ$3:$AJ$82=1,'Pipe Audit'!$K$3:$K$82)))</f>
        <v>0</v>
      </c>
      <c r="R101" s="294">
        <f t="array" ref="R101">SUM(IF('Pipe Audit'!$D$3:$D$82=$A101,IF('Pipe Audit'!$Q$3:$Q$82=1,'Pipe Audit'!$K$3:$K$82)))</f>
        <v>0</v>
      </c>
      <c r="S101" s="294" cm="1">
        <f t="array" ref="S101">SUM(IF('Pipe Audit'!$D$3:$D$82=$A101,IF('Pipe Audit'!$U$3:$U$82&gt;0.25,'Pipe Audit'!$AJ$3:$AJ$82)))</f>
        <v>0</v>
      </c>
      <c r="T101" s="294">
        <f t="array" ref="T101">SUM(IF('Pipe Audit'!$D$3:$D$82=$A101,IF('Pipe Audit'!$U$3:$U$82&gt;0.2,'Pipe Audit'!$K$3:$K$82)))</f>
        <v>0</v>
      </c>
      <c r="U101" s="295">
        <f t="shared" si="33"/>
        <v>0</v>
      </c>
      <c r="V101" s="296" t="e">
        <f t="shared" si="34"/>
        <v>#DIV/0!</v>
      </c>
    </row>
    <row r="102" spans="1:22" ht="22.5" x14ac:dyDescent="0.45">
      <c r="A102" s="306" t="s">
        <v>157</v>
      </c>
      <c r="B102" s="307">
        <v>210</v>
      </c>
      <c r="C102" s="308" t="s">
        <v>466</v>
      </c>
      <c r="D102" s="288"/>
      <c r="E102" s="289">
        <f>SUMIF('Pipe Audit'!$D$3:$D$82,A102,'Pipe Audit'!$K$3:$K$82)</f>
        <v>0</v>
      </c>
      <c r="F102" s="289">
        <f>SUMIF('Pipe Audit'!$D$3:$D$82,A102,'Pipe Audit'!$O$3:$O$82)</f>
        <v>0</v>
      </c>
      <c r="G102" s="289">
        <f t="shared" si="27"/>
        <v>0</v>
      </c>
      <c r="H102" s="290" t="e">
        <f t="shared" si="28"/>
        <v>#DIV/0!</v>
      </c>
      <c r="I102" s="289">
        <f>SUMIF('Pipe Audit'!$D$3:$D$82,A102,'Pipe Audit'!$BD$3:$BD$82)</f>
        <v>0</v>
      </c>
      <c r="J102" s="289">
        <f>SUMIF('Pipe Audit'!$D$3:$D$82,A102,'Pipe Audit'!$BE$3:$BE$82)</f>
        <v>0</v>
      </c>
      <c r="K102" s="289">
        <f t="shared" si="29"/>
        <v>0</v>
      </c>
      <c r="L102" s="291" t="e">
        <f t="shared" si="30"/>
        <v>#DIV/0!</v>
      </c>
      <c r="M102" s="289">
        <f>SUMIF('Pipe Audit'!$D$3:$D$82,A102,'Pipe Audit'!$AJ$3:$AJ$82)</f>
        <v>0</v>
      </c>
      <c r="N102" s="292" cm="1">
        <f t="array" ref="N102">SUM(IF('Pipe Audit'!$D$3:$D$82=$A102,IF('Pipe Audit'!$Q$3:$Q$82=1,'Pipe Audit'!$AJ$3:$AJ$82)))</f>
        <v>0</v>
      </c>
      <c r="O102" s="292">
        <f t="shared" si="31"/>
        <v>0</v>
      </c>
      <c r="P102" s="293" t="e">
        <f t="shared" si="32"/>
        <v>#DIV/0!</v>
      </c>
      <c r="Q102" s="294" cm="1">
        <f t="array" ref="Q102">SUM(IF('Pipe Audit'!$D$3:$D$82=$A102,IF('Pipe Audit'!$AJ$3:$AJ$82=1,'Pipe Audit'!$K$3:$K$82)))</f>
        <v>0</v>
      </c>
      <c r="R102" s="294">
        <f t="array" ref="R102">SUM(IF('Pipe Audit'!$D$3:$D$82=$A102,IF('Pipe Audit'!$Q$3:$Q$82=1,'Pipe Audit'!$K$3:$K$82)))</f>
        <v>0</v>
      </c>
      <c r="S102" s="294" cm="1">
        <f t="array" ref="S102">SUM(IF('Pipe Audit'!$D$3:$D$82=$A102,IF('Pipe Audit'!$U$3:$U$82&gt;0.25,'Pipe Audit'!$AJ$3:$AJ$82)))</f>
        <v>0</v>
      </c>
      <c r="T102" s="294">
        <f t="array" ref="T102">SUM(IF('Pipe Audit'!$D$3:$D$82=$A102,IF('Pipe Audit'!$U$3:$U$82&gt;0.2,'Pipe Audit'!$K$3:$K$82)))</f>
        <v>0</v>
      </c>
      <c r="U102" s="295">
        <f t="shared" si="33"/>
        <v>0</v>
      </c>
      <c r="V102" s="296" t="e">
        <f t="shared" si="34"/>
        <v>#DIV/0!</v>
      </c>
    </row>
    <row r="103" spans="1:22" ht="22.5" x14ac:dyDescent="0.45">
      <c r="A103" s="306" t="s">
        <v>320</v>
      </c>
      <c r="B103" s="307">
        <v>211</v>
      </c>
      <c r="C103" s="308" t="s">
        <v>405</v>
      </c>
      <c r="D103" s="288"/>
      <c r="E103" s="289">
        <f>SUMIF('Pipe Audit'!$D$3:$D$82,A103,'Pipe Audit'!$K$3:$K$82)</f>
        <v>0</v>
      </c>
      <c r="F103" s="289">
        <f>SUMIF('Pipe Audit'!$D$3:$D$82,A103,'Pipe Audit'!$O$3:$O$82)</f>
        <v>0</v>
      </c>
      <c r="G103" s="289">
        <f t="shared" si="27"/>
        <v>0</v>
      </c>
      <c r="H103" s="290" t="e">
        <f t="shared" si="28"/>
        <v>#DIV/0!</v>
      </c>
      <c r="I103" s="289">
        <f>SUMIF('Pipe Audit'!$D$3:$D$82,A103,'Pipe Audit'!$BD$3:$BD$82)</f>
        <v>0</v>
      </c>
      <c r="J103" s="289">
        <f>SUMIF('Pipe Audit'!$D$3:$D$82,A103,'Pipe Audit'!$BE$3:$BE$82)</f>
        <v>0</v>
      </c>
      <c r="K103" s="289">
        <f t="shared" si="29"/>
        <v>0</v>
      </c>
      <c r="L103" s="291" t="e">
        <f t="shared" si="30"/>
        <v>#DIV/0!</v>
      </c>
      <c r="M103" s="289">
        <f>SUMIF('Pipe Audit'!$D$3:$D$82,A103,'Pipe Audit'!$AJ$3:$AJ$82)</f>
        <v>0</v>
      </c>
      <c r="N103" s="292" cm="1">
        <f t="array" ref="N103">SUM(IF('Pipe Audit'!$D$3:$D$82=$A103,IF('Pipe Audit'!$Q$3:$Q$82=1,'Pipe Audit'!$AJ$3:$AJ$82)))</f>
        <v>0</v>
      </c>
      <c r="O103" s="292">
        <f t="shared" si="31"/>
        <v>0</v>
      </c>
      <c r="P103" s="293" t="e">
        <f t="shared" si="32"/>
        <v>#DIV/0!</v>
      </c>
      <c r="Q103" s="294" cm="1">
        <f t="array" ref="Q103">SUM(IF('Pipe Audit'!$D$3:$D$82=$A103,IF('Pipe Audit'!$AJ$3:$AJ$82=1,'Pipe Audit'!$K$3:$K$82)))</f>
        <v>0</v>
      </c>
      <c r="R103" s="294">
        <f t="array" ref="R103">SUM(IF('Pipe Audit'!$D$3:$D$82=$A103,IF('Pipe Audit'!$Q$3:$Q$82=1,'Pipe Audit'!$K$3:$K$82)))</f>
        <v>0</v>
      </c>
      <c r="S103" s="294" cm="1">
        <f t="array" ref="S103">SUM(IF('Pipe Audit'!$D$3:$D$82=$A103,IF('Pipe Audit'!$U$3:$U$82&gt;0.25,'Pipe Audit'!$AJ$3:$AJ$82)))</f>
        <v>0</v>
      </c>
      <c r="T103" s="294">
        <f t="array" ref="T103">SUM(IF('Pipe Audit'!$D$3:$D$82=$A103,IF('Pipe Audit'!$U$3:$U$82&gt;0.2,'Pipe Audit'!$K$3:$K$82)))</f>
        <v>0</v>
      </c>
      <c r="U103" s="295">
        <f t="shared" si="33"/>
        <v>0</v>
      </c>
      <c r="V103" s="296" t="e">
        <f t="shared" si="34"/>
        <v>#DIV/0!</v>
      </c>
    </row>
    <row r="104" spans="1:22" ht="22.5" x14ac:dyDescent="0.45">
      <c r="A104" s="306" t="s">
        <v>231</v>
      </c>
      <c r="B104" s="307">
        <v>211</v>
      </c>
      <c r="C104" s="308" t="s">
        <v>406</v>
      </c>
      <c r="D104" s="288"/>
      <c r="E104" s="289">
        <f>SUMIF('Pipe Audit'!$D$3:$D$82,A104,'Pipe Audit'!$K$3:$K$82)</f>
        <v>0</v>
      </c>
      <c r="F104" s="289">
        <f>SUMIF('Pipe Audit'!$D$3:$D$82,A104,'Pipe Audit'!$O$3:$O$82)</f>
        <v>0</v>
      </c>
      <c r="G104" s="289">
        <f t="shared" si="27"/>
        <v>0</v>
      </c>
      <c r="H104" s="290" t="e">
        <f t="shared" si="28"/>
        <v>#DIV/0!</v>
      </c>
      <c r="I104" s="289">
        <f>SUMIF('Pipe Audit'!$D$3:$D$82,A104,'Pipe Audit'!$BD$3:$BD$82)</f>
        <v>0</v>
      </c>
      <c r="J104" s="289">
        <f>SUMIF('Pipe Audit'!$D$3:$D$82,A104,'Pipe Audit'!$BE$3:$BE$82)</f>
        <v>0</v>
      </c>
      <c r="K104" s="289">
        <f t="shared" si="29"/>
        <v>0</v>
      </c>
      <c r="L104" s="291" t="e">
        <f t="shared" si="30"/>
        <v>#DIV/0!</v>
      </c>
      <c r="M104" s="289">
        <f>SUMIF('Pipe Audit'!$D$3:$D$82,A104,'Pipe Audit'!$AJ$3:$AJ$82)</f>
        <v>0</v>
      </c>
      <c r="N104" s="292" cm="1">
        <f t="array" ref="N104">SUM(IF('Pipe Audit'!$D$3:$D$82=$A104,IF('Pipe Audit'!$Q$3:$Q$82=1,'Pipe Audit'!$AJ$3:$AJ$82)))</f>
        <v>0</v>
      </c>
      <c r="O104" s="292">
        <f t="shared" si="31"/>
        <v>0</v>
      </c>
      <c r="P104" s="293" t="e">
        <f t="shared" si="32"/>
        <v>#DIV/0!</v>
      </c>
      <c r="Q104" s="294" cm="1">
        <f t="array" ref="Q104">SUM(IF('Pipe Audit'!$D$3:$D$82=$A104,IF('Pipe Audit'!$AJ$3:$AJ$82=1,'Pipe Audit'!$K$3:$K$82)))</f>
        <v>0</v>
      </c>
      <c r="R104" s="294">
        <f t="array" ref="R104">SUM(IF('Pipe Audit'!$D$3:$D$82=$A104,IF('Pipe Audit'!$Q$3:$Q$82=1,'Pipe Audit'!$K$3:$K$82)))</f>
        <v>0</v>
      </c>
      <c r="S104" s="294" cm="1">
        <f t="array" ref="S104">SUM(IF('Pipe Audit'!$D$3:$D$82=$A104,IF('Pipe Audit'!$U$3:$U$82&gt;0.25,'Pipe Audit'!$AJ$3:$AJ$82)))</f>
        <v>0</v>
      </c>
      <c r="T104" s="294">
        <f t="array" ref="T104">SUM(IF('Pipe Audit'!$D$3:$D$82=$A104,IF('Pipe Audit'!$U$3:$U$82&gt;0.2,'Pipe Audit'!$K$3:$K$82)))</f>
        <v>0</v>
      </c>
      <c r="U104" s="295">
        <f t="shared" si="33"/>
        <v>0</v>
      </c>
      <c r="V104" s="296" t="e">
        <f t="shared" si="34"/>
        <v>#DIV/0!</v>
      </c>
    </row>
    <row r="105" spans="1:22" ht="22.5" x14ac:dyDescent="0.45">
      <c r="A105" s="306" t="s">
        <v>216</v>
      </c>
      <c r="B105" s="307">
        <v>211</v>
      </c>
      <c r="C105" s="308" t="s">
        <v>407</v>
      </c>
      <c r="D105" s="288"/>
      <c r="E105" s="289">
        <f>SUMIF('Pipe Audit'!$D$3:$D$82,A105,'Pipe Audit'!$K$3:$K$82)</f>
        <v>0</v>
      </c>
      <c r="F105" s="289">
        <f>SUMIF('Pipe Audit'!$D$3:$D$82,A105,'Pipe Audit'!$O$3:$O$82)</f>
        <v>0</v>
      </c>
      <c r="G105" s="289">
        <f t="shared" si="27"/>
        <v>0</v>
      </c>
      <c r="H105" s="290" t="e">
        <f t="shared" si="28"/>
        <v>#DIV/0!</v>
      </c>
      <c r="I105" s="289">
        <f>SUMIF('Pipe Audit'!$D$3:$D$82,A105,'Pipe Audit'!$BD$3:$BD$82)</f>
        <v>0</v>
      </c>
      <c r="J105" s="289">
        <f>SUMIF('Pipe Audit'!$D$3:$D$82,A105,'Pipe Audit'!$BE$3:$BE$82)</f>
        <v>0</v>
      </c>
      <c r="K105" s="289">
        <f t="shared" si="29"/>
        <v>0</v>
      </c>
      <c r="L105" s="291" t="e">
        <f t="shared" si="30"/>
        <v>#DIV/0!</v>
      </c>
      <c r="M105" s="289">
        <f>SUMIF('Pipe Audit'!$D$3:$D$82,A105,'Pipe Audit'!$AJ$3:$AJ$82)</f>
        <v>0</v>
      </c>
      <c r="N105" s="292" cm="1">
        <f t="array" ref="N105">SUM(IF('Pipe Audit'!$D$3:$D$82=$A105,IF('Pipe Audit'!$Q$3:$Q$82=1,'Pipe Audit'!$AJ$3:$AJ$82)))</f>
        <v>0</v>
      </c>
      <c r="O105" s="292">
        <f t="shared" si="31"/>
        <v>0</v>
      </c>
      <c r="P105" s="293" t="e">
        <f t="shared" si="32"/>
        <v>#DIV/0!</v>
      </c>
      <c r="Q105" s="294" cm="1">
        <f t="array" ref="Q105">SUM(IF('Pipe Audit'!$D$3:$D$82=$A105,IF('Pipe Audit'!$AJ$3:$AJ$82=1,'Pipe Audit'!$K$3:$K$82)))</f>
        <v>0</v>
      </c>
      <c r="R105" s="294">
        <f t="array" ref="R105">SUM(IF('Pipe Audit'!$D$3:$D$82=$A105,IF('Pipe Audit'!$Q$3:$Q$82=1,'Pipe Audit'!$K$3:$K$82)))</f>
        <v>0</v>
      </c>
      <c r="S105" s="294" cm="1">
        <f t="array" ref="S105">SUM(IF('Pipe Audit'!$D$3:$D$82=$A105,IF('Pipe Audit'!$U$3:$U$82&gt;0.25,'Pipe Audit'!$AJ$3:$AJ$82)))</f>
        <v>0</v>
      </c>
      <c r="T105" s="294">
        <f t="array" ref="T105">SUM(IF('Pipe Audit'!$D$3:$D$82=$A105,IF('Pipe Audit'!$U$3:$U$82&gt;0.2,'Pipe Audit'!$K$3:$K$82)))</f>
        <v>0</v>
      </c>
      <c r="U105" s="295">
        <f t="shared" si="33"/>
        <v>0</v>
      </c>
      <c r="V105" s="296" t="e">
        <f t="shared" si="34"/>
        <v>#DIV/0!</v>
      </c>
    </row>
    <row r="106" spans="1:22" ht="22.5" x14ac:dyDescent="0.45">
      <c r="A106" s="306" t="s">
        <v>215</v>
      </c>
      <c r="B106" s="307">
        <v>211</v>
      </c>
      <c r="C106" s="308" t="s">
        <v>408</v>
      </c>
      <c r="D106" s="288"/>
      <c r="E106" s="289">
        <f>SUMIF('Pipe Audit'!$D$3:$D$82,A106,'Pipe Audit'!$K$3:$K$82)</f>
        <v>0</v>
      </c>
      <c r="F106" s="289">
        <f>SUMIF('Pipe Audit'!$D$3:$D$82,A106,'Pipe Audit'!$O$3:$O$82)</f>
        <v>0</v>
      </c>
      <c r="G106" s="289">
        <f t="shared" si="27"/>
        <v>0</v>
      </c>
      <c r="H106" s="290" t="e">
        <f t="shared" si="28"/>
        <v>#DIV/0!</v>
      </c>
      <c r="I106" s="289">
        <f>SUMIF('Pipe Audit'!$D$3:$D$82,A106,'Pipe Audit'!$BD$3:$BD$82)</f>
        <v>0</v>
      </c>
      <c r="J106" s="289">
        <f>SUMIF('Pipe Audit'!$D$3:$D$82,A106,'Pipe Audit'!$BE$3:$BE$82)</f>
        <v>0</v>
      </c>
      <c r="K106" s="289">
        <f t="shared" si="29"/>
        <v>0</v>
      </c>
      <c r="L106" s="291" t="e">
        <f t="shared" si="30"/>
        <v>#DIV/0!</v>
      </c>
      <c r="M106" s="289">
        <f>SUMIF('Pipe Audit'!$D$3:$D$82,A106,'Pipe Audit'!$AJ$3:$AJ$82)</f>
        <v>0</v>
      </c>
      <c r="N106" s="292" cm="1">
        <f t="array" ref="N106">SUM(IF('Pipe Audit'!$D$3:$D$82=$A106,IF('Pipe Audit'!$Q$3:$Q$82=1,'Pipe Audit'!$AJ$3:$AJ$82)))</f>
        <v>0</v>
      </c>
      <c r="O106" s="292">
        <f t="shared" si="31"/>
        <v>0</v>
      </c>
      <c r="P106" s="293" t="e">
        <f t="shared" si="32"/>
        <v>#DIV/0!</v>
      </c>
      <c r="Q106" s="294" cm="1">
        <f t="array" ref="Q106">SUM(IF('Pipe Audit'!$D$3:$D$82=$A106,IF('Pipe Audit'!$AJ$3:$AJ$82=1,'Pipe Audit'!$K$3:$K$82)))</f>
        <v>0</v>
      </c>
      <c r="R106" s="294">
        <f t="array" ref="R106">SUM(IF('Pipe Audit'!$D$3:$D$82=$A106,IF('Pipe Audit'!$Q$3:$Q$82=1,'Pipe Audit'!$K$3:$K$82)))</f>
        <v>0</v>
      </c>
      <c r="S106" s="294" cm="1">
        <f t="array" ref="S106">SUM(IF('Pipe Audit'!$D$3:$D$82=$A106,IF('Pipe Audit'!$U$3:$U$82&gt;0.25,'Pipe Audit'!$AJ$3:$AJ$82)))</f>
        <v>0</v>
      </c>
      <c r="T106" s="294">
        <f t="array" ref="T106">SUM(IF('Pipe Audit'!$D$3:$D$82=$A106,IF('Pipe Audit'!$U$3:$U$82&gt;0.2,'Pipe Audit'!$K$3:$K$82)))</f>
        <v>0</v>
      </c>
      <c r="U106" s="295">
        <f t="shared" si="33"/>
        <v>0</v>
      </c>
      <c r="V106" s="296" t="e">
        <f t="shared" si="34"/>
        <v>#DIV/0!</v>
      </c>
    </row>
    <row r="107" spans="1:22" ht="22.5" x14ac:dyDescent="0.45">
      <c r="A107" s="306" t="s">
        <v>168</v>
      </c>
      <c r="B107" s="307">
        <v>211</v>
      </c>
      <c r="C107" s="308" t="s">
        <v>409</v>
      </c>
      <c r="D107" s="288"/>
      <c r="E107" s="289">
        <f>SUMIF('Pipe Audit'!$D$3:$D$82,A107,'Pipe Audit'!$K$3:$K$82)</f>
        <v>0</v>
      </c>
      <c r="F107" s="289">
        <f>SUMIF('Pipe Audit'!$D$3:$D$82,A107,'Pipe Audit'!$O$3:$O$82)</f>
        <v>0</v>
      </c>
      <c r="G107" s="289">
        <f t="shared" si="27"/>
        <v>0</v>
      </c>
      <c r="H107" s="290" t="e">
        <f t="shared" si="28"/>
        <v>#DIV/0!</v>
      </c>
      <c r="I107" s="289">
        <f>SUMIF('Pipe Audit'!$D$3:$D$82,A107,'Pipe Audit'!$BD$3:$BD$82)</f>
        <v>0</v>
      </c>
      <c r="J107" s="289">
        <f>SUMIF('Pipe Audit'!$D$3:$D$82,A107,'Pipe Audit'!$BE$3:$BE$82)</f>
        <v>0</v>
      </c>
      <c r="K107" s="289">
        <f t="shared" si="29"/>
        <v>0</v>
      </c>
      <c r="L107" s="291" t="e">
        <f t="shared" si="30"/>
        <v>#DIV/0!</v>
      </c>
      <c r="M107" s="289">
        <f>SUMIF('Pipe Audit'!$D$3:$D$82,A107,'Pipe Audit'!$AJ$3:$AJ$82)</f>
        <v>0</v>
      </c>
      <c r="N107" s="292" cm="1">
        <f t="array" ref="N107">SUM(IF('Pipe Audit'!$D$3:$D$82=$A107,IF('Pipe Audit'!$Q$3:$Q$82=1,'Pipe Audit'!$AJ$3:$AJ$82)))</f>
        <v>0</v>
      </c>
      <c r="O107" s="292">
        <f t="shared" si="31"/>
        <v>0</v>
      </c>
      <c r="P107" s="293" t="e">
        <f t="shared" si="32"/>
        <v>#DIV/0!</v>
      </c>
      <c r="Q107" s="294" cm="1">
        <f t="array" ref="Q107">SUM(IF('Pipe Audit'!$D$3:$D$82=$A107,IF('Pipe Audit'!$AJ$3:$AJ$82=1,'Pipe Audit'!$K$3:$K$82)))</f>
        <v>0</v>
      </c>
      <c r="R107" s="294">
        <f t="array" ref="R107">SUM(IF('Pipe Audit'!$D$3:$D$82=$A107,IF('Pipe Audit'!$Q$3:$Q$82=1,'Pipe Audit'!$K$3:$K$82)))</f>
        <v>0</v>
      </c>
      <c r="S107" s="294" cm="1">
        <f t="array" ref="S107">SUM(IF('Pipe Audit'!$D$3:$D$82=$A107,IF('Pipe Audit'!$U$3:$U$82&gt;0.25,'Pipe Audit'!$AJ$3:$AJ$82)))</f>
        <v>0</v>
      </c>
      <c r="T107" s="294">
        <f t="array" ref="T107">SUM(IF('Pipe Audit'!$D$3:$D$82=$A107,IF('Pipe Audit'!$U$3:$U$82&gt;0.2,'Pipe Audit'!$K$3:$K$82)))</f>
        <v>0</v>
      </c>
      <c r="U107" s="295">
        <f t="shared" si="33"/>
        <v>0</v>
      </c>
      <c r="V107" s="296" t="e">
        <f t="shared" si="34"/>
        <v>#DIV/0!</v>
      </c>
    </row>
    <row r="108" spans="1:22" ht="22.5" x14ac:dyDescent="0.45">
      <c r="A108" s="306" t="s">
        <v>200</v>
      </c>
      <c r="B108" s="307">
        <v>211</v>
      </c>
      <c r="C108" s="308" t="s">
        <v>410</v>
      </c>
      <c r="D108" s="288"/>
      <c r="E108" s="289">
        <f>SUMIF('Pipe Audit'!$D$3:$D$82,A108,'Pipe Audit'!$K$3:$K$82)</f>
        <v>0</v>
      </c>
      <c r="F108" s="289">
        <f>SUMIF('Pipe Audit'!$D$3:$D$82,A108,'Pipe Audit'!$O$3:$O$82)</f>
        <v>0</v>
      </c>
      <c r="G108" s="289">
        <f t="shared" si="27"/>
        <v>0</v>
      </c>
      <c r="H108" s="290" t="e">
        <f t="shared" si="28"/>
        <v>#DIV/0!</v>
      </c>
      <c r="I108" s="289">
        <f>SUMIF('Pipe Audit'!$D$3:$D$82,A108,'Pipe Audit'!$BD$3:$BD$82)</f>
        <v>0</v>
      </c>
      <c r="J108" s="289">
        <f>SUMIF('Pipe Audit'!$D$3:$D$82,A108,'Pipe Audit'!$BE$3:$BE$82)</f>
        <v>0</v>
      </c>
      <c r="K108" s="289">
        <f t="shared" si="29"/>
        <v>0</v>
      </c>
      <c r="L108" s="291" t="e">
        <f t="shared" si="30"/>
        <v>#DIV/0!</v>
      </c>
      <c r="M108" s="289">
        <f>SUMIF('Pipe Audit'!$D$3:$D$82,A108,'Pipe Audit'!$AJ$3:$AJ$82)</f>
        <v>0</v>
      </c>
      <c r="N108" s="292" cm="1">
        <f t="array" ref="N108">SUM(IF('Pipe Audit'!$D$3:$D$82=$A108,IF('Pipe Audit'!$Q$3:$Q$82=1,'Pipe Audit'!$AJ$3:$AJ$82)))</f>
        <v>0</v>
      </c>
      <c r="O108" s="292">
        <f t="shared" si="31"/>
        <v>0</v>
      </c>
      <c r="P108" s="293" t="e">
        <f t="shared" si="32"/>
        <v>#DIV/0!</v>
      </c>
      <c r="Q108" s="294" cm="1">
        <f t="array" ref="Q108">SUM(IF('Pipe Audit'!$D$3:$D$82=$A108,IF('Pipe Audit'!$AJ$3:$AJ$82=1,'Pipe Audit'!$K$3:$K$82)))</f>
        <v>0</v>
      </c>
      <c r="R108" s="294">
        <f t="array" ref="R108">SUM(IF('Pipe Audit'!$D$3:$D$82=$A108,IF('Pipe Audit'!$Q$3:$Q$82=1,'Pipe Audit'!$K$3:$K$82)))</f>
        <v>0</v>
      </c>
      <c r="S108" s="294" cm="1">
        <f t="array" ref="S108">SUM(IF('Pipe Audit'!$D$3:$D$82=$A108,IF('Pipe Audit'!$U$3:$U$82&gt;0.25,'Pipe Audit'!$AJ$3:$AJ$82)))</f>
        <v>0</v>
      </c>
      <c r="T108" s="294">
        <f t="array" ref="T108">SUM(IF('Pipe Audit'!$D$3:$D$82=$A108,IF('Pipe Audit'!$U$3:$U$82&gt;0.2,'Pipe Audit'!$K$3:$K$82)))</f>
        <v>0</v>
      </c>
      <c r="U108" s="295">
        <f t="shared" si="33"/>
        <v>0</v>
      </c>
      <c r="V108" s="296" t="e">
        <f t="shared" si="34"/>
        <v>#DIV/0!</v>
      </c>
    </row>
    <row r="109" spans="1:22" ht="22.5" x14ac:dyDescent="0.45">
      <c r="A109" s="306" t="s">
        <v>160</v>
      </c>
      <c r="B109" s="307">
        <v>211</v>
      </c>
      <c r="C109" s="308" t="s">
        <v>411</v>
      </c>
      <c r="D109" s="288"/>
      <c r="E109" s="289">
        <f>SUMIF('Pipe Audit'!$D$3:$D$82,A109,'Pipe Audit'!$K$3:$K$82)</f>
        <v>0</v>
      </c>
      <c r="F109" s="289">
        <f>SUMIF('Pipe Audit'!$D$3:$D$82,A109,'Pipe Audit'!$O$3:$O$82)</f>
        <v>0</v>
      </c>
      <c r="G109" s="289">
        <f t="shared" si="27"/>
        <v>0</v>
      </c>
      <c r="H109" s="290" t="e">
        <f t="shared" si="28"/>
        <v>#DIV/0!</v>
      </c>
      <c r="I109" s="289">
        <f>SUMIF('Pipe Audit'!$D$3:$D$82,A109,'Pipe Audit'!$BD$3:$BD$82)</f>
        <v>0</v>
      </c>
      <c r="J109" s="289">
        <f>SUMIF('Pipe Audit'!$D$3:$D$82,A109,'Pipe Audit'!$BE$3:$BE$82)</f>
        <v>0</v>
      </c>
      <c r="K109" s="289">
        <f t="shared" si="29"/>
        <v>0</v>
      </c>
      <c r="L109" s="291" t="e">
        <f t="shared" si="30"/>
        <v>#DIV/0!</v>
      </c>
      <c r="M109" s="289">
        <f>SUMIF('Pipe Audit'!$D$3:$D$82,A109,'Pipe Audit'!$AJ$3:$AJ$82)</f>
        <v>0</v>
      </c>
      <c r="N109" s="292" cm="1">
        <f t="array" ref="N109">SUM(IF('Pipe Audit'!$D$3:$D$82=$A109,IF('Pipe Audit'!$Q$3:$Q$82=1,'Pipe Audit'!$AJ$3:$AJ$82)))</f>
        <v>0</v>
      </c>
      <c r="O109" s="292">
        <f t="shared" si="31"/>
        <v>0</v>
      </c>
      <c r="P109" s="293" t="e">
        <f t="shared" si="32"/>
        <v>#DIV/0!</v>
      </c>
      <c r="Q109" s="294" cm="1">
        <f t="array" ref="Q109">SUM(IF('Pipe Audit'!$D$3:$D$82=$A109,IF('Pipe Audit'!$AJ$3:$AJ$82=1,'Pipe Audit'!$K$3:$K$82)))</f>
        <v>0</v>
      </c>
      <c r="R109" s="294">
        <f t="array" ref="R109">SUM(IF('Pipe Audit'!$D$3:$D$82=$A109,IF('Pipe Audit'!$Q$3:$Q$82=1,'Pipe Audit'!$K$3:$K$82)))</f>
        <v>0</v>
      </c>
      <c r="S109" s="294" cm="1">
        <f t="array" ref="S109">SUM(IF('Pipe Audit'!$D$3:$D$82=$A109,IF('Pipe Audit'!$U$3:$U$82&gt;0.25,'Pipe Audit'!$AJ$3:$AJ$82)))</f>
        <v>0</v>
      </c>
      <c r="T109" s="294">
        <f t="array" ref="T109">SUM(IF('Pipe Audit'!$D$3:$D$82=$A109,IF('Pipe Audit'!$U$3:$U$82&gt;0.2,'Pipe Audit'!$K$3:$K$82)))</f>
        <v>0</v>
      </c>
      <c r="U109" s="295">
        <f t="shared" si="33"/>
        <v>0</v>
      </c>
      <c r="V109" s="296" t="e">
        <f t="shared" si="34"/>
        <v>#DIV/0!</v>
      </c>
    </row>
    <row r="110" spans="1:22" ht="22.5" x14ac:dyDescent="0.45">
      <c r="A110" s="306" t="s">
        <v>179</v>
      </c>
      <c r="B110" s="307">
        <v>211</v>
      </c>
      <c r="C110" s="308" t="s">
        <v>412</v>
      </c>
      <c r="D110" s="288"/>
      <c r="E110" s="289">
        <f>SUMIF('Pipe Audit'!$D$3:$D$82,A110,'Pipe Audit'!$K$3:$K$82)</f>
        <v>0</v>
      </c>
      <c r="F110" s="289">
        <f>SUMIF('Pipe Audit'!$D$3:$D$82,A110,'Pipe Audit'!$O$3:$O$82)</f>
        <v>0</v>
      </c>
      <c r="G110" s="289">
        <f t="shared" si="27"/>
        <v>0</v>
      </c>
      <c r="H110" s="290" t="e">
        <f t="shared" si="28"/>
        <v>#DIV/0!</v>
      </c>
      <c r="I110" s="289">
        <f>SUMIF('Pipe Audit'!$D$3:$D$82,A110,'Pipe Audit'!$BD$3:$BD$82)</f>
        <v>0</v>
      </c>
      <c r="J110" s="289">
        <f>SUMIF('Pipe Audit'!$D$3:$D$82,A110,'Pipe Audit'!$BE$3:$BE$82)</f>
        <v>0</v>
      </c>
      <c r="K110" s="289">
        <f t="shared" si="29"/>
        <v>0</v>
      </c>
      <c r="L110" s="291" t="e">
        <f t="shared" si="30"/>
        <v>#DIV/0!</v>
      </c>
      <c r="M110" s="289">
        <f>SUMIF('Pipe Audit'!$D$3:$D$82,A110,'Pipe Audit'!$AJ$3:$AJ$82)</f>
        <v>0</v>
      </c>
      <c r="N110" s="292" cm="1">
        <f t="array" ref="N110">SUM(IF('Pipe Audit'!$D$3:$D$82=$A110,IF('Pipe Audit'!$Q$3:$Q$82=1,'Pipe Audit'!$AJ$3:$AJ$82)))</f>
        <v>0</v>
      </c>
      <c r="O110" s="292">
        <f t="shared" si="31"/>
        <v>0</v>
      </c>
      <c r="P110" s="293" t="e">
        <f t="shared" si="32"/>
        <v>#DIV/0!</v>
      </c>
      <c r="Q110" s="294" cm="1">
        <f t="array" ref="Q110">SUM(IF('Pipe Audit'!$D$3:$D$82=$A110,IF('Pipe Audit'!$AJ$3:$AJ$82=1,'Pipe Audit'!$K$3:$K$82)))</f>
        <v>0</v>
      </c>
      <c r="R110" s="294">
        <f t="array" ref="R110">SUM(IF('Pipe Audit'!$D$3:$D$82=$A110,IF('Pipe Audit'!$Q$3:$Q$82=1,'Pipe Audit'!$K$3:$K$82)))</f>
        <v>0</v>
      </c>
      <c r="S110" s="294" cm="1">
        <f t="array" ref="S110">SUM(IF('Pipe Audit'!$D$3:$D$82=$A110,IF('Pipe Audit'!$U$3:$U$82&gt;0.25,'Pipe Audit'!$AJ$3:$AJ$82)))</f>
        <v>0</v>
      </c>
      <c r="T110" s="294">
        <f t="array" ref="T110">SUM(IF('Pipe Audit'!$D$3:$D$82=$A110,IF('Pipe Audit'!$U$3:$U$82&gt;0.2,'Pipe Audit'!$K$3:$K$82)))</f>
        <v>0</v>
      </c>
      <c r="U110" s="295">
        <f t="shared" si="33"/>
        <v>0</v>
      </c>
      <c r="V110" s="296" t="e">
        <f t="shared" si="34"/>
        <v>#DIV/0!</v>
      </c>
    </row>
    <row r="111" spans="1:22" ht="22.5" x14ac:dyDescent="0.45">
      <c r="A111" s="306" t="s">
        <v>155</v>
      </c>
      <c r="B111" s="307">
        <v>211</v>
      </c>
      <c r="C111" s="308" t="s">
        <v>413</v>
      </c>
      <c r="D111" s="288"/>
      <c r="E111" s="289">
        <f>SUMIF('Pipe Audit'!$D$3:$D$82,A111,'Pipe Audit'!$K$3:$K$82)</f>
        <v>0</v>
      </c>
      <c r="F111" s="289">
        <f>SUMIF('Pipe Audit'!$D$3:$D$82,A111,'Pipe Audit'!$O$3:$O$82)</f>
        <v>0</v>
      </c>
      <c r="G111" s="289">
        <f t="shared" si="27"/>
        <v>0</v>
      </c>
      <c r="H111" s="290" t="e">
        <f t="shared" si="28"/>
        <v>#DIV/0!</v>
      </c>
      <c r="I111" s="289">
        <f>SUMIF('Pipe Audit'!$D$3:$D$82,A111,'Pipe Audit'!$BD$3:$BD$82)</f>
        <v>0</v>
      </c>
      <c r="J111" s="289">
        <f>SUMIF('Pipe Audit'!$D$3:$D$82,A111,'Pipe Audit'!$BE$3:$BE$82)</f>
        <v>0</v>
      </c>
      <c r="K111" s="289">
        <f t="shared" si="29"/>
        <v>0</v>
      </c>
      <c r="L111" s="291" t="e">
        <f t="shared" si="30"/>
        <v>#DIV/0!</v>
      </c>
      <c r="M111" s="289">
        <f>SUMIF('Pipe Audit'!$D$3:$D$82,A111,'Pipe Audit'!$AJ$3:$AJ$82)</f>
        <v>0</v>
      </c>
      <c r="N111" s="292" cm="1">
        <f t="array" ref="N111">SUM(IF('Pipe Audit'!$D$3:$D$82=$A111,IF('Pipe Audit'!$Q$3:$Q$82=1,'Pipe Audit'!$AJ$3:$AJ$82)))</f>
        <v>0</v>
      </c>
      <c r="O111" s="292">
        <f t="shared" si="31"/>
        <v>0</v>
      </c>
      <c r="P111" s="293" t="e">
        <f t="shared" si="32"/>
        <v>#DIV/0!</v>
      </c>
      <c r="Q111" s="294" cm="1">
        <f t="array" ref="Q111">SUM(IF('Pipe Audit'!$D$3:$D$82=$A111,IF('Pipe Audit'!$AJ$3:$AJ$82=1,'Pipe Audit'!$K$3:$K$82)))</f>
        <v>0</v>
      </c>
      <c r="R111" s="294">
        <f t="array" ref="R111">SUM(IF('Pipe Audit'!$D$3:$D$82=$A111,IF('Pipe Audit'!$Q$3:$Q$82=1,'Pipe Audit'!$K$3:$K$82)))</f>
        <v>0</v>
      </c>
      <c r="S111" s="294" cm="1">
        <f t="array" ref="S111">SUM(IF('Pipe Audit'!$D$3:$D$82=$A111,IF('Pipe Audit'!$U$3:$U$82&gt;0.25,'Pipe Audit'!$AJ$3:$AJ$82)))</f>
        <v>0</v>
      </c>
      <c r="T111" s="294">
        <f t="array" ref="T111">SUM(IF('Pipe Audit'!$D$3:$D$82=$A111,IF('Pipe Audit'!$U$3:$U$82&gt;0.2,'Pipe Audit'!$K$3:$K$82)))</f>
        <v>0</v>
      </c>
      <c r="U111" s="295">
        <f t="shared" si="33"/>
        <v>0</v>
      </c>
      <c r="V111" s="296" t="e">
        <f t="shared" si="34"/>
        <v>#DIV/0!</v>
      </c>
    </row>
    <row r="112" spans="1:22" ht="22.5" x14ac:dyDescent="0.45">
      <c r="A112" s="306" t="s">
        <v>175</v>
      </c>
      <c r="B112" s="307">
        <v>212</v>
      </c>
      <c r="C112" s="308" t="s">
        <v>414</v>
      </c>
      <c r="D112" s="288"/>
      <c r="E112" s="289">
        <f>SUMIF('Pipe Audit'!$D$3:$D$82,A112,'Pipe Audit'!$K$3:$K$82)</f>
        <v>0</v>
      </c>
      <c r="F112" s="289">
        <f>SUMIF('Pipe Audit'!$D$3:$D$82,A112,'Pipe Audit'!$O$3:$O$82)</f>
        <v>0</v>
      </c>
      <c r="G112" s="289">
        <f t="shared" si="27"/>
        <v>0</v>
      </c>
      <c r="H112" s="290" t="e">
        <f t="shared" si="28"/>
        <v>#DIV/0!</v>
      </c>
      <c r="I112" s="289">
        <f>SUMIF('Pipe Audit'!$D$3:$D$82,A112,'Pipe Audit'!$BD$3:$BD$82)</f>
        <v>0</v>
      </c>
      <c r="J112" s="289">
        <f>SUMIF('Pipe Audit'!$D$3:$D$82,A112,'Pipe Audit'!$BE$3:$BE$82)</f>
        <v>0</v>
      </c>
      <c r="K112" s="289">
        <f t="shared" si="29"/>
        <v>0</v>
      </c>
      <c r="L112" s="291" t="e">
        <f t="shared" si="30"/>
        <v>#DIV/0!</v>
      </c>
      <c r="M112" s="289">
        <f>SUMIF('Pipe Audit'!$D$3:$D$82,A112,'Pipe Audit'!$AJ$3:$AJ$82)</f>
        <v>0</v>
      </c>
      <c r="N112" s="292" cm="1">
        <f t="array" ref="N112">SUM(IF('Pipe Audit'!$D$3:$D$82=$A112,IF('Pipe Audit'!$Q$3:$Q$82=1,'Pipe Audit'!$AJ$3:$AJ$82)))</f>
        <v>0</v>
      </c>
      <c r="O112" s="292">
        <f t="shared" si="31"/>
        <v>0</v>
      </c>
      <c r="P112" s="293" t="e">
        <f t="shared" si="32"/>
        <v>#DIV/0!</v>
      </c>
      <c r="Q112" s="294" cm="1">
        <f t="array" ref="Q112">SUM(IF('Pipe Audit'!$D$3:$D$82=$A112,IF('Pipe Audit'!$AJ$3:$AJ$82=1,'Pipe Audit'!$K$3:$K$82)))</f>
        <v>0</v>
      </c>
      <c r="R112" s="294">
        <f t="array" ref="R112">SUM(IF('Pipe Audit'!$D$3:$D$82=$A112,IF('Pipe Audit'!$Q$3:$Q$82=1,'Pipe Audit'!$K$3:$K$82)))</f>
        <v>0</v>
      </c>
      <c r="S112" s="294" cm="1">
        <f t="array" ref="S112">SUM(IF('Pipe Audit'!$D$3:$D$82=$A112,IF('Pipe Audit'!$U$3:$U$82&gt;0.25,'Pipe Audit'!$AJ$3:$AJ$82)))</f>
        <v>0</v>
      </c>
      <c r="T112" s="294">
        <f t="array" ref="T112">SUM(IF('Pipe Audit'!$D$3:$D$82=$A112,IF('Pipe Audit'!$U$3:$U$82&gt;0.2,'Pipe Audit'!$K$3:$K$82)))</f>
        <v>0</v>
      </c>
      <c r="U112" s="295">
        <f t="shared" si="33"/>
        <v>0</v>
      </c>
      <c r="V112" s="296" t="e">
        <f t="shared" si="34"/>
        <v>#DIV/0!</v>
      </c>
    </row>
    <row r="113" spans="1:22" ht="22.5" x14ac:dyDescent="0.45">
      <c r="A113" s="306" t="s">
        <v>170</v>
      </c>
      <c r="B113" s="307">
        <v>212</v>
      </c>
      <c r="C113" s="308" t="s">
        <v>415</v>
      </c>
      <c r="D113" s="288"/>
      <c r="E113" s="289">
        <f>SUMIF('Pipe Audit'!$D$3:$D$82,A113,'Pipe Audit'!$K$3:$K$82)</f>
        <v>0</v>
      </c>
      <c r="F113" s="289">
        <f>SUMIF('Pipe Audit'!$D$3:$D$82,A113,'Pipe Audit'!$O$3:$O$82)</f>
        <v>0</v>
      </c>
      <c r="G113" s="289">
        <f t="shared" si="27"/>
        <v>0</v>
      </c>
      <c r="H113" s="290" t="e">
        <f t="shared" si="28"/>
        <v>#DIV/0!</v>
      </c>
      <c r="I113" s="289">
        <f>SUMIF('Pipe Audit'!$D$3:$D$82,A113,'Pipe Audit'!$BD$3:$BD$82)</f>
        <v>0</v>
      </c>
      <c r="J113" s="289">
        <f>SUMIF('Pipe Audit'!$D$3:$D$82,A113,'Pipe Audit'!$BE$3:$BE$82)</f>
        <v>0</v>
      </c>
      <c r="K113" s="289">
        <f t="shared" si="29"/>
        <v>0</v>
      </c>
      <c r="L113" s="291" t="e">
        <f t="shared" si="30"/>
        <v>#DIV/0!</v>
      </c>
      <c r="M113" s="289">
        <f>SUMIF('Pipe Audit'!$D$3:$D$82,A113,'Pipe Audit'!$AJ$3:$AJ$82)</f>
        <v>0</v>
      </c>
      <c r="N113" s="292" cm="1">
        <f t="array" ref="N113">SUM(IF('Pipe Audit'!$D$3:$D$82=$A113,IF('Pipe Audit'!$Q$3:$Q$82=1,'Pipe Audit'!$AJ$3:$AJ$82)))</f>
        <v>0</v>
      </c>
      <c r="O113" s="292">
        <f t="shared" si="31"/>
        <v>0</v>
      </c>
      <c r="P113" s="293" t="e">
        <f t="shared" si="32"/>
        <v>#DIV/0!</v>
      </c>
      <c r="Q113" s="294" cm="1">
        <f t="array" ref="Q113">SUM(IF('Pipe Audit'!$D$3:$D$82=$A113,IF('Pipe Audit'!$AJ$3:$AJ$82=1,'Pipe Audit'!$K$3:$K$82)))</f>
        <v>0</v>
      </c>
      <c r="R113" s="294">
        <f t="array" ref="R113">SUM(IF('Pipe Audit'!$D$3:$D$82=$A113,IF('Pipe Audit'!$Q$3:$Q$82=1,'Pipe Audit'!$K$3:$K$82)))</f>
        <v>0</v>
      </c>
      <c r="S113" s="294" cm="1">
        <f t="array" ref="S113">SUM(IF('Pipe Audit'!$D$3:$D$82=$A113,IF('Pipe Audit'!$U$3:$U$82&gt;0.25,'Pipe Audit'!$AJ$3:$AJ$82)))</f>
        <v>0</v>
      </c>
      <c r="T113" s="294">
        <f t="array" ref="T113">SUM(IF('Pipe Audit'!$D$3:$D$82=$A113,IF('Pipe Audit'!$U$3:$U$82&gt;0.2,'Pipe Audit'!$K$3:$K$82)))</f>
        <v>0</v>
      </c>
      <c r="U113" s="295">
        <f t="shared" si="33"/>
        <v>0</v>
      </c>
      <c r="V113" s="296" t="e">
        <f t="shared" si="34"/>
        <v>#DIV/0!</v>
      </c>
    </row>
    <row r="114" spans="1:22" ht="22.5" x14ac:dyDescent="0.45">
      <c r="A114" s="306" t="s">
        <v>217</v>
      </c>
      <c r="B114" s="307">
        <v>212</v>
      </c>
      <c r="C114" s="308" t="s">
        <v>416</v>
      </c>
      <c r="D114" s="288"/>
      <c r="E114" s="289">
        <f>SUMIF('Pipe Audit'!$D$3:$D$82,A114,'Pipe Audit'!$K$3:$K$82)</f>
        <v>0</v>
      </c>
      <c r="F114" s="289">
        <f>SUMIF('Pipe Audit'!$D$3:$D$82,A114,'Pipe Audit'!$O$3:$O$82)</f>
        <v>0</v>
      </c>
      <c r="G114" s="289">
        <f t="shared" si="27"/>
        <v>0</v>
      </c>
      <c r="H114" s="290" t="e">
        <f t="shared" si="28"/>
        <v>#DIV/0!</v>
      </c>
      <c r="I114" s="289">
        <f>SUMIF('Pipe Audit'!$D$3:$D$82,A114,'Pipe Audit'!$BD$3:$BD$82)</f>
        <v>0</v>
      </c>
      <c r="J114" s="289">
        <f>SUMIF('Pipe Audit'!$D$3:$D$82,A114,'Pipe Audit'!$BE$3:$BE$82)</f>
        <v>0</v>
      </c>
      <c r="K114" s="289">
        <f t="shared" si="29"/>
        <v>0</v>
      </c>
      <c r="L114" s="291" t="e">
        <f t="shared" si="30"/>
        <v>#DIV/0!</v>
      </c>
      <c r="M114" s="289">
        <f>SUMIF('Pipe Audit'!$D$3:$D$82,A114,'Pipe Audit'!$AJ$3:$AJ$82)</f>
        <v>0</v>
      </c>
      <c r="N114" s="292" cm="1">
        <f t="array" ref="N114">SUM(IF('Pipe Audit'!$D$3:$D$82=$A114,IF('Pipe Audit'!$Q$3:$Q$82=1,'Pipe Audit'!$AJ$3:$AJ$82)))</f>
        <v>0</v>
      </c>
      <c r="O114" s="292">
        <f t="shared" si="31"/>
        <v>0</v>
      </c>
      <c r="P114" s="293" t="e">
        <f t="shared" si="32"/>
        <v>#DIV/0!</v>
      </c>
      <c r="Q114" s="294" cm="1">
        <f t="array" ref="Q114">SUM(IF('Pipe Audit'!$D$3:$D$82=$A114,IF('Pipe Audit'!$AJ$3:$AJ$82=1,'Pipe Audit'!$K$3:$K$82)))</f>
        <v>0</v>
      </c>
      <c r="R114" s="294">
        <f t="array" ref="R114">SUM(IF('Pipe Audit'!$D$3:$D$82=$A114,IF('Pipe Audit'!$Q$3:$Q$82=1,'Pipe Audit'!$K$3:$K$82)))</f>
        <v>0</v>
      </c>
      <c r="S114" s="294" cm="1">
        <f t="array" ref="S114">SUM(IF('Pipe Audit'!$D$3:$D$82=$A114,IF('Pipe Audit'!$U$3:$U$82&gt;0.25,'Pipe Audit'!$AJ$3:$AJ$82)))</f>
        <v>0</v>
      </c>
      <c r="T114" s="294">
        <f t="array" ref="T114">SUM(IF('Pipe Audit'!$D$3:$D$82=$A114,IF('Pipe Audit'!$U$3:$U$82&gt;0.2,'Pipe Audit'!$K$3:$K$82)))</f>
        <v>0</v>
      </c>
      <c r="U114" s="295">
        <f t="shared" si="33"/>
        <v>0</v>
      </c>
      <c r="V114" s="296" t="e">
        <f t="shared" si="34"/>
        <v>#DIV/0!</v>
      </c>
    </row>
    <row r="115" spans="1:22" ht="22.5" x14ac:dyDescent="0.45">
      <c r="A115" s="306" t="s">
        <v>212</v>
      </c>
      <c r="B115" s="307">
        <v>212</v>
      </c>
      <c r="C115" s="308" t="s">
        <v>417</v>
      </c>
      <c r="D115" s="288"/>
      <c r="E115" s="289">
        <f>SUMIF('Pipe Audit'!$D$3:$D$82,A115,'Pipe Audit'!$K$3:$K$82)</f>
        <v>0</v>
      </c>
      <c r="F115" s="289">
        <f>SUMIF('Pipe Audit'!$D$3:$D$82,A115,'Pipe Audit'!$O$3:$O$82)</f>
        <v>0</v>
      </c>
      <c r="G115" s="289">
        <f t="shared" si="27"/>
        <v>0</v>
      </c>
      <c r="H115" s="290" t="e">
        <f t="shared" si="28"/>
        <v>#DIV/0!</v>
      </c>
      <c r="I115" s="289">
        <f>SUMIF('Pipe Audit'!$D$3:$D$82,A115,'Pipe Audit'!$BD$3:$BD$82)</f>
        <v>0</v>
      </c>
      <c r="J115" s="289">
        <f>SUMIF('Pipe Audit'!$D$3:$D$82,A115,'Pipe Audit'!$BE$3:$BE$82)</f>
        <v>0</v>
      </c>
      <c r="K115" s="289">
        <f t="shared" si="29"/>
        <v>0</v>
      </c>
      <c r="L115" s="291" t="e">
        <f t="shared" si="30"/>
        <v>#DIV/0!</v>
      </c>
      <c r="M115" s="289">
        <f>SUMIF('Pipe Audit'!$D$3:$D$82,A115,'Pipe Audit'!$AJ$3:$AJ$82)</f>
        <v>0</v>
      </c>
      <c r="N115" s="292" cm="1">
        <f t="array" ref="N115">SUM(IF('Pipe Audit'!$D$3:$D$82=$A115,IF('Pipe Audit'!$Q$3:$Q$82=1,'Pipe Audit'!$AJ$3:$AJ$82)))</f>
        <v>0</v>
      </c>
      <c r="O115" s="292">
        <f t="shared" si="31"/>
        <v>0</v>
      </c>
      <c r="P115" s="293" t="e">
        <f t="shared" si="32"/>
        <v>#DIV/0!</v>
      </c>
      <c r="Q115" s="294" cm="1">
        <f t="array" ref="Q115">SUM(IF('Pipe Audit'!$D$3:$D$82=$A115,IF('Pipe Audit'!$AJ$3:$AJ$82=1,'Pipe Audit'!$K$3:$K$82)))</f>
        <v>0</v>
      </c>
      <c r="R115" s="294">
        <f t="array" ref="R115">SUM(IF('Pipe Audit'!$D$3:$D$82=$A115,IF('Pipe Audit'!$Q$3:$Q$82=1,'Pipe Audit'!$K$3:$K$82)))</f>
        <v>0</v>
      </c>
      <c r="S115" s="294" cm="1">
        <f t="array" ref="S115">SUM(IF('Pipe Audit'!$D$3:$D$82=$A115,IF('Pipe Audit'!$U$3:$U$82&gt;0.25,'Pipe Audit'!$AJ$3:$AJ$82)))</f>
        <v>0</v>
      </c>
      <c r="T115" s="294">
        <f t="array" ref="T115">SUM(IF('Pipe Audit'!$D$3:$D$82=$A115,IF('Pipe Audit'!$U$3:$U$82&gt;0.2,'Pipe Audit'!$K$3:$K$82)))</f>
        <v>0</v>
      </c>
      <c r="U115" s="295">
        <f t="shared" si="33"/>
        <v>0</v>
      </c>
      <c r="V115" s="296" t="e">
        <f t="shared" si="34"/>
        <v>#DIV/0!</v>
      </c>
    </row>
    <row r="116" spans="1:22" ht="22.5" x14ac:dyDescent="0.45">
      <c r="A116" s="306" t="s">
        <v>233</v>
      </c>
      <c r="B116" s="307">
        <v>212</v>
      </c>
      <c r="C116" s="308" t="s">
        <v>418</v>
      </c>
      <c r="D116" s="288"/>
      <c r="E116" s="289">
        <f>SUMIF('Pipe Audit'!$D$3:$D$82,A116,'Pipe Audit'!$K$3:$K$82)</f>
        <v>0</v>
      </c>
      <c r="F116" s="289">
        <f>SUMIF('Pipe Audit'!$D$3:$D$82,A116,'Pipe Audit'!$O$3:$O$82)</f>
        <v>0</v>
      </c>
      <c r="G116" s="289">
        <f t="shared" si="27"/>
        <v>0</v>
      </c>
      <c r="H116" s="290" t="e">
        <f t="shared" si="28"/>
        <v>#DIV/0!</v>
      </c>
      <c r="I116" s="289">
        <f>SUMIF('Pipe Audit'!$D$3:$D$82,A116,'Pipe Audit'!$BD$3:$BD$82)</f>
        <v>0</v>
      </c>
      <c r="J116" s="289">
        <f>SUMIF('Pipe Audit'!$D$3:$D$82,A116,'Pipe Audit'!$BE$3:$BE$82)</f>
        <v>0</v>
      </c>
      <c r="K116" s="289">
        <f t="shared" si="29"/>
        <v>0</v>
      </c>
      <c r="L116" s="291" t="e">
        <f t="shared" si="30"/>
        <v>#DIV/0!</v>
      </c>
      <c r="M116" s="289">
        <f>SUMIF('Pipe Audit'!$D$3:$D$82,A116,'Pipe Audit'!$AJ$3:$AJ$82)</f>
        <v>0</v>
      </c>
      <c r="N116" s="292" cm="1">
        <f t="array" ref="N116">SUM(IF('Pipe Audit'!$D$3:$D$82=$A116,IF('Pipe Audit'!$Q$3:$Q$82=1,'Pipe Audit'!$AJ$3:$AJ$82)))</f>
        <v>0</v>
      </c>
      <c r="O116" s="292">
        <f t="shared" si="31"/>
        <v>0</v>
      </c>
      <c r="P116" s="293" t="e">
        <f t="shared" si="32"/>
        <v>#DIV/0!</v>
      </c>
      <c r="Q116" s="294" cm="1">
        <f t="array" ref="Q116">SUM(IF('Pipe Audit'!$D$3:$D$82=$A116,IF('Pipe Audit'!$AJ$3:$AJ$82=1,'Pipe Audit'!$K$3:$K$82)))</f>
        <v>0</v>
      </c>
      <c r="R116" s="294">
        <f t="array" ref="R116">SUM(IF('Pipe Audit'!$D$3:$D$82=$A116,IF('Pipe Audit'!$Q$3:$Q$82=1,'Pipe Audit'!$K$3:$K$82)))</f>
        <v>0</v>
      </c>
      <c r="S116" s="294" cm="1">
        <f t="array" ref="S116">SUM(IF('Pipe Audit'!$D$3:$D$82=$A116,IF('Pipe Audit'!$U$3:$U$82&gt;0.25,'Pipe Audit'!$AJ$3:$AJ$82)))</f>
        <v>0</v>
      </c>
      <c r="T116" s="294">
        <f t="array" ref="T116">SUM(IF('Pipe Audit'!$D$3:$D$82=$A116,IF('Pipe Audit'!$U$3:$U$82&gt;0.2,'Pipe Audit'!$K$3:$K$82)))</f>
        <v>0</v>
      </c>
      <c r="U116" s="295">
        <f t="shared" si="33"/>
        <v>0</v>
      </c>
      <c r="V116" s="296" t="e">
        <f t="shared" si="34"/>
        <v>#DIV/0!</v>
      </c>
    </row>
    <row r="117" spans="1:22" ht="22.5" x14ac:dyDescent="0.45">
      <c r="A117" s="306" t="s">
        <v>234</v>
      </c>
      <c r="B117" s="307">
        <v>212</v>
      </c>
      <c r="C117" s="308" t="s">
        <v>419</v>
      </c>
      <c r="D117" s="288"/>
      <c r="E117" s="289">
        <f>SUMIF('Pipe Audit'!$D$3:$D$82,A117,'Pipe Audit'!$K$3:$K$82)</f>
        <v>0</v>
      </c>
      <c r="F117" s="289">
        <f>SUMIF('Pipe Audit'!$D$3:$D$82,A117,'Pipe Audit'!$O$3:$O$82)</f>
        <v>0</v>
      </c>
      <c r="G117" s="289">
        <f t="shared" si="27"/>
        <v>0</v>
      </c>
      <c r="H117" s="290" t="e">
        <f t="shared" si="28"/>
        <v>#DIV/0!</v>
      </c>
      <c r="I117" s="289">
        <f>SUMIF('Pipe Audit'!$D$3:$D$82,A117,'Pipe Audit'!$BD$3:$BD$82)</f>
        <v>0</v>
      </c>
      <c r="J117" s="289">
        <f>SUMIF('Pipe Audit'!$D$3:$D$82,A117,'Pipe Audit'!$BE$3:$BE$82)</f>
        <v>0</v>
      </c>
      <c r="K117" s="289">
        <f t="shared" si="29"/>
        <v>0</v>
      </c>
      <c r="L117" s="291" t="e">
        <f t="shared" si="30"/>
        <v>#DIV/0!</v>
      </c>
      <c r="M117" s="289">
        <f>SUMIF('Pipe Audit'!$D$3:$D$82,A117,'Pipe Audit'!$AJ$3:$AJ$82)</f>
        <v>0</v>
      </c>
      <c r="N117" s="292" cm="1">
        <f t="array" ref="N117">SUM(IF('Pipe Audit'!$D$3:$D$82=$A117,IF('Pipe Audit'!$Q$3:$Q$82=1,'Pipe Audit'!$AJ$3:$AJ$82)))</f>
        <v>0</v>
      </c>
      <c r="O117" s="292">
        <f t="shared" si="31"/>
        <v>0</v>
      </c>
      <c r="P117" s="293" t="e">
        <f t="shared" si="32"/>
        <v>#DIV/0!</v>
      </c>
      <c r="Q117" s="294" cm="1">
        <f t="array" ref="Q117">SUM(IF('Pipe Audit'!$D$3:$D$82=$A117,IF('Pipe Audit'!$AJ$3:$AJ$82=1,'Pipe Audit'!$K$3:$K$82)))</f>
        <v>0</v>
      </c>
      <c r="R117" s="294">
        <f t="array" ref="R117">SUM(IF('Pipe Audit'!$D$3:$D$82=$A117,IF('Pipe Audit'!$Q$3:$Q$82=1,'Pipe Audit'!$K$3:$K$82)))</f>
        <v>0</v>
      </c>
      <c r="S117" s="294" cm="1">
        <f t="array" ref="S117">SUM(IF('Pipe Audit'!$D$3:$D$82=$A117,IF('Pipe Audit'!$U$3:$U$82&gt;0.25,'Pipe Audit'!$AJ$3:$AJ$82)))</f>
        <v>0</v>
      </c>
      <c r="T117" s="294">
        <f t="array" ref="T117">SUM(IF('Pipe Audit'!$D$3:$D$82=$A117,IF('Pipe Audit'!$U$3:$U$82&gt;0.2,'Pipe Audit'!$K$3:$K$82)))</f>
        <v>0</v>
      </c>
      <c r="U117" s="295">
        <f t="shared" si="33"/>
        <v>0</v>
      </c>
      <c r="V117" s="296" t="e">
        <f t="shared" si="34"/>
        <v>#DIV/0!</v>
      </c>
    </row>
    <row r="118" spans="1:22" ht="22.5" x14ac:dyDescent="0.45">
      <c r="A118" s="306" t="s">
        <v>221</v>
      </c>
      <c r="B118" s="307">
        <v>212</v>
      </c>
      <c r="C118" s="308" t="s">
        <v>420</v>
      </c>
      <c r="D118" s="288"/>
      <c r="E118" s="289">
        <f>SUMIF('Pipe Audit'!$D$3:$D$82,A118,'Pipe Audit'!$K$3:$K$82)</f>
        <v>0</v>
      </c>
      <c r="F118" s="289">
        <f>SUMIF('Pipe Audit'!$D$3:$D$82,A118,'Pipe Audit'!$O$3:$O$82)</f>
        <v>0</v>
      </c>
      <c r="G118" s="289">
        <f t="shared" si="27"/>
        <v>0</v>
      </c>
      <c r="H118" s="290" t="e">
        <f t="shared" si="28"/>
        <v>#DIV/0!</v>
      </c>
      <c r="I118" s="289">
        <f>SUMIF('Pipe Audit'!$D$3:$D$82,A118,'Pipe Audit'!$BD$3:$BD$82)</f>
        <v>0</v>
      </c>
      <c r="J118" s="289">
        <f>SUMIF('Pipe Audit'!$D$3:$D$82,A118,'Pipe Audit'!$BE$3:$BE$82)</f>
        <v>0</v>
      </c>
      <c r="K118" s="289">
        <f t="shared" si="29"/>
        <v>0</v>
      </c>
      <c r="L118" s="291" t="e">
        <f t="shared" si="30"/>
        <v>#DIV/0!</v>
      </c>
      <c r="M118" s="289">
        <f>SUMIF('Pipe Audit'!$D$3:$D$82,A118,'Pipe Audit'!$AJ$3:$AJ$82)</f>
        <v>0</v>
      </c>
      <c r="N118" s="292" cm="1">
        <f t="array" ref="N118">SUM(IF('Pipe Audit'!$D$3:$D$82=$A118,IF('Pipe Audit'!$Q$3:$Q$82=1,'Pipe Audit'!$AJ$3:$AJ$82)))</f>
        <v>0</v>
      </c>
      <c r="O118" s="292">
        <f t="shared" si="31"/>
        <v>0</v>
      </c>
      <c r="P118" s="293" t="e">
        <f t="shared" si="32"/>
        <v>#DIV/0!</v>
      </c>
      <c r="Q118" s="294" cm="1">
        <f t="array" ref="Q118">SUM(IF('Pipe Audit'!$D$3:$D$82=$A118,IF('Pipe Audit'!$AJ$3:$AJ$82=1,'Pipe Audit'!$K$3:$K$82)))</f>
        <v>0</v>
      </c>
      <c r="R118" s="294">
        <f t="array" ref="R118">SUM(IF('Pipe Audit'!$D$3:$D$82=$A118,IF('Pipe Audit'!$Q$3:$Q$82=1,'Pipe Audit'!$K$3:$K$82)))</f>
        <v>0</v>
      </c>
      <c r="S118" s="294" cm="1">
        <f t="array" ref="S118">SUM(IF('Pipe Audit'!$D$3:$D$82=$A118,IF('Pipe Audit'!$U$3:$U$82&gt;0.25,'Pipe Audit'!$AJ$3:$AJ$82)))</f>
        <v>0</v>
      </c>
      <c r="T118" s="294">
        <f t="array" ref="T118">SUM(IF('Pipe Audit'!$D$3:$D$82=$A118,IF('Pipe Audit'!$U$3:$U$82&gt;0.2,'Pipe Audit'!$K$3:$K$82)))</f>
        <v>0</v>
      </c>
      <c r="U118" s="295">
        <f t="shared" si="33"/>
        <v>0</v>
      </c>
      <c r="V118" s="296" t="e">
        <f t="shared" si="34"/>
        <v>#DIV/0!</v>
      </c>
    </row>
    <row r="119" spans="1:22" ht="22.5" x14ac:dyDescent="0.45">
      <c r="A119" s="306" t="s">
        <v>203</v>
      </c>
      <c r="B119" s="307">
        <v>212</v>
      </c>
      <c r="C119" s="308" t="s">
        <v>421</v>
      </c>
      <c r="D119" s="288"/>
      <c r="E119" s="289">
        <f>SUMIF('Pipe Audit'!$D$3:$D$82,A119,'Pipe Audit'!$K$3:$K$82)</f>
        <v>0</v>
      </c>
      <c r="F119" s="289">
        <f>SUMIF('Pipe Audit'!$D$3:$D$82,A119,'Pipe Audit'!$O$3:$O$82)</f>
        <v>0</v>
      </c>
      <c r="G119" s="289">
        <f t="shared" si="27"/>
        <v>0</v>
      </c>
      <c r="H119" s="290" t="e">
        <f t="shared" si="28"/>
        <v>#DIV/0!</v>
      </c>
      <c r="I119" s="289">
        <f>SUMIF('Pipe Audit'!$D$3:$D$82,A119,'Pipe Audit'!$BD$3:$BD$82)</f>
        <v>0</v>
      </c>
      <c r="J119" s="289">
        <f>SUMIF('Pipe Audit'!$D$3:$D$82,A119,'Pipe Audit'!$BE$3:$BE$82)</f>
        <v>0</v>
      </c>
      <c r="K119" s="289">
        <f t="shared" si="29"/>
        <v>0</v>
      </c>
      <c r="L119" s="291" t="e">
        <f t="shared" si="30"/>
        <v>#DIV/0!</v>
      </c>
      <c r="M119" s="289">
        <f>SUMIF('Pipe Audit'!$D$3:$D$82,A119,'Pipe Audit'!$AJ$3:$AJ$82)</f>
        <v>0</v>
      </c>
      <c r="N119" s="292" cm="1">
        <f t="array" ref="N119">SUM(IF('Pipe Audit'!$D$3:$D$82=$A119,IF('Pipe Audit'!$Q$3:$Q$82=1,'Pipe Audit'!$AJ$3:$AJ$82)))</f>
        <v>0</v>
      </c>
      <c r="O119" s="292">
        <f t="shared" si="31"/>
        <v>0</v>
      </c>
      <c r="P119" s="293" t="e">
        <f t="shared" si="32"/>
        <v>#DIV/0!</v>
      </c>
      <c r="Q119" s="294" cm="1">
        <f t="array" ref="Q119">SUM(IF('Pipe Audit'!$D$3:$D$82=$A119,IF('Pipe Audit'!$AJ$3:$AJ$82=1,'Pipe Audit'!$K$3:$K$82)))</f>
        <v>0</v>
      </c>
      <c r="R119" s="294">
        <f t="array" ref="R119">SUM(IF('Pipe Audit'!$D$3:$D$82=$A119,IF('Pipe Audit'!$Q$3:$Q$82=1,'Pipe Audit'!$K$3:$K$82)))</f>
        <v>0</v>
      </c>
      <c r="S119" s="294" cm="1">
        <f t="array" ref="S119">SUM(IF('Pipe Audit'!$D$3:$D$82=$A119,IF('Pipe Audit'!$U$3:$U$82&gt;0.25,'Pipe Audit'!$AJ$3:$AJ$82)))</f>
        <v>0</v>
      </c>
      <c r="T119" s="294">
        <f t="array" ref="T119">SUM(IF('Pipe Audit'!$D$3:$D$82=$A119,IF('Pipe Audit'!$U$3:$U$82&gt;0.2,'Pipe Audit'!$K$3:$K$82)))</f>
        <v>0</v>
      </c>
      <c r="U119" s="295">
        <f t="shared" si="33"/>
        <v>0</v>
      </c>
      <c r="V119" s="296" t="e">
        <f t="shared" si="34"/>
        <v>#DIV/0!</v>
      </c>
    </row>
    <row r="120" spans="1:22" ht="22.5" x14ac:dyDescent="0.45">
      <c r="A120" s="306" t="s">
        <v>206</v>
      </c>
      <c r="B120" s="307">
        <v>212</v>
      </c>
      <c r="C120" s="308" t="s">
        <v>422</v>
      </c>
      <c r="D120" s="288"/>
      <c r="E120" s="289">
        <f>SUMIF('Pipe Audit'!$D$3:$D$82,A120,'Pipe Audit'!$K$3:$K$82)</f>
        <v>0</v>
      </c>
      <c r="F120" s="289">
        <f>SUMIF('Pipe Audit'!$D$3:$D$82,A120,'Pipe Audit'!$O$3:$O$82)</f>
        <v>0</v>
      </c>
      <c r="G120" s="289">
        <f t="shared" si="27"/>
        <v>0</v>
      </c>
      <c r="H120" s="290" t="e">
        <f t="shared" si="28"/>
        <v>#DIV/0!</v>
      </c>
      <c r="I120" s="289">
        <f>SUMIF('Pipe Audit'!$D$3:$D$82,A120,'Pipe Audit'!$BD$3:$BD$82)</f>
        <v>0</v>
      </c>
      <c r="J120" s="289">
        <f>SUMIF('Pipe Audit'!$D$3:$D$82,A120,'Pipe Audit'!$BE$3:$BE$82)</f>
        <v>0</v>
      </c>
      <c r="K120" s="289">
        <f t="shared" si="29"/>
        <v>0</v>
      </c>
      <c r="L120" s="291" t="e">
        <f t="shared" si="30"/>
        <v>#DIV/0!</v>
      </c>
      <c r="M120" s="289">
        <f>SUMIF('Pipe Audit'!$D$3:$D$82,A120,'Pipe Audit'!$AJ$3:$AJ$82)</f>
        <v>0</v>
      </c>
      <c r="N120" s="292" cm="1">
        <f t="array" ref="N120">SUM(IF('Pipe Audit'!$D$3:$D$82=$A120,IF('Pipe Audit'!$Q$3:$Q$82=1,'Pipe Audit'!$AJ$3:$AJ$82)))</f>
        <v>0</v>
      </c>
      <c r="O120" s="292">
        <f t="shared" si="31"/>
        <v>0</v>
      </c>
      <c r="P120" s="293" t="e">
        <f t="shared" si="32"/>
        <v>#DIV/0!</v>
      </c>
      <c r="Q120" s="294" cm="1">
        <f t="array" ref="Q120">SUM(IF('Pipe Audit'!$D$3:$D$82=$A120,IF('Pipe Audit'!$AJ$3:$AJ$82=1,'Pipe Audit'!$K$3:$K$82)))</f>
        <v>0</v>
      </c>
      <c r="R120" s="294">
        <f t="array" ref="R120">SUM(IF('Pipe Audit'!$D$3:$D$82=$A120,IF('Pipe Audit'!$Q$3:$Q$82=1,'Pipe Audit'!$K$3:$K$82)))</f>
        <v>0</v>
      </c>
      <c r="S120" s="294" cm="1">
        <f t="array" ref="S120">SUM(IF('Pipe Audit'!$D$3:$D$82=$A120,IF('Pipe Audit'!$U$3:$U$82&gt;0.25,'Pipe Audit'!$AJ$3:$AJ$82)))</f>
        <v>0</v>
      </c>
      <c r="T120" s="294">
        <f t="array" ref="T120">SUM(IF('Pipe Audit'!$D$3:$D$82=$A120,IF('Pipe Audit'!$U$3:$U$82&gt;0.2,'Pipe Audit'!$K$3:$K$82)))</f>
        <v>0</v>
      </c>
      <c r="U120" s="295">
        <f t="shared" si="33"/>
        <v>0</v>
      </c>
      <c r="V120" s="296" t="e">
        <f t="shared" si="34"/>
        <v>#DIV/0!</v>
      </c>
    </row>
    <row r="121" spans="1:22" ht="22.5" x14ac:dyDescent="0.45">
      <c r="A121" s="306" t="s">
        <v>270</v>
      </c>
      <c r="B121" s="307">
        <v>212</v>
      </c>
      <c r="C121" s="308" t="s">
        <v>423</v>
      </c>
      <c r="D121" s="288"/>
      <c r="E121" s="289">
        <f>SUMIF('Pipe Audit'!$D$3:$D$82,A121,'Pipe Audit'!$K$3:$K$82)</f>
        <v>0</v>
      </c>
      <c r="F121" s="289">
        <f>SUMIF('Pipe Audit'!$D$3:$D$82,A121,'Pipe Audit'!$O$3:$O$82)</f>
        <v>0</v>
      </c>
      <c r="G121" s="289">
        <f t="shared" si="27"/>
        <v>0</v>
      </c>
      <c r="H121" s="290" t="e">
        <f t="shared" si="28"/>
        <v>#DIV/0!</v>
      </c>
      <c r="I121" s="289">
        <f>SUMIF('Pipe Audit'!$D$3:$D$82,A121,'Pipe Audit'!$BD$3:$BD$82)</f>
        <v>0</v>
      </c>
      <c r="J121" s="289">
        <f>SUMIF('Pipe Audit'!$D$3:$D$82,A121,'Pipe Audit'!$BE$3:$BE$82)</f>
        <v>0</v>
      </c>
      <c r="K121" s="289">
        <f t="shared" si="29"/>
        <v>0</v>
      </c>
      <c r="L121" s="291" t="e">
        <f t="shared" si="30"/>
        <v>#DIV/0!</v>
      </c>
      <c r="M121" s="289">
        <f>SUMIF('Pipe Audit'!$D$3:$D$82,A121,'Pipe Audit'!$AJ$3:$AJ$82)</f>
        <v>0</v>
      </c>
      <c r="N121" s="292" cm="1">
        <f t="array" ref="N121">SUM(IF('Pipe Audit'!$D$3:$D$82=$A121,IF('Pipe Audit'!$Q$3:$Q$82=1,'Pipe Audit'!$AJ$3:$AJ$82)))</f>
        <v>0</v>
      </c>
      <c r="O121" s="292">
        <f t="shared" si="31"/>
        <v>0</v>
      </c>
      <c r="P121" s="293" t="e">
        <f t="shared" si="32"/>
        <v>#DIV/0!</v>
      </c>
      <c r="Q121" s="294" cm="1">
        <f t="array" ref="Q121">SUM(IF('Pipe Audit'!$D$3:$D$82=$A121,IF('Pipe Audit'!$AJ$3:$AJ$82=1,'Pipe Audit'!$K$3:$K$82)))</f>
        <v>0</v>
      </c>
      <c r="R121" s="294">
        <f t="array" ref="R121">SUM(IF('Pipe Audit'!$D$3:$D$82=$A121,IF('Pipe Audit'!$Q$3:$Q$82=1,'Pipe Audit'!$K$3:$K$82)))</f>
        <v>0</v>
      </c>
      <c r="S121" s="294" cm="1">
        <f t="array" ref="S121">SUM(IF('Pipe Audit'!$D$3:$D$82=$A121,IF('Pipe Audit'!$U$3:$U$82&gt;0.25,'Pipe Audit'!$AJ$3:$AJ$82)))</f>
        <v>0</v>
      </c>
      <c r="T121" s="294">
        <f t="array" ref="T121">SUM(IF('Pipe Audit'!$D$3:$D$82=$A121,IF('Pipe Audit'!$U$3:$U$82&gt;0.2,'Pipe Audit'!$K$3:$K$82)))</f>
        <v>0</v>
      </c>
      <c r="U121" s="295">
        <f t="shared" si="33"/>
        <v>0</v>
      </c>
      <c r="V121" s="296" t="e">
        <f t="shared" si="34"/>
        <v>#DIV/0!</v>
      </c>
    </row>
    <row r="122" spans="1:22" ht="22.5" x14ac:dyDescent="0.45">
      <c r="A122" s="306" t="s">
        <v>187</v>
      </c>
      <c r="B122" s="307">
        <v>212</v>
      </c>
      <c r="C122" s="308" t="s">
        <v>424</v>
      </c>
      <c r="D122" s="288"/>
      <c r="E122" s="289">
        <f>SUMIF('Pipe Audit'!$D$3:$D$82,A122,'Pipe Audit'!$K$3:$K$82)</f>
        <v>0</v>
      </c>
      <c r="F122" s="289">
        <f>SUMIF('Pipe Audit'!$D$3:$D$82,A122,'Pipe Audit'!$O$3:$O$82)</f>
        <v>0</v>
      </c>
      <c r="G122" s="289">
        <f t="shared" si="27"/>
        <v>0</v>
      </c>
      <c r="H122" s="290" t="e">
        <f t="shared" si="28"/>
        <v>#DIV/0!</v>
      </c>
      <c r="I122" s="289">
        <f>SUMIF('Pipe Audit'!$D$3:$D$82,A122,'Pipe Audit'!$BD$3:$BD$82)</f>
        <v>0</v>
      </c>
      <c r="J122" s="289">
        <f>SUMIF('Pipe Audit'!$D$3:$D$82,A122,'Pipe Audit'!$BE$3:$BE$82)</f>
        <v>0</v>
      </c>
      <c r="K122" s="289">
        <f t="shared" si="29"/>
        <v>0</v>
      </c>
      <c r="L122" s="291" t="e">
        <f t="shared" si="30"/>
        <v>#DIV/0!</v>
      </c>
      <c r="M122" s="289">
        <f>SUMIF('Pipe Audit'!$D$3:$D$82,A122,'Pipe Audit'!$AJ$3:$AJ$82)</f>
        <v>0</v>
      </c>
      <c r="N122" s="292" cm="1">
        <f t="array" ref="N122">SUM(IF('Pipe Audit'!$D$3:$D$82=$A122,IF('Pipe Audit'!$Q$3:$Q$82=1,'Pipe Audit'!$AJ$3:$AJ$82)))</f>
        <v>0</v>
      </c>
      <c r="O122" s="292">
        <f t="shared" si="31"/>
        <v>0</v>
      </c>
      <c r="P122" s="293" t="e">
        <f t="shared" si="32"/>
        <v>#DIV/0!</v>
      </c>
      <c r="Q122" s="294" cm="1">
        <f t="array" ref="Q122">SUM(IF('Pipe Audit'!$D$3:$D$82=$A122,IF('Pipe Audit'!$AJ$3:$AJ$82=1,'Pipe Audit'!$K$3:$K$82)))</f>
        <v>0</v>
      </c>
      <c r="R122" s="294">
        <f t="array" ref="R122">SUM(IF('Pipe Audit'!$D$3:$D$82=$A122,IF('Pipe Audit'!$Q$3:$Q$82=1,'Pipe Audit'!$K$3:$K$82)))</f>
        <v>0</v>
      </c>
      <c r="S122" s="294" cm="1">
        <f t="array" ref="S122">SUM(IF('Pipe Audit'!$D$3:$D$82=$A122,IF('Pipe Audit'!$U$3:$U$82&gt;0.25,'Pipe Audit'!$AJ$3:$AJ$82)))</f>
        <v>0</v>
      </c>
      <c r="T122" s="294">
        <f t="array" ref="T122">SUM(IF('Pipe Audit'!$D$3:$D$82=$A122,IF('Pipe Audit'!$U$3:$U$82&gt;0.2,'Pipe Audit'!$K$3:$K$82)))</f>
        <v>0</v>
      </c>
      <c r="U122" s="295">
        <f t="shared" si="33"/>
        <v>0</v>
      </c>
      <c r="V122" s="296" t="e">
        <f t="shared" si="34"/>
        <v>#DIV/0!</v>
      </c>
    </row>
    <row r="123" spans="1:22" ht="22.5" x14ac:dyDescent="0.45">
      <c r="A123" s="306" t="s">
        <v>210</v>
      </c>
      <c r="B123" s="307">
        <v>212</v>
      </c>
      <c r="C123" s="308" t="s">
        <v>425</v>
      </c>
      <c r="D123" s="288"/>
      <c r="E123" s="289">
        <f>SUMIF('Pipe Audit'!$D$3:$D$82,A123,'Pipe Audit'!$K$3:$K$82)</f>
        <v>0</v>
      </c>
      <c r="F123" s="289">
        <f>SUMIF('Pipe Audit'!$D$3:$D$82,A123,'Pipe Audit'!$O$3:$O$82)</f>
        <v>0</v>
      </c>
      <c r="G123" s="289">
        <f t="shared" si="27"/>
        <v>0</v>
      </c>
      <c r="H123" s="290" t="e">
        <f t="shared" si="28"/>
        <v>#DIV/0!</v>
      </c>
      <c r="I123" s="289">
        <f>SUMIF('Pipe Audit'!$D$3:$D$82,A123,'Pipe Audit'!$BD$3:$BD$82)</f>
        <v>0</v>
      </c>
      <c r="J123" s="289">
        <f>SUMIF('Pipe Audit'!$D$3:$D$82,A123,'Pipe Audit'!$BE$3:$BE$82)</f>
        <v>0</v>
      </c>
      <c r="K123" s="289">
        <f t="shared" si="29"/>
        <v>0</v>
      </c>
      <c r="L123" s="291" t="e">
        <f t="shared" si="30"/>
        <v>#DIV/0!</v>
      </c>
      <c r="M123" s="289">
        <f>SUMIF('Pipe Audit'!$D$3:$D$82,A123,'Pipe Audit'!$AJ$3:$AJ$82)</f>
        <v>0</v>
      </c>
      <c r="N123" s="292" cm="1">
        <f t="array" ref="N123">SUM(IF('Pipe Audit'!$D$3:$D$82=$A123,IF('Pipe Audit'!$Q$3:$Q$82=1,'Pipe Audit'!$AJ$3:$AJ$82)))</f>
        <v>0</v>
      </c>
      <c r="O123" s="292">
        <f t="shared" si="31"/>
        <v>0</v>
      </c>
      <c r="P123" s="293" t="e">
        <f t="shared" si="32"/>
        <v>#DIV/0!</v>
      </c>
      <c r="Q123" s="294" cm="1">
        <f t="array" ref="Q123">SUM(IF('Pipe Audit'!$D$3:$D$82=$A123,IF('Pipe Audit'!$AJ$3:$AJ$82=1,'Pipe Audit'!$K$3:$K$82)))</f>
        <v>0</v>
      </c>
      <c r="R123" s="294">
        <f t="array" ref="R123">SUM(IF('Pipe Audit'!$D$3:$D$82=$A123,IF('Pipe Audit'!$Q$3:$Q$82=1,'Pipe Audit'!$K$3:$K$82)))</f>
        <v>0</v>
      </c>
      <c r="S123" s="294" cm="1">
        <f t="array" ref="S123">SUM(IF('Pipe Audit'!$D$3:$D$82=$A123,IF('Pipe Audit'!$U$3:$U$82&gt;0.25,'Pipe Audit'!$AJ$3:$AJ$82)))</f>
        <v>0</v>
      </c>
      <c r="T123" s="294">
        <f t="array" ref="T123">SUM(IF('Pipe Audit'!$D$3:$D$82=$A123,IF('Pipe Audit'!$U$3:$U$82&gt;0.2,'Pipe Audit'!$K$3:$K$82)))</f>
        <v>0</v>
      </c>
      <c r="U123" s="295">
        <f t="shared" si="33"/>
        <v>0</v>
      </c>
      <c r="V123" s="296" t="e">
        <f t="shared" si="34"/>
        <v>#DIV/0!</v>
      </c>
    </row>
    <row r="124" spans="1:22" ht="22.5" x14ac:dyDescent="0.45">
      <c r="A124" s="306" t="s">
        <v>230</v>
      </c>
      <c r="B124" s="307">
        <v>212</v>
      </c>
      <c r="C124" s="308" t="s">
        <v>426</v>
      </c>
      <c r="D124" s="288"/>
      <c r="E124" s="289">
        <f>SUMIF('Pipe Audit'!$D$3:$D$82,A124,'Pipe Audit'!$K$3:$K$82)</f>
        <v>0</v>
      </c>
      <c r="F124" s="289">
        <f>SUMIF('Pipe Audit'!$D$3:$D$82,A124,'Pipe Audit'!$O$3:$O$82)</f>
        <v>0</v>
      </c>
      <c r="G124" s="289">
        <f t="shared" si="27"/>
        <v>0</v>
      </c>
      <c r="H124" s="290" t="e">
        <f t="shared" si="28"/>
        <v>#DIV/0!</v>
      </c>
      <c r="I124" s="289">
        <f>SUMIF('Pipe Audit'!$D$3:$D$82,A124,'Pipe Audit'!$BD$3:$BD$82)</f>
        <v>0</v>
      </c>
      <c r="J124" s="289">
        <f>SUMIF('Pipe Audit'!$D$3:$D$82,A124,'Pipe Audit'!$BE$3:$BE$82)</f>
        <v>0</v>
      </c>
      <c r="K124" s="289">
        <f t="shared" si="29"/>
        <v>0</v>
      </c>
      <c r="L124" s="291" t="e">
        <f t="shared" si="30"/>
        <v>#DIV/0!</v>
      </c>
      <c r="M124" s="289">
        <f>SUMIF('Pipe Audit'!$D$3:$D$82,A124,'Pipe Audit'!$AJ$3:$AJ$82)</f>
        <v>0</v>
      </c>
      <c r="N124" s="292" cm="1">
        <f t="array" ref="N124">SUM(IF('Pipe Audit'!$D$3:$D$82=$A124,IF('Pipe Audit'!$Q$3:$Q$82=1,'Pipe Audit'!$AJ$3:$AJ$82)))</f>
        <v>0</v>
      </c>
      <c r="O124" s="292">
        <f t="shared" si="31"/>
        <v>0</v>
      </c>
      <c r="P124" s="293" t="e">
        <f t="shared" si="32"/>
        <v>#DIV/0!</v>
      </c>
      <c r="Q124" s="294" cm="1">
        <f t="array" ref="Q124">SUM(IF('Pipe Audit'!$D$3:$D$82=$A124,IF('Pipe Audit'!$AJ$3:$AJ$82=1,'Pipe Audit'!$K$3:$K$82)))</f>
        <v>0</v>
      </c>
      <c r="R124" s="294">
        <f t="array" ref="R124">SUM(IF('Pipe Audit'!$D$3:$D$82=$A124,IF('Pipe Audit'!$Q$3:$Q$82=1,'Pipe Audit'!$K$3:$K$82)))</f>
        <v>0</v>
      </c>
      <c r="S124" s="294" cm="1">
        <f t="array" ref="S124">SUM(IF('Pipe Audit'!$D$3:$D$82=$A124,IF('Pipe Audit'!$U$3:$U$82&gt;0.25,'Pipe Audit'!$AJ$3:$AJ$82)))</f>
        <v>0</v>
      </c>
      <c r="T124" s="294">
        <f t="array" ref="T124">SUM(IF('Pipe Audit'!$D$3:$D$82=$A124,IF('Pipe Audit'!$U$3:$U$82&gt;0.2,'Pipe Audit'!$K$3:$K$82)))</f>
        <v>0</v>
      </c>
      <c r="U124" s="295">
        <f t="shared" si="33"/>
        <v>0</v>
      </c>
      <c r="V124" s="296" t="e">
        <f t="shared" si="34"/>
        <v>#DIV/0!</v>
      </c>
    </row>
    <row r="125" spans="1:22" ht="22.5" x14ac:dyDescent="0.45">
      <c r="A125" s="306" t="s">
        <v>226</v>
      </c>
      <c r="B125" s="307">
        <v>212</v>
      </c>
      <c r="C125" s="308" t="s">
        <v>427</v>
      </c>
      <c r="D125" s="288"/>
      <c r="E125" s="289">
        <f>SUMIF('Pipe Audit'!$D$3:$D$82,A125,'Pipe Audit'!$K$3:$K$82)</f>
        <v>0</v>
      </c>
      <c r="F125" s="289">
        <f>SUMIF('Pipe Audit'!$D$3:$D$82,A125,'Pipe Audit'!$O$3:$O$82)</f>
        <v>0</v>
      </c>
      <c r="G125" s="289">
        <f t="shared" si="27"/>
        <v>0</v>
      </c>
      <c r="H125" s="290" t="e">
        <f t="shared" si="28"/>
        <v>#DIV/0!</v>
      </c>
      <c r="I125" s="289">
        <f>SUMIF('Pipe Audit'!$D$3:$D$82,A125,'Pipe Audit'!$BD$3:$BD$82)</f>
        <v>0</v>
      </c>
      <c r="J125" s="289">
        <f>SUMIF('Pipe Audit'!$D$3:$D$82,A125,'Pipe Audit'!$BE$3:$BE$82)</f>
        <v>0</v>
      </c>
      <c r="K125" s="289">
        <f t="shared" si="29"/>
        <v>0</v>
      </c>
      <c r="L125" s="291" t="e">
        <f t="shared" si="30"/>
        <v>#DIV/0!</v>
      </c>
      <c r="M125" s="289">
        <f>SUMIF('Pipe Audit'!$D$3:$D$82,A125,'Pipe Audit'!$AJ$3:$AJ$82)</f>
        <v>0</v>
      </c>
      <c r="N125" s="292" cm="1">
        <f t="array" ref="N125">SUM(IF('Pipe Audit'!$D$3:$D$82=$A125,IF('Pipe Audit'!$Q$3:$Q$82=1,'Pipe Audit'!$AJ$3:$AJ$82)))</f>
        <v>0</v>
      </c>
      <c r="O125" s="292">
        <f t="shared" si="31"/>
        <v>0</v>
      </c>
      <c r="P125" s="293" t="e">
        <f t="shared" si="32"/>
        <v>#DIV/0!</v>
      </c>
      <c r="Q125" s="294" cm="1">
        <f t="array" ref="Q125">SUM(IF('Pipe Audit'!$D$3:$D$82=$A125,IF('Pipe Audit'!$AJ$3:$AJ$82=1,'Pipe Audit'!$K$3:$K$82)))</f>
        <v>0</v>
      </c>
      <c r="R125" s="294">
        <f t="array" ref="R125">SUM(IF('Pipe Audit'!$D$3:$D$82=$A125,IF('Pipe Audit'!$Q$3:$Q$82=1,'Pipe Audit'!$K$3:$K$82)))</f>
        <v>0</v>
      </c>
      <c r="S125" s="294" cm="1">
        <f t="array" ref="S125">SUM(IF('Pipe Audit'!$D$3:$D$82=$A125,IF('Pipe Audit'!$U$3:$U$82&gt;0.25,'Pipe Audit'!$AJ$3:$AJ$82)))</f>
        <v>0</v>
      </c>
      <c r="T125" s="294">
        <f t="array" ref="T125">SUM(IF('Pipe Audit'!$D$3:$D$82=$A125,IF('Pipe Audit'!$U$3:$U$82&gt;0.2,'Pipe Audit'!$K$3:$K$82)))</f>
        <v>0</v>
      </c>
      <c r="U125" s="295">
        <f t="shared" si="33"/>
        <v>0</v>
      </c>
      <c r="V125" s="296" t="e">
        <f t="shared" si="34"/>
        <v>#DIV/0!</v>
      </c>
    </row>
    <row r="126" spans="1:22" ht="22.5" x14ac:dyDescent="0.45">
      <c r="A126" s="306" t="s">
        <v>180</v>
      </c>
      <c r="B126" s="307">
        <v>212</v>
      </c>
      <c r="C126" s="308" t="s">
        <v>428</v>
      </c>
      <c r="D126" s="288"/>
      <c r="E126" s="289">
        <f>SUMIF('Pipe Audit'!$D$3:$D$82,A126,'Pipe Audit'!$K$3:$K$82)</f>
        <v>0</v>
      </c>
      <c r="F126" s="289">
        <f>SUMIF('Pipe Audit'!$D$3:$D$82,A126,'Pipe Audit'!$O$3:$O$82)</f>
        <v>0</v>
      </c>
      <c r="G126" s="289">
        <f t="shared" si="27"/>
        <v>0</v>
      </c>
      <c r="H126" s="290" t="e">
        <f t="shared" si="28"/>
        <v>#DIV/0!</v>
      </c>
      <c r="I126" s="289">
        <f>SUMIF('Pipe Audit'!$D$3:$D$82,A126,'Pipe Audit'!$BD$3:$BD$82)</f>
        <v>0</v>
      </c>
      <c r="J126" s="289">
        <f>SUMIF('Pipe Audit'!$D$3:$D$82,A126,'Pipe Audit'!$BE$3:$BE$82)</f>
        <v>0</v>
      </c>
      <c r="K126" s="289">
        <f t="shared" si="29"/>
        <v>0</v>
      </c>
      <c r="L126" s="291" t="e">
        <f t="shared" si="30"/>
        <v>#DIV/0!</v>
      </c>
      <c r="M126" s="289">
        <f>SUMIF('Pipe Audit'!$D$3:$D$82,A126,'Pipe Audit'!$AJ$3:$AJ$82)</f>
        <v>0</v>
      </c>
      <c r="N126" s="292" cm="1">
        <f t="array" ref="N126">SUM(IF('Pipe Audit'!$D$3:$D$82=$A126,IF('Pipe Audit'!$Q$3:$Q$82=1,'Pipe Audit'!$AJ$3:$AJ$82)))</f>
        <v>0</v>
      </c>
      <c r="O126" s="292">
        <f t="shared" si="31"/>
        <v>0</v>
      </c>
      <c r="P126" s="293" t="e">
        <f t="shared" si="32"/>
        <v>#DIV/0!</v>
      </c>
      <c r="Q126" s="294" cm="1">
        <f t="array" ref="Q126">SUM(IF('Pipe Audit'!$D$3:$D$82=$A126,IF('Pipe Audit'!$AJ$3:$AJ$82=1,'Pipe Audit'!$K$3:$K$82)))</f>
        <v>0</v>
      </c>
      <c r="R126" s="294">
        <f t="array" ref="R126">SUM(IF('Pipe Audit'!$D$3:$D$82=$A126,IF('Pipe Audit'!$Q$3:$Q$82=1,'Pipe Audit'!$K$3:$K$82)))</f>
        <v>0</v>
      </c>
      <c r="S126" s="294" cm="1">
        <f t="array" ref="S126">SUM(IF('Pipe Audit'!$D$3:$D$82=$A126,IF('Pipe Audit'!$U$3:$U$82&gt;0.25,'Pipe Audit'!$AJ$3:$AJ$82)))</f>
        <v>0</v>
      </c>
      <c r="T126" s="294">
        <f t="array" ref="T126">SUM(IF('Pipe Audit'!$D$3:$D$82=$A126,IF('Pipe Audit'!$U$3:$U$82&gt;0.2,'Pipe Audit'!$K$3:$K$82)))</f>
        <v>0</v>
      </c>
      <c r="U126" s="295">
        <f t="shared" si="33"/>
        <v>0</v>
      </c>
      <c r="V126" s="296" t="e">
        <f t="shared" si="34"/>
        <v>#DIV/0!</v>
      </c>
    </row>
    <row r="127" spans="1:22" ht="22.5" x14ac:dyDescent="0.45">
      <c r="A127" s="306" t="s">
        <v>321</v>
      </c>
      <c r="B127" s="307">
        <v>212</v>
      </c>
      <c r="C127" s="308" t="s">
        <v>429</v>
      </c>
      <c r="D127" s="288"/>
      <c r="E127" s="289">
        <f>SUMIF('Pipe Audit'!$D$3:$D$82,A127,'Pipe Audit'!$K$3:$K$82)</f>
        <v>0</v>
      </c>
      <c r="F127" s="289">
        <f>SUMIF('Pipe Audit'!$D$3:$D$82,A127,'Pipe Audit'!$O$3:$O$82)</f>
        <v>0</v>
      </c>
      <c r="G127" s="289">
        <f t="shared" si="27"/>
        <v>0</v>
      </c>
      <c r="H127" s="290" t="e">
        <f t="shared" si="28"/>
        <v>#DIV/0!</v>
      </c>
      <c r="I127" s="289">
        <f>SUMIF('Pipe Audit'!$D$3:$D$82,A127,'Pipe Audit'!$BD$3:$BD$82)</f>
        <v>0</v>
      </c>
      <c r="J127" s="289">
        <f>SUMIF('Pipe Audit'!$D$3:$D$82,A127,'Pipe Audit'!$BE$3:$BE$82)</f>
        <v>0</v>
      </c>
      <c r="K127" s="289">
        <f t="shared" si="29"/>
        <v>0</v>
      </c>
      <c r="L127" s="291" t="e">
        <f t="shared" si="30"/>
        <v>#DIV/0!</v>
      </c>
      <c r="M127" s="289">
        <f>SUMIF('Pipe Audit'!$D$3:$D$82,A127,'Pipe Audit'!$AJ$3:$AJ$82)</f>
        <v>0</v>
      </c>
      <c r="N127" s="292" cm="1">
        <f t="array" ref="N127">SUM(IF('Pipe Audit'!$D$3:$D$82=$A127,IF('Pipe Audit'!$Q$3:$Q$82=1,'Pipe Audit'!$AJ$3:$AJ$82)))</f>
        <v>0</v>
      </c>
      <c r="O127" s="292">
        <f t="shared" si="31"/>
        <v>0</v>
      </c>
      <c r="P127" s="293" t="e">
        <f t="shared" si="32"/>
        <v>#DIV/0!</v>
      </c>
      <c r="Q127" s="294" cm="1">
        <f t="array" ref="Q127">SUM(IF('Pipe Audit'!$D$3:$D$82=$A127,IF('Pipe Audit'!$AJ$3:$AJ$82=1,'Pipe Audit'!$K$3:$K$82)))</f>
        <v>0</v>
      </c>
      <c r="R127" s="294">
        <f t="array" ref="R127">SUM(IF('Pipe Audit'!$D$3:$D$82=$A127,IF('Pipe Audit'!$Q$3:$Q$82=1,'Pipe Audit'!$K$3:$K$82)))</f>
        <v>0</v>
      </c>
      <c r="S127" s="294" cm="1">
        <f t="array" ref="S127">SUM(IF('Pipe Audit'!$D$3:$D$82=$A127,IF('Pipe Audit'!$U$3:$U$82&gt;0.25,'Pipe Audit'!$AJ$3:$AJ$82)))</f>
        <v>0</v>
      </c>
      <c r="T127" s="294">
        <f t="array" ref="T127">SUM(IF('Pipe Audit'!$D$3:$D$82=$A127,IF('Pipe Audit'!$U$3:$U$82&gt;0.2,'Pipe Audit'!$K$3:$K$82)))</f>
        <v>0</v>
      </c>
      <c r="U127" s="295">
        <f t="shared" si="33"/>
        <v>0</v>
      </c>
      <c r="V127" s="296" t="e">
        <f t="shared" si="34"/>
        <v>#DIV/0!</v>
      </c>
    </row>
    <row r="128" spans="1:22" ht="22.5" x14ac:dyDescent="0.45">
      <c r="A128" s="306" t="s">
        <v>232</v>
      </c>
      <c r="B128" s="307">
        <v>212</v>
      </c>
      <c r="C128" s="308" t="s">
        <v>430</v>
      </c>
      <c r="D128" s="288"/>
      <c r="E128" s="289">
        <f>SUMIF('Pipe Audit'!$D$3:$D$82,A128,'Pipe Audit'!$K$3:$K$82)</f>
        <v>0</v>
      </c>
      <c r="F128" s="289">
        <f>SUMIF('Pipe Audit'!$D$3:$D$82,A128,'Pipe Audit'!$O$3:$O$82)</f>
        <v>0</v>
      </c>
      <c r="G128" s="289">
        <f t="shared" si="27"/>
        <v>0</v>
      </c>
      <c r="H128" s="290" t="e">
        <f t="shared" si="28"/>
        <v>#DIV/0!</v>
      </c>
      <c r="I128" s="289">
        <f>SUMIF('Pipe Audit'!$D$3:$D$82,A128,'Pipe Audit'!$BD$3:$BD$82)</f>
        <v>0</v>
      </c>
      <c r="J128" s="289">
        <f>SUMIF('Pipe Audit'!$D$3:$D$82,A128,'Pipe Audit'!$BE$3:$BE$82)</f>
        <v>0</v>
      </c>
      <c r="K128" s="289">
        <f t="shared" si="29"/>
        <v>0</v>
      </c>
      <c r="L128" s="291" t="e">
        <f t="shared" si="30"/>
        <v>#DIV/0!</v>
      </c>
      <c r="M128" s="289">
        <f>SUMIF('Pipe Audit'!$D$3:$D$82,A128,'Pipe Audit'!$AJ$3:$AJ$82)</f>
        <v>0</v>
      </c>
      <c r="N128" s="292" cm="1">
        <f t="array" ref="N128">SUM(IF('Pipe Audit'!$D$3:$D$82=$A128,IF('Pipe Audit'!$Q$3:$Q$82=1,'Pipe Audit'!$AJ$3:$AJ$82)))</f>
        <v>0</v>
      </c>
      <c r="O128" s="292">
        <f t="shared" si="31"/>
        <v>0</v>
      </c>
      <c r="P128" s="293" t="e">
        <f t="shared" si="32"/>
        <v>#DIV/0!</v>
      </c>
      <c r="Q128" s="294" cm="1">
        <f t="array" ref="Q128">SUM(IF('Pipe Audit'!$D$3:$D$82=$A128,IF('Pipe Audit'!$AJ$3:$AJ$82=1,'Pipe Audit'!$K$3:$K$82)))</f>
        <v>0</v>
      </c>
      <c r="R128" s="294">
        <f t="array" ref="R128">SUM(IF('Pipe Audit'!$D$3:$D$82=$A128,IF('Pipe Audit'!$Q$3:$Q$82=1,'Pipe Audit'!$K$3:$K$82)))</f>
        <v>0</v>
      </c>
      <c r="S128" s="294" cm="1">
        <f t="array" ref="S128">SUM(IF('Pipe Audit'!$D$3:$D$82=$A128,IF('Pipe Audit'!$U$3:$U$82&gt;0.25,'Pipe Audit'!$AJ$3:$AJ$82)))</f>
        <v>0</v>
      </c>
      <c r="T128" s="294">
        <f t="array" ref="T128">SUM(IF('Pipe Audit'!$D$3:$D$82=$A128,IF('Pipe Audit'!$U$3:$U$82&gt;0.2,'Pipe Audit'!$K$3:$K$82)))</f>
        <v>0</v>
      </c>
      <c r="U128" s="295">
        <f t="shared" si="33"/>
        <v>0</v>
      </c>
      <c r="V128" s="296" t="e">
        <f t="shared" si="34"/>
        <v>#DIV/0!</v>
      </c>
    </row>
    <row r="129" spans="1:22" ht="22.5" x14ac:dyDescent="0.45">
      <c r="A129" s="306" t="s">
        <v>222</v>
      </c>
      <c r="B129" s="307">
        <v>212</v>
      </c>
      <c r="C129" s="308" t="s">
        <v>431</v>
      </c>
      <c r="D129" s="288"/>
      <c r="E129" s="289">
        <f>SUMIF('Pipe Audit'!$D$3:$D$82,A129,'Pipe Audit'!$K$3:$K$82)</f>
        <v>0</v>
      </c>
      <c r="F129" s="289">
        <f>SUMIF('Pipe Audit'!$D$3:$D$82,A129,'Pipe Audit'!$O$3:$O$82)</f>
        <v>0</v>
      </c>
      <c r="G129" s="289">
        <f t="shared" si="27"/>
        <v>0</v>
      </c>
      <c r="H129" s="290" t="e">
        <f t="shared" si="28"/>
        <v>#DIV/0!</v>
      </c>
      <c r="I129" s="289">
        <f>SUMIF('Pipe Audit'!$D$3:$D$82,A129,'Pipe Audit'!$BD$3:$BD$82)</f>
        <v>0</v>
      </c>
      <c r="J129" s="289">
        <f>SUMIF('Pipe Audit'!$D$3:$D$82,A129,'Pipe Audit'!$BE$3:$BE$82)</f>
        <v>0</v>
      </c>
      <c r="K129" s="289">
        <f t="shared" si="29"/>
        <v>0</v>
      </c>
      <c r="L129" s="291" t="e">
        <f t="shared" si="30"/>
        <v>#DIV/0!</v>
      </c>
      <c r="M129" s="289">
        <f>SUMIF('Pipe Audit'!$D$3:$D$82,A129,'Pipe Audit'!$AJ$3:$AJ$82)</f>
        <v>0</v>
      </c>
      <c r="N129" s="292" cm="1">
        <f t="array" ref="N129">SUM(IF('Pipe Audit'!$D$3:$D$82=$A129,IF('Pipe Audit'!$Q$3:$Q$82=1,'Pipe Audit'!$AJ$3:$AJ$82)))</f>
        <v>0</v>
      </c>
      <c r="O129" s="292">
        <f t="shared" si="31"/>
        <v>0</v>
      </c>
      <c r="P129" s="293" t="e">
        <f t="shared" si="32"/>
        <v>#DIV/0!</v>
      </c>
      <c r="Q129" s="294" cm="1">
        <f t="array" ref="Q129">SUM(IF('Pipe Audit'!$D$3:$D$82=$A129,IF('Pipe Audit'!$AJ$3:$AJ$82=1,'Pipe Audit'!$K$3:$K$82)))</f>
        <v>0</v>
      </c>
      <c r="R129" s="294">
        <f t="array" ref="R129">SUM(IF('Pipe Audit'!$D$3:$D$82=$A129,IF('Pipe Audit'!$Q$3:$Q$82=1,'Pipe Audit'!$K$3:$K$82)))</f>
        <v>0</v>
      </c>
      <c r="S129" s="294" cm="1">
        <f t="array" ref="S129">SUM(IF('Pipe Audit'!$D$3:$D$82=$A129,IF('Pipe Audit'!$U$3:$U$82&gt;0.25,'Pipe Audit'!$AJ$3:$AJ$82)))</f>
        <v>0</v>
      </c>
      <c r="T129" s="294">
        <f t="array" ref="T129">SUM(IF('Pipe Audit'!$D$3:$D$82=$A129,IF('Pipe Audit'!$U$3:$U$82&gt;0.2,'Pipe Audit'!$K$3:$K$82)))</f>
        <v>0</v>
      </c>
      <c r="U129" s="295">
        <f t="shared" si="33"/>
        <v>0</v>
      </c>
      <c r="V129" s="296" t="e">
        <f t="shared" si="34"/>
        <v>#DIV/0!</v>
      </c>
    </row>
    <row r="130" spans="1:22" ht="22.5" x14ac:dyDescent="0.45">
      <c r="A130" s="306" t="s">
        <v>275</v>
      </c>
      <c r="B130" s="307">
        <v>212</v>
      </c>
      <c r="C130" s="308" t="s">
        <v>432</v>
      </c>
      <c r="D130" s="288"/>
      <c r="E130" s="289">
        <f>SUMIF('Pipe Audit'!$D$3:$D$82,A130,'Pipe Audit'!$K$3:$K$82)</f>
        <v>0</v>
      </c>
      <c r="F130" s="289">
        <f>SUMIF('Pipe Audit'!$D$3:$D$82,A130,'Pipe Audit'!$O$3:$O$82)</f>
        <v>0</v>
      </c>
      <c r="G130" s="289">
        <f t="shared" si="27"/>
        <v>0</v>
      </c>
      <c r="H130" s="290" t="e">
        <f t="shared" si="28"/>
        <v>#DIV/0!</v>
      </c>
      <c r="I130" s="289">
        <f>SUMIF('Pipe Audit'!$D$3:$D$82,A130,'Pipe Audit'!$BD$3:$BD$82)</f>
        <v>0</v>
      </c>
      <c r="J130" s="289">
        <f>SUMIF('Pipe Audit'!$D$3:$D$82,A130,'Pipe Audit'!$BE$3:$BE$82)</f>
        <v>0</v>
      </c>
      <c r="K130" s="289">
        <f t="shared" si="29"/>
        <v>0</v>
      </c>
      <c r="L130" s="291" t="e">
        <f t="shared" si="30"/>
        <v>#DIV/0!</v>
      </c>
      <c r="M130" s="289">
        <f>SUMIF('Pipe Audit'!$D$3:$D$82,A130,'Pipe Audit'!$AJ$3:$AJ$82)</f>
        <v>0</v>
      </c>
      <c r="N130" s="292" cm="1">
        <f t="array" ref="N130">SUM(IF('Pipe Audit'!$D$3:$D$82=$A130,IF('Pipe Audit'!$Q$3:$Q$82=1,'Pipe Audit'!$AJ$3:$AJ$82)))</f>
        <v>0</v>
      </c>
      <c r="O130" s="292">
        <f t="shared" si="31"/>
        <v>0</v>
      </c>
      <c r="P130" s="293" t="e">
        <f t="shared" si="32"/>
        <v>#DIV/0!</v>
      </c>
      <c r="Q130" s="294" cm="1">
        <f t="array" ref="Q130">SUM(IF('Pipe Audit'!$D$3:$D$82=$A130,IF('Pipe Audit'!$AJ$3:$AJ$82=1,'Pipe Audit'!$K$3:$K$82)))</f>
        <v>0</v>
      </c>
      <c r="R130" s="294">
        <f t="array" ref="R130">SUM(IF('Pipe Audit'!$D$3:$D$82=$A130,IF('Pipe Audit'!$Q$3:$Q$82=1,'Pipe Audit'!$K$3:$K$82)))</f>
        <v>0</v>
      </c>
      <c r="S130" s="294" cm="1">
        <f t="array" ref="S130">SUM(IF('Pipe Audit'!$D$3:$D$82=$A130,IF('Pipe Audit'!$U$3:$U$82&gt;0.25,'Pipe Audit'!$AJ$3:$AJ$82)))</f>
        <v>0</v>
      </c>
      <c r="T130" s="294">
        <f t="array" ref="T130">SUM(IF('Pipe Audit'!$D$3:$D$82=$A130,IF('Pipe Audit'!$U$3:$U$82&gt;0.2,'Pipe Audit'!$K$3:$K$82)))</f>
        <v>0</v>
      </c>
      <c r="U130" s="295">
        <f t="shared" si="33"/>
        <v>0</v>
      </c>
      <c r="V130" s="296" t="e">
        <f t="shared" si="34"/>
        <v>#DIV/0!</v>
      </c>
    </row>
    <row r="131" spans="1:22" ht="22.5" x14ac:dyDescent="0.45">
      <c r="A131" s="306" t="s">
        <v>322</v>
      </c>
      <c r="B131" s="307">
        <v>212</v>
      </c>
      <c r="C131" s="308" t="s">
        <v>433</v>
      </c>
      <c r="D131" s="288"/>
      <c r="E131" s="289">
        <f>SUMIF('Pipe Audit'!$D$3:$D$82,A131,'Pipe Audit'!$K$3:$K$82)</f>
        <v>0</v>
      </c>
      <c r="F131" s="289">
        <f>SUMIF('Pipe Audit'!$D$3:$D$82,A131,'Pipe Audit'!$O$3:$O$82)</f>
        <v>0</v>
      </c>
      <c r="G131" s="289">
        <f t="shared" ref="G131:G157" si="35">E131-F131</f>
        <v>0</v>
      </c>
      <c r="H131" s="290" t="e">
        <f t="shared" ref="H131:H158" si="36">F131/E131</f>
        <v>#DIV/0!</v>
      </c>
      <c r="I131" s="289">
        <f>SUMIF('Pipe Audit'!$D$3:$D$82,A131,'Pipe Audit'!$BD$3:$BD$82)</f>
        <v>0</v>
      </c>
      <c r="J131" s="289">
        <f>SUMIF('Pipe Audit'!$D$3:$D$82,A131,'Pipe Audit'!$BE$3:$BE$82)</f>
        <v>0</v>
      </c>
      <c r="K131" s="289">
        <f t="shared" ref="K131:K157" si="37">I131-J131</f>
        <v>0</v>
      </c>
      <c r="L131" s="291" t="e">
        <f t="shared" ref="L131:L157" si="38">J131/I131</f>
        <v>#DIV/0!</v>
      </c>
      <c r="M131" s="289">
        <f>SUMIF('Pipe Audit'!$D$3:$D$82,A131,'Pipe Audit'!$AJ$3:$AJ$82)</f>
        <v>0</v>
      </c>
      <c r="N131" s="292" cm="1">
        <f t="array" ref="N131">SUM(IF('Pipe Audit'!$D$3:$D$82=$A131,IF('Pipe Audit'!$Q$3:$Q$82=1,'Pipe Audit'!$AJ$3:$AJ$82)))</f>
        <v>0</v>
      </c>
      <c r="O131" s="292">
        <f t="shared" ref="O131:O157" si="39">M131-N131</f>
        <v>0</v>
      </c>
      <c r="P131" s="293" t="e">
        <f t="shared" ref="P131:P157" si="40">N131/M131</f>
        <v>#DIV/0!</v>
      </c>
      <c r="Q131" s="294" cm="1">
        <f t="array" ref="Q131">SUM(IF('Pipe Audit'!$D$3:$D$82=$A131,IF('Pipe Audit'!$AJ$3:$AJ$82=1,'Pipe Audit'!$K$3:$K$82)))</f>
        <v>0</v>
      </c>
      <c r="R131" s="294">
        <f t="array" ref="R131">SUM(IF('Pipe Audit'!$D$3:$D$82=$A131,IF('Pipe Audit'!$Q$3:$Q$82=1,'Pipe Audit'!$K$3:$K$82)))</f>
        <v>0</v>
      </c>
      <c r="S131" s="294" cm="1">
        <f t="array" ref="S131">SUM(IF('Pipe Audit'!$D$3:$D$82=$A131,IF('Pipe Audit'!$U$3:$U$82&gt;0.25,'Pipe Audit'!$AJ$3:$AJ$82)))</f>
        <v>0</v>
      </c>
      <c r="T131" s="294">
        <f t="array" ref="T131">SUM(IF('Pipe Audit'!$D$3:$D$82=$A131,IF('Pipe Audit'!$U$3:$U$82&gt;0.2,'Pipe Audit'!$K$3:$K$82)))</f>
        <v>0</v>
      </c>
      <c r="U131" s="295">
        <f t="shared" ref="U131:U157" si="41">SUM(M131-S131)</f>
        <v>0</v>
      </c>
      <c r="V131" s="296" t="e">
        <f t="shared" ref="V131:V157" si="42">SUM(S131/M131)</f>
        <v>#DIV/0!</v>
      </c>
    </row>
    <row r="132" spans="1:22" ht="22.5" x14ac:dyDescent="0.45">
      <c r="A132" s="306" t="s">
        <v>269</v>
      </c>
      <c r="B132" s="307">
        <v>212</v>
      </c>
      <c r="C132" s="308" t="s">
        <v>434</v>
      </c>
      <c r="D132" s="288"/>
      <c r="E132" s="289">
        <f>SUMIF('Pipe Audit'!$D$3:$D$82,A132,'Pipe Audit'!$K$3:$K$82)</f>
        <v>0</v>
      </c>
      <c r="F132" s="289">
        <f>SUMIF('Pipe Audit'!$D$3:$D$82,A132,'Pipe Audit'!$O$3:$O$82)</f>
        <v>0</v>
      </c>
      <c r="G132" s="289">
        <f t="shared" si="35"/>
        <v>0</v>
      </c>
      <c r="H132" s="290" t="e">
        <f t="shared" si="36"/>
        <v>#DIV/0!</v>
      </c>
      <c r="I132" s="289">
        <f>SUMIF('Pipe Audit'!$D$3:$D$82,A132,'Pipe Audit'!$BD$3:$BD$82)</f>
        <v>0</v>
      </c>
      <c r="J132" s="289">
        <f>SUMIF('Pipe Audit'!$D$3:$D$82,A132,'Pipe Audit'!$BE$3:$BE$82)</f>
        <v>0</v>
      </c>
      <c r="K132" s="289">
        <f t="shared" si="37"/>
        <v>0</v>
      </c>
      <c r="L132" s="291" t="e">
        <f t="shared" si="38"/>
        <v>#DIV/0!</v>
      </c>
      <c r="M132" s="289">
        <f>SUMIF('Pipe Audit'!$D$3:$D$82,A132,'Pipe Audit'!$AJ$3:$AJ$82)</f>
        <v>0</v>
      </c>
      <c r="N132" s="292" cm="1">
        <f t="array" ref="N132">SUM(IF('Pipe Audit'!$D$3:$D$82=$A132,IF('Pipe Audit'!$Q$3:$Q$82=1,'Pipe Audit'!$AJ$3:$AJ$82)))</f>
        <v>0</v>
      </c>
      <c r="O132" s="292">
        <f t="shared" si="39"/>
        <v>0</v>
      </c>
      <c r="P132" s="293" t="e">
        <f t="shared" si="40"/>
        <v>#DIV/0!</v>
      </c>
      <c r="Q132" s="294" cm="1">
        <f t="array" ref="Q132">SUM(IF('Pipe Audit'!$D$3:$D$82=$A132,IF('Pipe Audit'!$AJ$3:$AJ$82=1,'Pipe Audit'!$K$3:$K$82)))</f>
        <v>0</v>
      </c>
      <c r="R132" s="294">
        <f t="array" ref="R132">SUM(IF('Pipe Audit'!$D$3:$D$82=$A132,IF('Pipe Audit'!$Q$3:$Q$82=1,'Pipe Audit'!$K$3:$K$82)))</f>
        <v>0</v>
      </c>
      <c r="S132" s="294" cm="1">
        <f t="array" ref="S132">SUM(IF('Pipe Audit'!$D$3:$D$82=$A132,IF('Pipe Audit'!$U$3:$U$82&gt;0.25,'Pipe Audit'!$AJ$3:$AJ$82)))</f>
        <v>0</v>
      </c>
      <c r="T132" s="294">
        <f t="array" ref="T132">SUM(IF('Pipe Audit'!$D$3:$D$82=$A132,IF('Pipe Audit'!$U$3:$U$82&gt;0.2,'Pipe Audit'!$K$3:$K$82)))</f>
        <v>0</v>
      </c>
      <c r="U132" s="295">
        <f t="shared" si="41"/>
        <v>0</v>
      </c>
      <c r="V132" s="296" t="e">
        <f t="shared" si="42"/>
        <v>#DIV/0!</v>
      </c>
    </row>
    <row r="133" spans="1:22" ht="22.5" x14ac:dyDescent="0.45">
      <c r="A133" s="306" t="s">
        <v>173</v>
      </c>
      <c r="B133" s="307">
        <v>213</v>
      </c>
      <c r="C133" s="308" t="s">
        <v>435</v>
      </c>
      <c r="D133" s="288"/>
      <c r="E133" s="289">
        <f>SUMIF('Pipe Audit'!$D$3:$D$82,A133,'Pipe Audit'!$K$3:$K$82)</f>
        <v>0</v>
      </c>
      <c r="F133" s="289">
        <f>SUMIF('Pipe Audit'!$D$3:$D$82,A133,'Pipe Audit'!$O$3:$O$82)</f>
        <v>0</v>
      </c>
      <c r="G133" s="289">
        <f t="shared" si="35"/>
        <v>0</v>
      </c>
      <c r="H133" s="290" t="e">
        <f t="shared" si="36"/>
        <v>#DIV/0!</v>
      </c>
      <c r="I133" s="289">
        <f>SUMIF('Pipe Audit'!$D$3:$D$82,A133,'Pipe Audit'!$BD$3:$BD$82)</f>
        <v>0</v>
      </c>
      <c r="J133" s="289">
        <f>SUMIF('Pipe Audit'!$D$3:$D$82,A133,'Pipe Audit'!$BE$3:$BE$82)</f>
        <v>0</v>
      </c>
      <c r="K133" s="289">
        <f t="shared" si="37"/>
        <v>0</v>
      </c>
      <c r="L133" s="291" t="e">
        <f t="shared" si="38"/>
        <v>#DIV/0!</v>
      </c>
      <c r="M133" s="289">
        <f>SUMIF('Pipe Audit'!$D$3:$D$82,A133,'Pipe Audit'!$AJ$3:$AJ$82)</f>
        <v>0</v>
      </c>
      <c r="N133" s="292" cm="1">
        <f t="array" ref="N133">SUM(IF('Pipe Audit'!$D$3:$D$82=$A133,IF('Pipe Audit'!$Q$3:$Q$82=1,'Pipe Audit'!$AJ$3:$AJ$82)))</f>
        <v>0</v>
      </c>
      <c r="O133" s="292">
        <f t="shared" si="39"/>
        <v>0</v>
      </c>
      <c r="P133" s="293" t="e">
        <f t="shared" si="40"/>
        <v>#DIV/0!</v>
      </c>
      <c r="Q133" s="294" cm="1">
        <f t="array" ref="Q133">SUM(IF('Pipe Audit'!$D$3:$D$82=$A133,IF('Pipe Audit'!$AJ$3:$AJ$82=1,'Pipe Audit'!$K$3:$K$82)))</f>
        <v>0</v>
      </c>
      <c r="R133" s="294">
        <f t="array" ref="R133">SUM(IF('Pipe Audit'!$D$3:$D$82=$A133,IF('Pipe Audit'!$Q$3:$Q$82=1,'Pipe Audit'!$K$3:$K$82)))</f>
        <v>0</v>
      </c>
      <c r="S133" s="294" cm="1">
        <f t="array" ref="S133">SUM(IF('Pipe Audit'!$D$3:$D$82=$A133,IF('Pipe Audit'!$U$3:$U$82&gt;0.25,'Pipe Audit'!$AJ$3:$AJ$82)))</f>
        <v>0</v>
      </c>
      <c r="T133" s="294">
        <f t="array" ref="T133">SUM(IF('Pipe Audit'!$D$3:$D$82=$A133,IF('Pipe Audit'!$U$3:$U$82&gt;0.2,'Pipe Audit'!$K$3:$K$82)))</f>
        <v>0</v>
      </c>
      <c r="U133" s="295">
        <f t="shared" si="41"/>
        <v>0</v>
      </c>
      <c r="V133" s="296" t="e">
        <f t="shared" si="42"/>
        <v>#DIV/0!</v>
      </c>
    </row>
    <row r="134" spans="1:22" ht="22.5" x14ac:dyDescent="0.45">
      <c r="A134" s="306" t="s">
        <v>158</v>
      </c>
      <c r="B134" s="307">
        <v>213</v>
      </c>
      <c r="C134" s="308" t="s">
        <v>436</v>
      </c>
      <c r="D134" s="288"/>
      <c r="E134" s="289">
        <f>SUMIF('Pipe Audit'!$D$3:$D$82,A134,'Pipe Audit'!$K$3:$K$82)</f>
        <v>0</v>
      </c>
      <c r="F134" s="289">
        <f>SUMIF('Pipe Audit'!$D$3:$D$82,A134,'Pipe Audit'!$O$3:$O$82)</f>
        <v>0</v>
      </c>
      <c r="G134" s="289">
        <f t="shared" si="35"/>
        <v>0</v>
      </c>
      <c r="H134" s="290" t="e">
        <f t="shared" si="36"/>
        <v>#DIV/0!</v>
      </c>
      <c r="I134" s="289">
        <f>SUMIF('Pipe Audit'!$D$3:$D$82,A134,'Pipe Audit'!$BD$3:$BD$82)</f>
        <v>0</v>
      </c>
      <c r="J134" s="289">
        <f>SUMIF('Pipe Audit'!$D$3:$D$82,A134,'Pipe Audit'!$BE$3:$BE$82)</f>
        <v>0</v>
      </c>
      <c r="K134" s="289">
        <f t="shared" si="37"/>
        <v>0</v>
      </c>
      <c r="L134" s="291" t="e">
        <f t="shared" si="38"/>
        <v>#DIV/0!</v>
      </c>
      <c r="M134" s="289">
        <f>SUMIF('Pipe Audit'!$D$3:$D$82,A134,'Pipe Audit'!$AJ$3:$AJ$82)</f>
        <v>0</v>
      </c>
      <c r="N134" s="292" cm="1">
        <f t="array" ref="N134">SUM(IF('Pipe Audit'!$D$3:$D$82=$A134,IF('Pipe Audit'!$Q$3:$Q$82=1,'Pipe Audit'!$AJ$3:$AJ$82)))</f>
        <v>0</v>
      </c>
      <c r="O134" s="292">
        <f t="shared" si="39"/>
        <v>0</v>
      </c>
      <c r="P134" s="293" t="e">
        <f t="shared" si="40"/>
        <v>#DIV/0!</v>
      </c>
      <c r="Q134" s="294" cm="1">
        <f t="array" ref="Q134">SUM(IF('Pipe Audit'!$D$3:$D$82=$A134,IF('Pipe Audit'!$AJ$3:$AJ$82=1,'Pipe Audit'!$K$3:$K$82)))</f>
        <v>0</v>
      </c>
      <c r="R134" s="294">
        <f t="array" ref="R134">SUM(IF('Pipe Audit'!$D$3:$D$82=$A134,IF('Pipe Audit'!$Q$3:$Q$82=1,'Pipe Audit'!$K$3:$K$82)))</f>
        <v>0</v>
      </c>
      <c r="S134" s="294" cm="1">
        <f t="array" ref="S134">SUM(IF('Pipe Audit'!$D$3:$D$82=$A134,IF('Pipe Audit'!$U$3:$U$82&gt;0.25,'Pipe Audit'!$AJ$3:$AJ$82)))</f>
        <v>0</v>
      </c>
      <c r="T134" s="294">
        <f t="array" ref="T134">SUM(IF('Pipe Audit'!$D$3:$D$82=$A134,IF('Pipe Audit'!$U$3:$U$82&gt;0.2,'Pipe Audit'!$K$3:$K$82)))</f>
        <v>0</v>
      </c>
      <c r="U134" s="295">
        <f t="shared" si="41"/>
        <v>0</v>
      </c>
      <c r="V134" s="296" t="e">
        <f t="shared" si="42"/>
        <v>#DIV/0!</v>
      </c>
    </row>
    <row r="135" spans="1:22" ht="22.5" x14ac:dyDescent="0.45">
      <c r="A135" s="306" t="s">
        <v>156</v>
      </c>
      <c r="B135" s="307">
        <v>213</v>
      </c>
      <c r="C135" s="308" t="s">
        <v>437</v>
      </c>
      <c r="D135" s="288"/>
      <c r="E135" s="289">
        <f>SUMIF('Pipe Audit'!$D$3:$D$82,A135,'Pipe Audit'!$K$3:$K$82)</f>
        <v>0</v>
      </c>
      <c r="F135" s="289">
        <f>SUMIF('Pipe Audit'!$D$3:$D$82,A135,'Pipe Audit'!$O$3:$O$82)</f>
        <v>0</v>
      </c>
      <c r="G135" s="289">
        <f t="shared" si="35"/>
        <v>0</v>
      </c>
      <c r="H135" s="290" t="e">
        <f t="shared" si="36"/>
        <v>#DIV/0!</v>
      </c>
      <c r="I135" s="289">
        <f>SUMIF('Pipe Audit'!$D$3:$D$82,A135,'Pipe Audit'!$BD$3:$BD$82)</f>
        <v>0</v>
      </c>
      <c r="J135" s="289">
        <f>SUMIF('Pipe Audit'!$D$3:$D$82,A135,'Pipe Audit'!$BE$3:$BE$82)</f>
        <v>0</v>
      </c>
      <c r="K135" s="289">
        <f t="shared" si="37"/>
        <v>0</v>
      </c>
      <c r="L135" s="291" t="e">
        <f t="shared" si="38"/>
        <v>#DIV/0!</v>
      </c>
      <c r="M135" s="289">
        <f>SUMIF('Pipe Audit'!$D$3:$D$82,A135,'Pipe Audit'!$AJ$3:$AJ$82)</f>
        <v>0</v>
      </c>
      <c r="N135" s="292" cm="1">
        <f t="array" ref="N135">SUM(IF('Pipe Audit'!$D$3:$D$82=$A135,IF('Pipe Audit'!$Q$3:$Q$82=1,'Pipe Audit'!$AJ$3:$AJ$82)))</f>
        <v>0</v>
      </c>
      <c r="O135" s="292">
        <f t="shared" si="39"/>
        <v>0</v>
      </c>
      <c r="P135" s="293" t="e">
        <f t="shared" si="40"/>
        <v>#DIV/0!</v>
      </c>
      <c r="Q135" s="294" cm="1">
        <f t="array" ref="Q135">SUM(IF('Pipe Audit'!$D$3:$D$82=$A135,IF('Pipe Audit'!$AJ$3:$AJ$82=1,'Pipe Audit'!$K$3:$K$82)))</f>
        <v>0</v>
      </c>
      <c r="R135" s="294">
        <f t="array" ref="R135">SUM(IF('Pipe Audit'!$D$3:$D$82=$A135,IF('Pipe Audit'!$Q$3:$Q$82=1,'Pipe Audit'!$K$3:$K$82)))</f>
        <v>0</v>
      </c>
      <c r="S135" s="294" cm="1">
        <f t="array" ref="S135">SUM(IF('Pipe Audit'!$D$3:$D$82=$A135,IF('Pipe Audit'!$U$3:$U$82&gt;0.25,'Pipe Audit'!$AJ$3:$AJ$82)))</f>
        <v>0</v>
      </c>
      <c r="T135" s="294">
        <f t="array" ref="T135">SUM(IF('Pipe Audit'!$D$3:$D$82=$A135,IF('Pipe Audit'!$U$3:$U$82&gt;0.2,'Pipe Audit'!$K$3:$K$82)))</f>
        <v>0</v>
      </c>
      <c r="U135" s="295">
        <f t="shared" si="41"/>
        <v>0</v>
      </c>
      <c r="V135" s="296" t="e">
        <f t="shared" si="42"/>
        <v>#DIV/0!</v>
      </c>
    </row>
    <row r="136" spans="1:22" ht="22.5" x14ac:dyDescent="0.45">
      <c r="A136" s="306" t="s">
        <v>251</v>
      </c>
      <c r="B136" s="307">
        <v>214</v>
      </c>
      <c r="C136" s="308" t="s">
        <v>467</v>
      </c>
      <c r="D136" s="288"/>
      <c r="E136" s="289">
        <f>SUMIF('Pipe Audit'!$D$3:$D$82,A136,'Pipe Audit'!$K$3:$K$82)</f>
        <v>0</v>
      </c>
      <c r="F136" s="289">
        <f>SUMIF('Pipe Audit'!$D$3:$D$82,A136,'Pipe Audit'!$O$3:$O$82)</f>
        <v>0</v>
      </c>
      <c r="G136" s="289">
        <f t="shared" si="35"/>
        <v>0</v>
      </c>
      <c r="H136" s="290" t="e">
        <f t="shared" si="36"/>
        <v>#DIV/0!</v>
      </c>
      <c r="I136" s="289">
        <f>SUMIF('Pipe Audit'!$D$3:$D$82,A136,'Pipe Audit'!$BD$3:$BD$82)</f>
        <v>0</v>
      </c>
      <c r="J136" s="289">
        <f>SUMIF('Pipe Audit'!$D$3:$D$82,A136,'Pipe Audit'!$BE$3:$BE$82)</f>
        <v>0</v>
      </c>
      <c r="K136" s="289">
        <f t="shared" si="37"/>
        <v>0</v>
      </c>
      <c r="L136" s="291" t="e">
        <f t="shared" si="38"/>
        <v>#DIV/0!</v>
      </c>
      <c r="M136" s="289">
        <f>SUMIF('Pipe Audit'!$D$3:$D$82,A136,'Pipe Audit'!$AJ$3:$AJ$82)</f>
        <v>0</v>
      </c>
      <c r="N136" s="292" cm="1">
        <f t="array" ref="N136">SUM(IF('Pipe Audit'!$D$3:$D$82=$A136,IF('Pipe Audit'!$Q$3:$Q$82=1,'Pipe Audit'!$AJ$3:$AJ$82)))</f>
        <v>0</v>
      </c>
      <c r="O136" s="292">
        <f t="shared" si="39"/>
        <v>0</v>
      </c>
      <c r="P136" s="293" t="e">
        <f t="shared" si="40"/>
        <v>#DIV/0!</v>
      </c>
      <c r="Q136" s="294" cm="1">
        <f t="array" ref="Q136">SUM(IF('Pipe Audit'!$D$3:$D$82=$A136,IF('Pipe Audit'!$AJ$3:$AJ$82=1,'Pipe Audit'!$K$3:$K$82)))</f>
        <v>0</v>
      </c>
      <c r="R136" s="294">
        <f t="array" ref="R136">SUM(IF('Pipe Audit'!$D$3:$D$82=$A136,IF('Pipe Audit'!$Q$3:$Q$82=1,'Pipe Audit'!$K$3:$K$82)))</f>
        <v>0</v>
      </c>
      <c r="S136" s="294" cm="1">
        <f t="array" ref="S136">SUM(IF('Pipe Audit'!$D$3:$D$82=$A136,IF('Pipe Audit'!$U$3:$U$82&gt;0.25,'Pipe Audit'!$AJ$3:$AJ$82)))</f>
        <v>0</v>
      </c>
      <c r="T136" s="294">
        <f t="array" ref="T136">SUM(IF('Pipe Audit'!$D$3:$D$82=$A136,IF('Pipe Audit'!$U$3:$U$82&gt;0.2,'Pipe Audit'!$K$3:$K$82)))</f>
        <v>0</v>
      </c>
      <c r="U136" s="295">
        <f t="shared" si="41"/>
        <v>0</v>
      </c>
      <c r="V136" s="296" t="e">
        <f t="shared" si="42"/>
        <v>#DIV/0!</v>
      </c>
    </row>
    <row r="137" spans="1:22" ht="22.5" x14ac:dyDescent="0.45">
      <c r="A137" s="306" t="s">
        <v>176</v>
      </c>
      <c r="B137" s="307">
        <v>214</v>
      </c>
      <c r="C137" s="308" t="s">
        <v>468</v>
      </c>
      <c r="D137" s="288"/>
      <c r="E137" s="289">
        <f>SUMIF('Pipe Audit'!$D$3:$D$82,A137,'Pipe Audit'!$K$3:$K$82)</f>
        <v>0</v>
      </c>
      <c r="F137" s="289">
        <f>SUMIF('Pipe Audit'!$D$3:$D$82,A137,'Pipe Audit'!$O$3:$O$82)</f>
        <v>0</v>
      </c>
      <c r="G137" s="289">
        <f t="shared" si="35"/>
        <v>0</v>
      </c>
      <c r="H137" s="290" t="e">
        <f t="shared" si="36"/>
        <v>#DIV/0!</v>
      </c>
      <c r="I137" s="289">
        <f>SUMIF('Pipe Audit'!$D$3:$D$82,A137,'Pipe Audit'!$BD$3:$BD$82)</f>
        <v>0</v>
      </c>
      <c r="J137" s="289">
        <f>SUMIF('Pipe Audit'!$D$3:$D$82,A137,'Pipe Audit'!$BE$3:$BE$82)</f>
        <v>0</v>
      </c>
      <c r="K137" s="289">
        <f t="shared" si="37"/>
        <v>0</v>
      </c>
      <c r="L137" s="291" t="e">
        <f t="shared" si="38"/>
        <v>#DIV/0!</v>
      </c>
      <c r="M137" s="289">
        <f>SUMIF('Pipe Audit'!$D$3:$D$82,A137,'Pipe Audit'!$AJ$3:$AJ$82)</f>
        <v>0</v>
      </c>
      <c r="N137" s="292" cm="1">
        <f t="array" ref="N137">SUM(IF('Pipe Audit'!$D$3:$D$82=$A137,IF('Pipe Audit'!$Q$3:$Q$82=1,'Pipe Audit'!$AJ$3:$AJ$82)))</f>
        <v>0</v>
      </c>
      <c r="O137" s="292">
        <f t="shared" si="39"/>
        <v>0</v>
      </c>
      <c r="P137" s="293" t="e">
        <f t="shared" si="40"/>
        <v>#DIV/0!</v>
      </c>
      <c r="Q137" s="294" cm="1">
        <f t="array" ref="Q137">SUM(IF('Pipe Audit'!$D$3:$D$82=$A137,IF('Pipe Audit'!$AJ$3:$AJ$82=1,'Pipe Audit'!$K$3:$K$82)))</f>
        <v>0</v>
      </c>
      <c r="R137" s="294">
        <f t="array" ref="R137">SUM(IF('Pipe Audit'!$D$3:$D$82=$A137,IF('Pipe Audit'!$Q$3:$Q$82=1,'Pipe Audit'!$K$3:$K$82)))</f>
        <v>0</v>
      </c>
      <c r="S137" s="294" cm="1">
        <f t="array" ref="S137">SUM(IF('Pipe Audit'!$D$3:$D$82=$A137,IF('Pipe Audit'!$U$3:$U$82&gt;0.25,'Pipe Audit'!$AJ$3:$AJ$82)))</f>
        <v>0</v>
      </c>
      <c r="T137" s="294">
        <f t="array" ref="T137">SUM(IF('Pipe Audit'!$D$3:$D$82=$A137,IF('Pipe Audit'!$U$3:$U$82&gt;0.2,'Pipe Audit'!$K$3:$K$82)))</f>
        <v>0</v>
      </c>
      <c r="U137" s="295">
        <f t="shared" si="41"/>
        <v>0</v>
      </c>
      <c r="V137" s="296" t="e">
        <f t="shared" si="42"/>
        <v>#DIV/0!</v>
      </c>
    </row>
    <row r="138" spans="1:22" ht="22.5" x14ac:dyDescent="0.45">
      <c r="A138" s="306" t="s">
        <v>191</v>
      </c>
      <c r="B138" s="307">
        <v>214</v>
      </c>
      <c r="C138" s="308" t="s">
        <v>469</v>
      </c>
      <c r="D138" s="288"/>
      <c r="E138" s="289">
        <f>SUMIF('Pipe Audit'!$D$3:$D$82,A138,'Pipe Audit'!$K$3:$K$82)</f>
        <v>0</v>
      </c>
      <c r="F138" s="289">
        <f>SUMIF('Pipe Audit'!$D$3:$D$82,A138,'Pipe Audit'!$O$3:$O$82)</f>
        <v>0</v>
      </c>
      <c r="G138" s="289">
        <f t="shared" si="35"/>
        <v>0</v>
      </c>
      <c r="H138" s="290" t="e">
        <f t="shared" si="36"/>
        <v>#DIV/0!</v>
      </c>
      <c r="I138" s="289">
        <f>SUMIF('Pipe Audit'!$D$3:$D$82,A138,'Pipe Audit'!$BD$3:$BD$82)</f>
        <v>0</v>
      </c>
      <c r="J138" s="289">
        <f>SUMIF('Pipe Audit'!$D$3:$D$82,A138,'Pipe Audit'!$BE$3:$BE$82)</f>
        <v>0</v>
      </c>
      <c r="K138" s="289">
        <f t="shared" si="37"/>
        <v>0</v>
      </c>
      <c r="L138" s="291" t="e">
        <f t="shared" si="38"/>
        <v>#DIV/0!</v>
      </c>
      <c r="M138" s="289">
        <f>SUMIF('Pipe Audit'!$D$3:$D$82,A138,'Pipe Audit'!$AJ$3:$AJ$82)</f>
        <v>0</v>
      </c>
      <c r="N138" s="292" cm="1">
        <f t="array" ref="N138">SUM(IF('Pipe Audit'!$D$3:$D$82=$A138,IF('Pipe Audit'!$Q$3:$Q$82=1,'Pipe Audit'!$AJ$3:$AJ$82)))</f>
        <v>0</v>
      </c>
      <c r="O138" s="292">
        <f t="shared" si="39"/>
        <v>0</v>
      </c>
      <c r="P138" s="293" t="e">
        <f t="shared" si="40"/>
        <v>#DIV/0!</v>
      </c>
      <c r="Q138" s="294" cm="1">
        <f t="array" ref="Q138">SUM(IF('Pipe Audit'!$D$3:$D$82=$A138,IF('Pipe Audit'!$AJ$3:$AJ$82=1,'Pipe Audit'!$K$3:$K$82)))</f>
        <v>0</v>
      </c>
      <c r="R138" s="294">
        <f t="array" ref="R138">SUM(IF('Pipe Audit'!$D$3:$D$82=$A138,IF('Pipe Audit'!$Q$3:$Q$82=1,'Pipe Audit'!$K$3:$K$82)))</f>
        <v>0</v>
      </c>
      <c r="S138" s="294" cm="1">
        <f t="array" ref="S138">SUM(IF('Pipe Audit'!$D$3:$D$82=$A138,IF('Pipe Audit'!$U$3:$U$82&gt;0.25,'Pipe Audit'!$AJ$3:$AJ$82)))</f>
        <v>0</v>
      </c>
      <c r="T138" s="294">
        <f t="array" ref="T138">SUM(IF('Pipe Audit'!$D$3:$D$82=$A138,IF('Pipe Audit'!$U$3:$U$82&gt;0.2,'Pipe Audit'!$K$3:$K$82)))</f>
        <v>0</v>
      </c>
      <c r="U138" s="295">
        <f t="shared" si="41"/>
        <v>0</v>
      </c>
      <c r="V138" s="296" t="e">
        <f t="shared" si="42"/>
        <v>#DIV/0!</v>
      </c>
    </row>
    <row r="139" spans="1:22" ht="22.5" x14ac:dyDescent="0.45">
      <c r="A139" s="306" t="s">
        <v>181</v>
      </c>
      <c r="B139" s="307">
        <v>214</v>
      </c>
      <c r="C139" s="308" t="s">
        <v>470</v>
      </c>
      <c r="D139" s="288"/>
      <c r="E139" s="289">
        <f>SUMIF('Pipe Audit'!$D$3:$D$82,A139,'Pipe Audit'!$K$3:$K$82)</f>
        <v>0</v>
      </c>
      <c r="F139" s="289">
        <f>SUMIF('Pipe Audit'!$D$3:$D$82,A139,'Pipe Audit'!$O$3:$O$82)</f>
        <v>0</v>
      </c>
      <c r="G139" s="289">
        <f t="shared" si="35"/>
        <v>0</v>
      </c>
      <c r="H139" s="290" t="e">
        <f t="shared" si="36"/>
        <v>#DIV/0!</v>
      </c>
      <c r="I139" s="289">
        <f>SUMIF('Pipe Audit'!$D$3:$D$82,A139,'Pipe Audit'!$BD$3:$BD$82)</f>
        <v>0</v>
      </c>
      <c r="J139" s="289">
        <f>SUMIF('Pipe Audit'!$D$3:$D$82,A139,'Pipe Audit'!$BE$3:$BE$82)</f>
        <v>0</v>
      </c>
      <c r="K139" s="289">
        <f t="shared" si="37"/>
        <v>0</v>
      </c>
      <c r="L139" s="291" t="e">
        <f t="shared" si="38"/>
        <v>#DIV/0!</v>
      </c>
      <c r="M139" s="289">
        <f>SUMIF('Pipe Audit'!$D$3:$D$82,A139,'Pipe Audit'!$AJ$3:$AJ$82)</f>
        <v>0</v>
      </c>
      <c r="N139" s="292" cm="1">
        <f t="array" ref="N139">SUM(IF('Pipe Audit'!$D$3:$D$82=$A139,IF('Pipe Audit'!$Q$3:$Q$82=1,'Pipe Audit'!$AJ$3:$AJ$82)))</f>
        <v>0</v>
      </c>
      <c r="O139" s="292">
        <f t="shared" si="39"/>
        <v>0</v>
      </c>
      <c r="P139" s="293" t="e">
        <f t="shared" si="40"/>
        <v>#DIV/0!</v>
      </c>
      <c r="Q139" s="294" cm="1">
        <f t="array" ref="Q139">SUM(IF('Pipe Audit'!$D$3:$D$82=$A139,IF('Pipe Audit'!$AJ$3:$AJ$82=1,'Pipe Audit'!$K$3:$K$82)))</f>
        <v>0</v>
      </c>
      <c r="R139" s="294">
        <f t="array" ref="R139">SUM(IF('Pipe Audit'!$D$3:$D$82=$A139,IF('Pipe Audit'!$Q$3:$Q$82=1,'Pipe Audit'!$K$3:$K$82)))</f>
        <v>0</v>
      </c>
      <c r="S139" s="294" cm="1">
        <f t="array" ref="S139">SUM(IF('Pipe Audit'!$D$3:$D$82=$A139,IF('Pipe Audit'!$U$3:$U$82&gt;0.25,'Pipe Audit'!$AJ$3:$AJ$82)))</f>
        <v>0</v>
      </c>
      <c r="T139" s="294">
        <f t="array" ref="T139">SUM(IF('Pipe Audit'!$D$3:$D$82=$A139,IF('Pipe Audit'!$U$3:$U$82&gt;0.2,'Pipe Audit'!$K$3:$K$82)))</f>
        <v>0</v>
      </c>
      <c r="U139" s="295">
        <f t="shared" si="41"/>
        <v>0</v>
      </c>
      <c r="V139" s="296" t="e">
        <f t="shared" si="42"/>
        <v>#DIV/0!</v>
      </c>
    </row>
    <row r="140" spans="1:22" ht="22.5" x14ac:dyDescent="0.45">
      <c r="A140" s="306" t="s">
        <v>252</v>
      </c>
      <c r="B140" s="307">
        <v>214</v>
      </c>
      <c r="C140" s="308" t="s">
        <v>471</v>
      </c>
      <c r="D140" s="288"/>
      <c r="E140" s="289">
        <f>SUMIF('Pipe Audit'!$D$3:$D$82,A140,'Pipe Audit'!$K$3:$K$82)</f>
        <v>0</v>
      </c>
      <c r="F140" s="289">
        <f>SUMIF('Pipe Audit'!$D$3:$D$82,A140,'Pipe Audit'!$O$3:$O$82)</f>
        <v>0</v>
      </c>
      <c r="G140" s="289">
        <f t="shared" si="35"/>
        <v>0</v>
      </c>
      <c r="H140" s="290" t="e">
        <f t="shared" si="36"/>
        <v>#DIV/0!</v>
      </c>
      <c r="I140" s="289">
        <f>SUMIF('Pipe Audit'!$D$3:$D$82,A140,'Pipe Audit'!$BD$3:$BD$82)</f>
        <v>0</v>
      </c>
      <c r="J140" s="289">
        <f>SUMIF('Pipe Audit'!$D$3:$D$82,A140,'Pipe Audit'!$BE$3:$BE$82)</f>
        <v>0</v>
      </c>
      <c r="K140" s="289">
        <f t="shared" si="37"/>
        <v>0</v>
      </c>
      <c r="L140" s="291" t="e">
        <f t="shared" si="38"/>
        <v>#DIV/0!</v>
      </c>
      <c r="M140" s="289">
        <f>SUMIF('Pipe Audit'!$D$3:$D$82,A140,'Pipe Audit'!$AJ$3:$AJ$82)</f>
        <v>0</v>
      </c>
      <c r="N140" s="292" cm="1">
        <f t="array" ref="N140">SUM(IF('Pipe Audit'!$D$3:$D$82=$A140,IF('Pipe Audit'!$Q$3:$Q$82=1,'Pipe Audit'!$AJ$3:$AJ$82)))</f>
        <v>0</v>
      </c>
      <c r="O140" s="292">
        <f t="shared" si="39"/>
        <v>0</v>
      </c>
      <c r="P140" s="293" t="e">
        <f t="shared" si="40"/>
        <v>#DIV/0!</v>
      </c>
      <c r="Q140" s="294" cm="1">
        <f t="array" ref="Q140">SUM(IF('Pipe Audit'!$D$3:$D$82=$A140,IF('Pipe Audit'!$AJ$3:$AJ$82=1,'Pipe Audit'!$K$3:$K$82)))</f>
        <v>0</v>
      </c>
      <c r="R140" s="294">
        <f t="array" ref="R140">SUM(IF('Pipe Audit'!$D$3:$D$82=$A140,IF('Pipe Audit'!$Q$3:$Q$82=1,'Pipe Audit'!$K$3:$K$82)))</f>
        <v>0</v>
      </c>
      <c r="S140" s="294" cm="1">
        <f t="array" ref="S140">SUM(IF('Pipe Audit'!$D$3:$D$82=$A140,IF('Pipe Audit'!$U$3:$U$82&gt;0.25,'Pipe Audit'!$AJ$3:$AJ$82)))</f>
        <v>0</v>
      </c>
      <c r="T140" s="294">
        <f t="array" ref="T140">SUM(IF('Pipe Audit'!$D$3:$D$82=$A140,IF('Pipe Audit'!$U$3:$U$82&gt;0.2,'Pipe Audit'!$K$3:$K$82)))</f>
        <v>0</v>
      </c>
      <c r="U140" s="295">
        <f t="shared" si="41"/>
        <v>0</v>
      </c>
      <c r="V140" s="296" t="e">
        <f t="shared" si="42"/>
        <v>#DIV/0!</v>
      </c>
    </row>
    <row r="141" spans="1:22" ht="22.5" x14ac:dyDescent="0.45">
      <c r="A141" s="306" t="s">
        <v>167</v>
      </c>
      <c r="B141" s="307">
        <v>214</v>
      </c>
      <c r="C141" s="308" t="s">
        <v>472</v>
      </c>
      <c r="D141" s="288"/>
      <c r="E141" s="289">
        <f>SUMIF('Pipe Audit'!$D$3:$D$82,A141,'Pipe Audit'!$K$3:$K$82)</f>
        <v>0</v>
      </c>
      <c r="F141" s="289">
        <f>SUMIF('Pipe Audit'!$D$3:$D$82,A141,'Pipe Audit'!$O$3:$O$82)</f>
        <v>0</v>
      </c>
      <c r="G141" s="289">
        <f t="shared" si="35"/>
        <v>0</v>
      </c>
      <c r="H141" s="290" t="e">
        <f t="shared" si="36"/>
        <v>#DIV/0!</v>
      </c>
      <c r="I141" s="289">
        <f>SUMIF('Pipe Audit'!$D$3:$D$82,A141,'Pipe Audit'!$BD$3:$BD$82)</f>
        <v>0</v>
      </c>
      <c r="J141" s="289">
        <f>SUMIF('Pipe Audit'!$D$3:$D$82,A141,'Pipe Audit'!$BE$3:$BE$82)</f>
        <v>0</v>
      </c>
      <c r="K141" s="289">
        <f t="shared" si="37"/>
        <v>0</v>
      </c>
      <c r="L141" s="291" t="e">
        <f t="shared" si="38"/>
        <v>#DIV/0!</v>
      </c>
      <c r="M141" s="289">
        <f>SUMIF('Pipe Audit'!$D$3:$D$82,A141,'Pipe Audit'!$AJ$3:$AJ$82)</f>
        <v>0</v>
      </c>
      <c r="N141" s="292" cm="1">
        <f t="array" ref="N141">SUM(IF('Pipe Audit'!$D$3:$D$82=$A141,IF('Pipe Audit'!$Q$3:$Q$82=1,'Pipe Audit'!$AJ$3:$AJ$82)))</f>
        <v>0</v>
      </c>
      <c r="O141" s="292">
        <f t="shared" si="39"/>
        <v>0</v>
      </c>
      <c r="P141" s="293" t="e">
        <f t="shared" si="40"/>
        <v>#DIV/0!</v>
      </c>
      <c r="Q141" s="294" cm="1">
        <f t="array" ref="Q141">SUM(IF('Pipe Audit'!$D$3:$D$82=$A141,IF('Pipe Audit'!$AJ$3:$AJ$82=1,'Pipe Audit'!$K$3:$K$82)))</f>
        <v>0</v>
      </c>
      <c r="R141" s="294">
        <f t="array" ref="R141">SUM(IF('Pipe Audit'!$D$3:$D$82=$A141,IF('Pipe Audit'!$Q$3:$Q$82=1,'Pipe Audit'!$K$3:$K$82)))</f>
        <v>0</v>
      </c>
      <c r="S141" s="294" cm="1">
        <f t="array" ref="S141">SUM(IF('Pipe Audit'!$D$3:$D$82=$A141,IF('Pipe Audit'!$U$3:$U$82&gt;0.25,'Pipe Audit'!$AJ$3:$AJ$82)))</f>
        <v>0</v>
      </c>
      <c r="T141" s="294">
        <f t="array" ref="T141">SUM(IF('Pipe Audit'!$D$3:$D$82=$A141,IF('Pipe Audit'!$U$3:$U$82&gt;0.2,'Pipe Audit'!$K$3:$K$82)))</f>
        <v>0</v>
      </c>
      <c r="U141" s="295">
        <f t="shared" si="41"/>
        <v>0</v>
      </c>
      <c r="V141" s="296" t="e">
        <f t="shared" si="42"/>
        <v>#DIV/0!</v>
      </c>
    </row>
    <row r="142" spans="1:22" ht="22.5" x14ac:dyDescent="0.45">
      <c r="A142" s="306" t="s">
        <v>253</v>
      </c>
      <c r="B142" s="307">
        <v>214</v>
      </c>
      <c r="C142" s="308" t="s">
        <v>473</v>
      </c>
      <c r="D142" s="288"/>
      <c r="E142" s="289">
        <f>SUMIF('Pipe Audit'!$D$3:$D$82,A142,'Pipe Audit'!$K$3:$K$82)</f>
        <v>0</v>
      </c>
      <c r="F142" s="289">
        <f>SUMIF('Pipe Audit'!$D$3:$D$82,A142,'Pipe Audit'!$O$3:$O$82)</f>
        <v>0</v>
      </c>
      <c r="G142" s="289">
        <f t="shared" si="35"/>
        <v>0</v>
      </c>
      <c r="H142" s="290" t="e">
        <f t="shared" si="36"/>
        <v>#DIV/0!</v>
      </c>
      <c r="I142" s="289">
        <f>SUMIF('Pipe Audit'!$D$3:$D$82,A142,'Pipe Audit'!$BD$3:$BD$82)</f>
        <v>0</v>
      </c>
      <c r="J142" s="289">
        <f>SUMIF('Pipe Audit'!$D$3:$D$82,A142,'Pipe Audit'!$BE$3:$BE$82)</f>
        <v>0</v>
      </c>
      <c r="K142" s="289">
        <f t="shared" si="37"/>
        <v>0</v>
      </c>
      <c r="L142" s="291" t="e">
        <f t="shared" si="38"/>
        <v>#DIV/0!</v>
      </c>
      <c r="M142" s="289">
        <f>SUMIF('Pipe Audit'!$D$3:$D$82,A142,'Pipe Audit'!$AJ$3:$AJ$82)</f>
        <v>0</v>
      </c>
      <c r="N142" s="292" cm="1">
        <f t="array" ref="N142">SUM(IF('Pipe Audit'!$D$3:$D$82=$A142,IF('Pipe Audit'!$Q$3:$Q$82=1,'Pipe Audit'!$AJ$3:$AJ$82)))</f>
        <v>0</v>
      </c>
      <c r="O142" s="292">
        <f t="shared" si="39"/>
        <v>0</v>
      </c>
      <c r="P142" s="293" t="e">
        <f t="shared" si="40"/>
        <v>#DIV/0!</v>
      </c>
      <c r="Q142" s="294" cm="1">
        <f t="array" ref="Q142">SUM(IF('Pipe Audit'!$D$3:$D$82=$A142,IF('Pipe Audit'!$AJ$3:$AJ$82=1,'Pipe Audit'!$K$3:$K$82)))</f>
        <v>0</v>
      </c>
      <c r="R142" s="294">
        <f t="array" ref="R142">SUM(IF('Pipe Audit'!$D$3:$D$82=$A142,IF('Pipe Audit'!$Q$3:$Q$82=1,'Pipe Audit'!$K$3:$K$82)))</f>
        <v>0</v>
      </c>
      <c r="S142" s="294" cm="1">
        <f t="array" ref="S142">SUM(IF('Pipe Audit'!$D$3:$D$82=$A142,IF('Pipe Audit'!$U$3:$U$82&gt;0.25,'Pipe Audit'!$AJ$3:$AJ$82)))</f>
        <v>0</v>
      </c>
      <c r="T142" s="294">
        <f t="array" ref="T142">SUM(IF('Pipe Audit'!$D$3:$D$82=$A142,IF('Pipe Audit'!$U$3:$U$82&gt;0.2,'Pipe Audit'!$K$3:$K$82)))</f>
        <v>0</v>
      </c>
      <c r="U142" s="295">
        <f t="shared" si="41"/>
        <v>0</v>
      </c>
      <c r="V142" s="296" t="e">
        <f t="shared" si="42"/>
        <v>#DIV/0!</v>
      </c>
    </row>
    <row r="143" spans="1:22" ht="22.5" x14ac:dyDescent="0.45">
      <c r="A143" s="306" t="s">
        <v>329</v>
      </c>
      <c r="B143" s="307">
        <v>214</v>
      </c>
      <c r="C143" s="308" t="s">
        <v>474</v>
      </c>
      <c r="D143" s="288"/>
      <c r="E143" s="289">
        <f>SUMIF('Pipe Audit'!$D$3:$D$82,A143,'Pipe Audit'!$K$3:$K$82)</f>
        <v>0</v>
      </c>
      <c r="F143" s="289">
        <f>SUMIF('Pipe Audit'!$D$3:$D$82,A143,'Pipe Audit'!$O$3:$O$82)</f>
        <v>0</v>
      </c>
      <c r="G143" s="289">
        <f t="shared" si="35"/>
        <v>0</v>
      </c>
      <c r="H143" s="290" t="e">
        <f t="shared" si="36"/>
        <v>#DIV/0!</v>
      </c>
      <c r="I143" s="289">
        <f>SUMIF('Pipe Audit'!$D$3:$D$82,A143,'Pipe Audit'!$BD$3:$BD$82)</f>
        <v>0</v>
      </c>
      <c r="J143" s="289">
        <f>SUMIF('Pipe Audit'!$D$3:$D$82,A143,'Pipe Audit'!$BE$3:$BE$82)</f>
        <v>0</v>
      </c>
      <c r="K143" s="289">
        <f t="shared" si="37"/>
        <v>0</v>
      </c>
      <c r="L143" s="291" t="e">
        <f t="shared" si="38"/>
        <v>#DIV/0!</v>
      </c>
      <c r="M143" s="289">
        <f>SUMIF('Pipe Audit'!$D$3:$D$82,A143,'Pipe Audit'!$AJ$3:$AJ$82)</f>
        <v>0</v>
      </c>
      <c r="N143" s="292" cm="1">
        <f t="array" ref="N143">SUM(IF('Pipe Audit'!$D$3:$D$82=$A143,IF('Pipe Audit'!$Q$3:$Q$82=1,'Pipe Audit'!$AJ$3:$AJ$82)))</f>
        <v>0</v>
      </c>
      <c r="O143" s="292">
        <f t="shared" si="39"/>
        <v>0</v>
      </c>
      <c r="P143" s="293" t="e">
        <f t="shared" si="40"/>
        <v>#DIV/0!</v>
      </c>
      <c r="Q143" s="294" cm="1">
        <f t="array" ref="Q143">SUM(IF('Pipe Audit'!$D$3:$D$82=$A143,IF('Pipe Audit'!$AJ$3:$AJ$82=1,'Pipe Audit'!$K$3:$K$82)))</f>
        <v>0</v>
      </c>
      <c r="R143" s="294">
        <f t="array" ref="R143">SUM(IF('Pipe Audit'!$D$3:$D$82=$A143,IF('Pipe Audit'!$Q$3:$Q$82=1,'Pipe Audit'!$K$3:$K$82)))</f>
        <v>0</v>
      </c>
      <c r="S143" s="294" cm="1">
        <f t="array" ref="S143">SUM(IF('Pipe Audit'!$D$3:$D$82=$A143,IF('Pipe Audit'!$U$3:$U$82&gt;0.25,'Pipe Audit'!$AJ$3:$AJ$82)))</f>
        <v>0</v>
      </c>
      <c r="T143" s="294">
        <f t="array" ref="T143">SUM(IF('Pipe Audit'!$D$3:$D$82=$A143,IF('Pipe Audit'!$U$3:$U$82&gt;0.2,'Pipe Audit'!$K$3:$K$82)))</f>
        <v>0</v>
      </c>
      <c r="U143" s="295">
        <f t="shared" si="41"/>
        <v>0</v>
      </c>
      <c r="V143" s="296" t="e">
        <f t="shared" si="42"/>
        <v>#DIV/0!</v>
      </c>
    </row>
    <row r="144" spans="1:22" ht="22.5" x14ac:dyDescent="0.45">
      <c r="A144" s="306" t="s">
        <v>218</v>
      </c>
      <c r="B144" s="307">
        <v>214</v>
      </c>
      <c r="C144" s="308" t="s">
        <v>475</v>
      </c>
      <c r="D144" s="288"/>
      <c r="E144" s="289">
        <f>SUMIF('Pipe Audit'!$D$3:$D$82,A144,'Pipe Audit'!$K$3:$K$82)</f>
        <v>0</v>
      </c>
      <c r="F144" s="289">
        <f>SUMIF('Pipe Audit'!$D$3:$D$82,A144,'Pipe Audit'!$O$3:$O$82)</f>
        <v>0</v>
      </c>
      <c r="G144" s="289">
        <f t="shared" si="35"/>
        <v>0</v>
      </c>
      <c r="H144" s="290" t="e">
        <f t="shared" si="36"/>
        <v>#DIV/0!</v>
      </c>
      <c r="I144" s="289">
        <f>SUMIF('Pipe Audit'!$D$3:$D$82,A144,'Pipe Audit'!$BD$3:$BD$82)</f>
        <v>0</v>
      </c>
      <c r="J144" s="289">
        <f>SUMIF('Pipe Audit'!$D$3:$D$82,A144,'Pipe Audit'!$BE$3:$BE$82)</f>
        <v>0</v>
      </c>
      <c r="K144" s="289">
        <f t="shared" si="37"/>
        <v>0</v>
      </c>
      <c r="L144" s="291" t="e">
        <f t="shared" si="38"/>
        <v>#DIV/0!</v>
      </c>
      <c r="M144" s="289">
        <f>SUMIF('Pipe Audit'!$D$3:$D$82,A144,'Pipe Audit'!$AJ$3:$AJ$82)</f>
        <v>0</v>
      </c>
      <c r="N144" s="292" cm="1">
        <f t="array" ref="N144">SUM(IF('Pipe Audit'!$D$3:$D$82=$A144,IF('Pipe Audit'!$Q$3:$Q$82=1,'Pipe Audit'!$AJ$3:$AJ$82)))</f>
        <v>0</v>
      </c>
      <c r="O144" s="292">
        <f t="shared" si="39"/>
        <v>0</v>
      </c>
      <c r="P144" s="293" t="e">
        <f t="shared" si="40"/>
        <v>#DIV/0!</v>
      </c>
      <c r="Q144" s="294" cm="1">
        <f t="array" ref="Q144">SUM(IF('Pipe Audit'!$D$3:$D$82=$A144,IF('Pipe Audit'!$AJ$3:$AJ$82=1,'Pipe Audit'!$K$3:$K$82)))</f>
        <v>0</v>
      </c>
      <c r="R144" s="294">
        <f t="array" ref="R144">SUM(IF('Pipe Audit'!$D$3:$D$82=$A144,IF('Pipe Audit'!$Q$3:$Q$82=1,'Pipe Audit'!$K$3:$K$82)))</f>
        <v>0</v>
      </c>
      <c r="S144" s="294" cm="1">
        <f t="array" ref="S144">SUM(IF('Pipe Audit'!$D$3:$D$82=$A144,IF('Pipe Audit'!$U$3:$U$82&gt;0.25,'Pipe Audit'!$AJ$3:$AJ$82)))</f>
        <v>0</v>
      </c>
      <c r="T144" s="294">
        <f t="array" ref="T144">SUM(IF('Pipe Audit'!$D$3:$D$82=$A144,IF('Pipe Audit'!$U$3:$U$82&gt;0.2,'Pipe Audit'!$K$3:$K$82)))</f>
        <v>0</v>
      </c>
      <c r="U144" s="295">
        <f t="shared" si="41"/>
        <v>0</v>
      </c>
      <c r="V144" s="296" t="e">
        <f t="shared" si="42"/>
        <v>#DIV/0!</v>
      </c>
    </row>
    <row r="145" spans="1:22" ht="22.5" x14ac:dyDescent="0.45">
      <c r="A145" s="306" t="s">
        <v>330</v>
      </c>
      <c r="B145" s="307">
        <v>214</v>
      </c>
      <c r="C145" s="308" t="s">
        <v>476</v>
      </c>
      <c r="D145" s="288"/>
      <c r="E145" s="289">
        <f>SUMIF('Pipe Audit'!$D$3:$D$82,A145,'Pipe Audit'!$K$3:$K$82)</f>
        <v>0</v>
      </c>
      <c r="F145" s="289">
        <f>SUMIF('Pipe Audit'!$D$3:$D$82,A145,'Pipe Audit'!$O$3:$O$82)</f>
        <v>0</v>
      </c>
      <c r="G145" s="289">
        <f t="shared" si="35"/>
        <v>0</v>
      </c>
      <c r="H145" s="290" t="e">
        <f t="shared" si="36"/>
        <v>#DIV/0!</v>
      </c>
      <c r="I145" s="289">
        <f>SUMIF('Pipe Audit'!$D$3:$D$82,A145,'Pipe Audit'!$BD$3:$BD$82)</f>
        <v>0</v>
      </c>
      <c r="J145" s="289">
        <f>SUMIF('Pipe Audit'!$D$3:$D$82,A145,'Pipe Audit'!$BE$3:$BE$82)</f>
        <v>0</v>
      </c>
      <c r="K145" s="289">
        <f t="shared" si="37"/>
        <v>0</v>
      </c>
      <c r="L145" s="291" t="e">
        <f t="shared" si="38"/>
        <v>#DIV/0!</v>
      </c>
      <c r="M145" s="289">
        <f>SUMIF('Pipe Audit'!$D$3:$D$82,A145,'Pipe Audit'!$AJ$3:$AJ$82)</f>
        <v>0</v>
      </c>
      <c r="N145" s="292" cm="1">
        <f t="array" ref="N145">SUM(IF('Pipe Audit'!$D$3:$D$82=$A145,IF('Pipe Audit'!$Q$3:$Q$82=1,'Pipe Audit'!$AJ$3:$AJ$82)))</f>
        <v>0</v>
      </c>
      <c r="O145" s="292">
        <f t="shared" si="39"/>
        <v>0</v>
      </c>
      <c r="P145" s="293" t="e">
        <f t="shared" si="40"/>
        <v>#DIV/0!</v>
      </c>
      <c r="Q145" s="294" cm="1">
        <f t="array" ref="Q145">SUM(IF('Pipe Audit'!$D$3:$D$82=$A145,IF('Pipe Audit'!$AJ$3:$AJ$82=1,'Pipe Audit'!$K$3:$K$82)))</f>
        <v>0</v>
      </c>
      <c r="R145" s="294">
        <f t="array" ref="R145">SUM(IF('Pipe Audit'!$D$3:$D$82=$A145,IF('Pipe Audit'!$Q$3:$Q$82=1,'Pipe Audit'!$K$3:$K$82)))</f>
        <v>0</v>
      </c>
      <c r="S145" s="294" cm="1">
        <f t="array" ref="S145">SUM(IF('Pipe Audit'!$D$3:$D$82=$A145,IF('Pipe Audit'!$U$3:$U$82&gt;0.25,'Pipe Audit'!$AJ$3:$AJ$82)))</f>
        <v>0</v>
      </c>
      <c r="T145" s="294">
        <f t="array" ref="T145">SUM(IF('Pipe Audit'!$D$3:$D$82=$A145,IF('Pipe Audit'!$U$3:$U$82&gt;0.2,'Pipe Audit'!$K$3:$K$82)))</f>
        <v>0</v>
      </c>
      <c r="U145" s="295">
        <f t="shared" si="41"/>
        <v>0</v>
      </c>
      <c r="V145" s="296" t="e">
        <f t="shared" si="42"/>
        <v>#DIV/0!</v>
      </c>
    </row>
    <row r="146" spans="1:22" ht="22.5" x14ac:dyDescent="0.45">
      <c r="A146" s="306" t="s">
        <v>276</v>
      </c>
      <c r="B146" s="307">
        <v>214</v>
      </c>
      <c r="C146" s="308" t="s">
        <v>477</v>
      </c>
      <c r="D146" s="288"/>
      <c r="E146" s="289">
        <f>SUMIF('Pipe Audit'!$D$3:$D$82,A146,'Pipe Audit'!$K$3:$K$82)</f>
        <v>0</v>
      </c>
      <c r="F146" s="289">
        <f>SUMIF('Pipe Audit'!$D$3:$D$82,A146,'Pipe Audit'!$O$3:$O$82)</f>
        <v>0</v>
      </c>
      <c r="G146" s="289">
        <f t="shared" si="35"/>
        <v>0</v>
      </c>
      <c r="H146" s="290" t="e">
        <f t="shared" si="36"/>
        <v>#DIV/0!</v>
      </c>
      <c r="I146" s="289">
        <f>SUMIF('Pipe Audit'!$D$3:$D$82,A146,'Pipe Audit'!$BD$3:$BD$82)</f>
        <v>0</v>
      </c>
      <c r="J146" s="289">
        <f>SUMIF('Pipe Audit'!$D$3:$D$82,A146,'Pipe Audit'!$BE$3:$BE$82)</f>
        <v>0</v>
      </c>
      <c r="K146" s="289">
        <f t="shared" si="37"/>
        <v>0</v>
      </c>
      <c r="L146" s="291" t="e">
        <f t="shared" si="38"/>
        <v>#DIV/0!</v>
      </c>
      <c r="M146" s="289">
        <f>SUMIF('Pipe Audit'!$D$3:$D$82,A146,'Pipe Audit'!$AJ$3:$AJ$82)</f>
        <v>0</v>
      </c>
      <c r="N146" s="292" cm="1">
        <f t="array" ref="N146">SUM(IF('Pipe Audit'!$D$3:$D$82=$A146,IF('Pipe Audit'!$Q$3:$Q$82=1,'Pipe Audit'!$AJ$3:$AJ$82)))</f>
        <v>0</v>
      </c>
      <c r="O146" s="292">
        <f t="shared" si="39"/>
        <v>0</v>
      </c>
      <c r="P146" s="293" t="e">
        <f t="shared" si="40"/>
        <v>#DIV/0!</v>
      </c>
      <c r="Q146" s="294" cm="1">
        <f t="array" ref="Q146">SUM(IF('Pipe Audit'!$D$3:$D$82=$A146,IF('Pipe Audit'!$AJ$3:$AJ$82=1,'Pipe Audit'!$K$3:$K$82)))</f>
        <v>0</v>
      </c>
      <c r="R146" s="294">
        <f t="array" ref="R146">SUM(IF('Pipe Audit'!$D$3:$D$82=$A146,IF('Pipe Audit'!$Q$3:$Q$82=1,'Pipe Audit'!$K$3:$K$82)))</f>
        <v>0</v>
      </c>
      <c r="S146" s="294" cm="1">
        <f t="array" ref="S146">SUM(IF('Pipe Audit'!$D$3:$D$82=$A146,IF('Pipe Audit'!$U$3:$U$82&gt;0.25,'Pipe Audit'!$AJ$3:$AJ$82)))</f>
        <v>0</v>
      </c>
      <c r="T146" s="294">
        <f t="array" ref="T146">SUM(IF('Pipe Audit'!$D$3:$D$82=$A146,IF('Pipe Audit'!$U$3:$U$82&gt;0.2,'Pipe Audit'!$K$3:$K$82)))</f>
        <v>0</v>
      </c>
      <c r="U146" s="295">
        <f t="shared" si="41"/>
        <v>0</v>
      </c>
      <c r="V146" s="296" t="e">
        <f t="shared" si="42"/>
        <v>#DIV/0!</v>
      </c>
    </row>
    <row r="147" spans="1:22" ht="22.5" x14ac:dyDescent="0.45">
      <c r="A147" s="306" t="s">
        <v>331</v>
      </c>
      <c r="B147" s="307">
        <v>214</v>
      </c>
      <c r="C147" s="308" t="s">
        <v>478</v>
      </c>
      <c r="D147" s="288"/>
      <c r="E147" s="289">
        <f>SUMIF('Pipe Audit'!$D$3:$D$82,A147,'Pipe Audit'!$K$3:$K$82)</f>
        <v>0</v>
      </c>
      <c r="F147" s="289">
        <f>SUMIF('Pipe Audit'!$D$3:$D$82,A147,'Pipe Audit'!$O$3:$O$82)</f>
        <v>0</v>
      </c>
      <c r="G147" s="289">
        <f t="shared" si="35"/>
        <v>0</v>
      </c>
      <c r="H147" s="290" t="e">
        <f t="shared" si="36"/>
        <v>#DIV/0!</v>
      </c>
      <c r="I147" s="289">
        <f>SUMIF('Pipe Audit'!$D$3:$D$82,A147,'Pipe Audit'!$BD$3:$BD$82)</f>
        <v>0</v>
      </c>
      <c r="J147" s="289">
        <f>SUMIF('Pipe Audit'!$D$3:$D$82,A147,'Pipe Audit'!$BE$3:$BE$82)</f>
        <v>0</v>
      </c>
      <c r="K147" s="289">
        <f t="shared" si="37"/>
        <v>0</v>
      </c>
      <c r="L147" s="291" t="e">
        <f t="shared" si="38"/>
        <v>#DIV/0!</v>
      </c>
      <c r="M147" s="289">
        <f>SUMIF('Pipe Audit'!$D$3:$D$82,A147,'Pipe Audit'!$AJ$3:$AJ$82)</f>
        <v>0</v>
      </c>
      <c r="N147" s="292" cm="1">
        <f t="array" ref="N147">SUM(IF('Pipe Audit'!$D$3:$D$82=$A147,IF('Pipe Audit'!$Q$3:$Q$82=1,'Pipe Audit'!$AJ$3:$AJ$82)))</f>
        <v>0</v>
      </c>
      <c r="O147" s="292">
        <f t="shared" si="39"/>
        <v>0</v>
      </c>
      <c r="P147" s="293" t="e">
        <f t="shared" si="40"/>
        <v>#DIV/0!</v>
      </c>
      <c r="Q147" s="294" cm="1">
        <f t="array" ref="Q147">SUM(IF('Pipe Audit'!$D$3:$D$82=$A147,IF('Pipe Audit'!$AJ$3:$AJ$82=1,'Pipe Audit'!$K$3:$K$82)))</f>
        <v>0</v>
      </c>
      <c r="R147" s="294">
        <f t="array" ref="R147">SUM(IF('Pipe Audit'!$D$3:$D$82=$A147,IF('Pipe Audit'!$Q$3:$Q$82=1,'Pipe Audit'!$K$3:$K$82)))</f>
        <v>0</v>
      </c>
      <c r="S147" s="294" cm="1">
        <f t="array" ref="S147">SUM(IF('Pipe Audit'!$D$3:$D$82=$A147,IF('Pipe Audit'!$U$3:$U$82&gt;0.25,'Pipe Audit'!$AJ$3:$AJ$82)))</f>
        <v>0</v>
      </c>
      <c r="T147" s="294">
        <f t="array" ref="T147">SUM(IF('Pipe Audit'!$D$3:$D$82=$A147,IF('Pipe Audit'!$U$3:$U$82&gt;0.2,'Pipe Audit'!$K$3:$K$82)))</f>
        <v>0</v>
      </c>
      <c r="U147" s="295">
        <f t="shared" si="41"/>
        <v>0</v>
      </c>
      <c r="V147" s="296" t="e">
        <f t="shared" si="42"/>
        <v>#DIV/0!</v>
      </c>
    </row>
    <row r="148" spans="1:22" ht="22.5" x14ac:dyDescent="0.45">
      <c r="A148" s="306" t="s">
        <v>161</v>
      </c>
      <c r="B148" s="307">
        <v>215</v>
      </c>
      <c r="C148" s="308" t="s">
        <v>479</v>
      </c>
      <c r="D148" s="288"/>
      <c r="E148" s="289">
        <f>SUMIF('Pipe Audit'!$D$3:$D$82,A148,'Pipe Audit'!$K$3:$K$82)</f>
        <v>0</v>
      </c>
      <c r="F148" s="289">
        <f>SUMIF('Pipe Audit'!$D$3:$D$82,A148,'Pipe Audit'!$O$3:$O$82)</f>
        <v>0</v>
      </c>
      <c r="G148" s="289">
        <f t="shared" si="35"/>
        <v>0</v>
      </c>
      <c r="H148" s="290" t="e">
        <f t="shared" si="36"/>
        <v>#DIV/0!</v>
      </c>
      <c r="I148" s="289">
        <f>SUMIF('Pipe Audit'!$D$3:$D$82,A148,'Pipe Audit'!$BD$3:$BD$82)</f>
        <v>0</v>
      </c>
      <c r="J148" s="289">
        <f>SUMIF('Pipe Audit'!$D$3:$D$82,A148,'Pipe Audit'!$BE$3:$BE$82)</f>
        <v>0</v>
      </c>
      <c r="K148" s="289">
        <f t="shared" si="37"/>
        <v>0</v>
      </c>
      <c r="L148" s="291" t="e">
        <f t="shared" si="38"/>
        <v>#DIV/0!</v>
      </c>
      <c r="M148" s="289">
        <f>SUMIF('Pipe Audit'!$D$3:$D$82,A148,'Pipe Audit'!$AJ$3:$AJ$82)</f>
        <v>0</v>
      </c>
      <c r="N148" s="292" cm="1">
        <f t="array" ref="N148">SUM(IF('Pipe Audit'!$D$3:$D$82=$A148,IF('Pipe Audit'!$Q$3:$Q$82=1,'Pipe Audit'!$AJ$3:$AJ$82)))</f>
        <v>0</v>
      </c>
      <c r="O148" s="292">
        <f t="shared" si="39"/>
        <v>0</v>
      </c>
      <c r="P148" s="293" t="e">
        <f t="shared" si="40"/>
        <v>#DIV/0!</v>
      </c>
      <c r="Q148" s="294" cm="1">
        <f t="array" ref="Q148">SUM(IF('Pipe Audit'!$D$3:$D$82=$A148,IF('Pipe Audit'!$AJ$3:$AJ$82=1,'Pipe Audit'!$K$3:$K$82)))</f>
        <v>0</v>
      </c>
      <c r="R148" s="294">
        <f t="array" ref="R148">SUM(IF('Pipe Audit'!$D$3:$D$82=$A148,IF('Pipe Audit'!$Q$3:$Q$82=1,'Pipe Audit'!$K$3:$K$82)))</f>
        <v>0</v>
      </c>
      <c r="S148" s="294" cm="1">
        <f t="array" ref="S148">SUM(IF('Pipe Audit'!$D$3:$D$82=$A148,IF('Pipe Audit'!$U$3:$U$82&gt;0.25,'Pipe Audit'!$AJ$3:$AJ$82)))</f>
        <v>0</v>
      </c>
      <c r="T148" s="294">
        <f t="array" ref="T148">SUM(IF('Pipe Audit'!$D$3:$D$82=$A148,IF('Pipe Audit'!$U$3:$U$82&gt;0.2,'Pipe Audit'!$K$3:$K$82)))</f>
        <v>0</v>
      </c>
      <c r="U148" s="295">
        <f t="shared" si="41"/>
        <v>0</v>
      </c>
      <c r="V148" s="296" t="e">
        <f t="shared" si="42"/>
        <v>#DIV/0!</v>
      </c>
    </row>
    <row r="149" spans="1:22" ht="22.5" x14ac:dyDescent="0.45">
      <c r="A149" s="306" t="s">
        <v>198</v>
      </c>
      <c r="B149" s="307">
        <v>216</v>
      </c>
      <c r="C149" s="308" t="s">
        <v>480</v>
      </c>
      <c r="D149" s="288"/>
      <c r="E149" s="289">
        <f>SUMIF('Pipe Audit'!$D$3:$D$82,A149,'Pipe Audit'!$K$3:$K$82)</f>
        <v>0</v>
      </c>
      <c r="F149" s="289">
        <f>SUMIF('Pipe Audit'!$D$3:$D$82,A149,'Pipe Audit'!$O$3:$O$82)</f>
        <v>0</v>
      </c>
      <c r="G149" s="289">
        <f t="shared" si="35"/>
        <v>0</v>
      </c>
      <c r="H149" s="290" t="e">
        <f t="shared" si="36"/>
        <v>#DIV/0!</v>
      </c>
      <c r="I149" s="289">
        <f>SUMIF('Pipe Audit'!$D$3:$D$82,A149,'Pipe Audit'!$BD$3:$BD$82)</f>
        <v>0</v>
      </c>
      <c r="J149" s="289">
        <f>SUMIF('Pipe Audit'!$D$3:$D$82,A149,'Pipe Audit'!$BE$3:$BE$82)</f>
        <v>0</v>
      </c>
      <c r="K149" s="289">
        <f t="shared" si="37"/>
        <v>0</v>
      </c>
      <c r="L149" s="291" t="e">
        <f t="shared" si="38"/>
        <v>#DIV/0!</v>
      </c>
      <c r="M149" s="289">
        <f>SUMIF('Pipe Audit'!$D$3:$D$82,A149,'Pipe Audit'!$AJ$3:$AJ$82)</f>
        <v>0</v>
      </c>
      <c r="N149" s="292" cm="1">
        <f t="array" ref="N149">SUM(IF('Pipe Audit'!$D$3:$D$82=$A149,IF('Pipe Audit'!$Q$3:$Q$82=1,'Pipe Audit'!$AJ$3:$AJ$82)))</f>
        <v>0</v>
      </c>
      <c r="O149" s="292">
        <f t="shared" si="39"/>
        <v>0</v>
      </c>
      <c r="P149" s="293" t="e">
        <f t="shared" si="40"/>
        <v>#DIV/0!</v>
      </c>
      <c r="Q149" s="294" cm="1">
        <f t="array" ref="Q149">SUM(IF('Pipe Audit'!$D$3:$D$82=$A149,IF('Pipe Audit'!$AJ$3:$AJ$82=1,'Pipe Audit'!$K$3:$K$82)))</f>
        <v>0</v>
      </c>
      <c r="R149" s="294">
        <f t="array" ref="R149">SUM(IF('Pipe Audit'!$D$3:$D$82=$A149,IF('Pipe Audit'!$Q$3:$Q$82=1,'Pipe Audit'!$K$3:$K$82)))</f>
        <v>0</v>
      </c>
      <c r="S149" s="294" cm="1">
        <f t="array" ref="S149">SUM(IF('Pipe Audit'!$D$3:$D$82=$A149,IF('Pipe Audit'!$U$3:$U$82&gt;0.25,'Pipe Audit'!$AJ$3:$AJ$82)))</f>
        <v>0</v>
      </c>
      <c r="T149" s="294">
        <f t="array" ref="T149">SUM(IF('Pipe Audit'!$D$3:$D$82=$A149,IF('Pipe Audit'!$U$3:$U$82&gt;0.2,'Pipe Audit'!$K$3:$K$82)))</f>
        <v>0</v>
      </c>
      <c r="U149" s="295">
        <f t="shared" si="41"/>
        <v>0</v>
      </c>
      <c r="V149" s="296" t="e">
        <f t="shared" si="42"/>
        <v>#DIV/0!</v>
      </c>
    </row>
    <row r="150" spans="1:22" ht="22.5" x14ac:dyDescent="0.45">
      <c r="A150" s="306" t="s">
        <v>271</v>
      </c>
      <c r="B150" s="307">
        <v>217</v>
      </c>
      <c r="C150" s="308" t="s">
        <v>481</v>
      </c>
      <c r="D150" s="288"/>
      <c r="E150" s="289">
        <f>SUMIF('Pipe Audit'!$D$3:$D$82,A150,'Pipe Audit'!$K$3:$K$82)</f>
        <v>0</v>
      </c>
      <c r="F150" s="289">
        <f>SUMIF('Pipe Audit'!$D$3:$D$82,A150,'Pipe Audit'!$O$3:$O$82)</f>
        <v>0</v>
      </c>
      <c r="G150" s="289">
        <f t="shared" si="35"/>
        <v>0</v>
      </c>
      <c r="H150" s="290" t="e">
        <f t="shared" si="36"/>
        <v>#DIV/0!</v>
      </c>
      <c r="I150" s="289">
        <f>SUMIF('Pipe Audit'!$D$3:$D$82,A150,'Pipe Audit'!$BD$3:$BD$82)</f>
        <v>0</v>
      </c>
      <c r="J150" s="289">
        <f>SUMIF('Pipe Audit'!$D$3:$D$82,A150,'Pipe Audit'!$BE$3:$BE$82)</f>
        <v>0</v>
      </c>
      <c r="K150" s="289">
        <f t="shared" si="37"/>
        <v>0</v>
      </c>
      <c r="L150" s="291" t="e">
        <f t="shared" si="38"/>
        <v>#DIV/0!</v>
      </c>
      <c r="M150" s="289">
        <f>SUMIF('Pipe Audit'!$D$3:$D$82,A150,'Pipe Audit'!$AJ$3:$AJ$82)</f>
        <v>0</v>
      </c>
      <c r="N150" s="292" cm="1">
        <f t="array" ref="N150">SUM(IF('Pipe Audit'!$D$3:$D$82=$A150,IF('Pipe Audit'!$Q$3:$Q$82=1,'Pipe Audit'!$AJ$3:$AJ$82)))</f>
        <v>0</v>
      </c>
      <c r="O150" s="292">
        <f t="shared" si="39"/>
        <v>0</v>
      </c>
      <c r="P150" s="293" t="e">
        <f t="shared" si="40"/>
        <v>#DIV/0!</v>
      </c>
      <c r="Q150" s="294" cm="1">
        <f t="array" ref="Q150">SUM(IF('Pipe Audit'!$D$3:$D$82=$A150,IF('Pipe Audit'!$AJ$3:$AJ$82=1,'Pipe Audit'!$K$3:$K$82)))</f>
        <v>0</v>
      </c>
      <c r="R150" s="294">
        <f t="array" ref="R150">SUM(IF('Pipe Audit'!$D$3:$D$82=$A150,IF('Pipe Audit'!$Q$3:$Q$82=1,'Pipe Audit'!$K$3:$K$82)))</f>
        <v>0</v>
      </c>
      <c r="S150" s="294" cm="1">
        <f t="array" ref="S150">SUM(IF('Pipe Audit'!$D$3:$D$82=$A150,IF('Pipe Audit'!$U$3:$U$82&gt;0.25,'Pipe Audit'!$AJ$3:$AJ$82)))</f>
        <v>0</v>
      </c>
      <c r="T150" s="294">
        <f t="array" ref="T150">SUM(IF('Pipe Audit'!$D$3:$D$82=$A150,IF('Pipe Audit'!$U$3:$U$82&gt;0.2,'Pipe Audit'!$K$3:$K$82)))</f>
        <v>0</v>
      </c>
      <c r="U150" s="295">
        <f t="shared" si="41"/>
        <v>0</v>
      </c>
      <c r="V150" s="296" t="e">
        <f t="shared" si="42"/>
        <v>#DIV/0!</v>
      </c>
    </row>
    <row r="151" spans="1:22" ht="22.5" x14ac:dyDescent="0.45">
      <c r="A151" s="306" t="s">
        <v>205</v>
      </c>
      <c r="B151" s="307">
        <v>217</v>
      </c>
      <c r="C151" s="308" t="s">
        <v>482</v>
      </c>
      <c r="D151" s="288"/>
      <c r="E151" s="289">
        <f>SUMIF('Pipe Audit'!$D$3:$D$82,A151,'Pipe Audit'!$K$3:$K$82)</f>
        <v>0</v>
      </c>
      <c r="F151" s="289">
        <f>SUMIF('Pipe Audit'!$D$3:$D$82,A151,'Pipe Audit'!$O$3:$O$82)</f>
        <v>0</v>
      </c>
      <c r="G151" s="289">
        <f t="shared" si="35"/>
        <v>0</v>
      </c>
      <c r="H151" s="290" t="e">
        <f t="shared" si="36"/>
        <v>#DIV/0!</v>
      </c>
      <c r="I151" s="289">
        <f>SUMIF('Pipe Audit'!$D$3:$D$82,A151,'Pipe Audit'!$BD$3:$BD$82)</f>
        <v>0</v>
      </c>
      <c r="J151" s="289">
        <f>SUMIF('Pipe Audit'!$D$3:$D$82,A151,'Pipe Audit'!$BE$3:$BE$82)</f>
        <v>0</v>
      </c>
      <c r="K151" s="289">
        <f t="shared" si="37"/>
        <v>0</v>
      </c>
      <c r="L151" s="291" t="e">
        <f t="shared" si="38"/>
        <v>#DIV/0!</v>
      </c>
      <c r="M151" s="289">
        <f>SUMIF('Pipe Audit'!$D$3:$D$82,A151,'Pipe Audit'!$AJ$3:$AJ$82)</f>
        <v>0</v>
      </c>
      <c r="N151" s="292" cm="1">
        <f t="array" ref="N151">SUM(IF('Pipe Audit'!$D$3:$D$82=$A151,IF('Pipe Audit'!$Q$3:$Q$82=1,'Pipe Audit'!$AJ$3:$AJ$82)))</f>
        <v>0</v>
      </c>
      <c r="O151" s="292">
        <f t="shared" si="39"/>
        <v>0</v>
      </c>
      <c r="P151" s="293" t="e">
        <f t="shared" si="40"/>
        <v>#DIV/0!</v>
      </c>
      <c r="Q151" s="294" cm="1">
        <f t="array" ref="Q151">SUM(IF('Pipe Audit'!$D$3:$D$82=$A151,IF('Pipe Audit'!$AJ$3:$AJ$82=1,'Pipe Audit'!$K$3:$K$82)))</f>
        <v>0</v>
      </c>
      <c r="R151" s="294">
        <f t="array" ref="R151">SUM(IF('Pipe Audit'!$D$3:$D$82=$A151,IF('Pipe Audit'!$Q$3:$Q$82=1,'Pipe Audit'!$K$3:$K$82)))</f>
        <v>0</v>
      </c>
      <c r="S151" s="294" cm="1">
        <f t="array" ref="S151">SUM(IF('Pipe Audit'!$D$3:$D$82=$A151,IF('Pipe Audit'!$U$3:$U$82&gt;0.25,'Pipe Audit'!$AJ$3:$AJ$82)))</f>
        <v>0</v>
      </c>
      <c r="T151" s="294">
        <f t="array" ref="T151">SUM(IF('Pipe Audit'!$D$3:$D$82=$A151,IF('Pipe Audit'!$U$3:$U$82&gt;0.2,'Pipe Audit'!$K$3:$K$82)))</f>
        <v>0</v>
      </c>
      <c r="U151" s="295">
        <f t="shared" si="41"/>
        <v>0</v>
      </c>
      <c r="V151" s="296" t="e">
        <f t="shared" si="42"/>
        <v>#DIV/0!</v>
      </c>
    </row>
    <row r="152" spans="1:22" ht="22.5" x14ac:dyDescent="0.45">
      <c r="A152" s="306" t="s">
        <v>272</v>
      </c>
      <c r="B152" s="307">
        <v>217</v>
      </c>
      <c r="C152" s="308" t="s">
        <v>483</v>
      </c>
      <c r="D152" s="288"/>
      <c r="E152" s="289">
        <f>SUMIF('Pipe Audit'!$D$3:$D$82,A152,'Pipe Audit'!$K$3:$K$82)</f>
        <v>0</v>
      </c>
      <c r="F152" s="289">
        <f>SUMIF('Pipe Audit'!$D$3:$D$82,A152,'Pipe Audit'!$O$3:$O$82)</f>
        <v>0</v>
      </c>
      <c r="G152" s="289">
        <f t="shared" si="35"/>
        <v>0</v>
      </c>
      <c r="H152" s="290" t="e">
        <f t="shared" si="36"/>
        <v>#DIV/0!</v>
      </c>
      <c r="I152" s="289">
        <f>SUMIF('Pipe Audit'!$D$3:$D$82,A152,'Pipe Audit'!$BD$3:$BD$82)</f>
        <v>0</v>
      </c>
      <c r="J152" s="289">
        <f>SUMIF('Pipe Audit'!$D$3:$D$82,A152,'Pipe Audit'!$BE$3:$BE$82)</f>
        <v>0</v>
      </c>
      <c r="K152" s="289">
        <f t="shared" si="37"/>
        <v>0</v>
      </c>
      <c r="L152" s="291" t="e">
        <f t="shared" si="38"/>
        <v>#DIV/0!</v>
      </c>
      <c r="M152" s="289">
        <f>SUMIF('Pipe Audit'!$D$3:$D$82,A152,'Pipe Audit'!$AJ$3:$AJ$82)</f>
        <v>0</v>
      </c>
      <c r="N152" s="292" cm="1">
        <f t="array" ref="N152">SUM(IF('Pipe Audit'!$D$3:$D$82=$A152,IF('Pipe Audit'!$Q$3:$Q$82=1,'Pipe Audit'!$AJ$3:$AJ$82)))</f>
        <v>0</v>
      </c>
      <c r="O152" s="292">
        <f t="shared" si="39"/>
        <v>0</v>
      </c>
      <c r="P152" s="293" t="e">
        <f t="shared" si="40"/>
        <v>#DIV/0!</v>
      </c>
      <c r="Q152" s="294" cm="1">
        <f t="array" ref="Q152">SUM(IF('Pipe Audit'!$D$3:$D$82=$A152,IF('Pipe Audit'!$AJ$3:$AJ$82=1,'Pipe Audit'!$K$3:$K$82)))</f>
        <v>0</v>
      </c>
      <c r="R152" s="294">
        <f t="array" ref="R152">SUM(IF('Pipe Audit'!$D$3:$D$82=$A152,IF('Pipe Audit'!$Q$3:$Q$82=1,'Pipe Audit'!$K$3:$K$82)))</f>
        <v>0</v>
      </c>
      <c r="S152" s="294" cm="1">
        <f t="array" ref="S152">SUM(IF('Pipe Audit'!$D$3:$D$82=$A152,IF('Pipe Audit'!$U$3:$U$82&gt;0.25,'Pipe Audit'!$AJ$3:$AJ$82)))</f>
        <v>0</v>
      </c>
      <c r="T152" s="294">
        <f t="array" ref="T152">SUM(IF('Pipe Audit'!$D$3:$D$82=$A152,IF('Pipe Audit'!$U$3:$U$82&gt;0.2,'Pipe Audit'!$K$3:$K$82)))</f>
        <v>0</v>
      </c>
      <c r="U152" s="295">
        <f t="shared" si="41"/>
        <v>0</v>
      </c>
      <c r="V152" s="296" t="e">
        <f t="shared" si="42"/>
        <v>#DIV/0!</v>
      </c>
    </row>
    <row r="153" spans="1:22" ht="22.5" x14ac:dyDescent="0.45">
      <c r="A153" s="306" t="s">
        <v>201</v>
      </c>
      <c r="B153" s="307">
        <v>217</v>
      </c>
      <c r="C153" s="308" t="s">
        <v>484</v>
      </c>
      <c r="D153" s="288"/>
      <c r="E153" s="289">
        <f>SUMIF('Pipe Audit'!$D$3:$D$82,A153,'Pipe Audit'!$K$3:$K$82)</f>
        <v>0</v>
      </c>
      <c r="F153" s="289">
        <f>SUMIF('Pipe Audit'!$D$3:$D$82,A153,'Pipe Audit'!$O$3:$O$82)</f>
        <v>0</v>
      </c>
      <c r="G153" s="289">
        <f t="shared" si="35"/>
        <v>0</v>
      </c>
      <c r="H153" s="290" t="e">
        <f t="shared" si="36"/>
        <v>#DIV/0!</v>
      </c>
      <c r="I153" s="289">
        <f>SUMIF('Pipe Audit'!$D$3:$D$82,A153,'Pipe Audit'!$BD$3:$BD$82)</f>
        <v>0</v>
      </c>
      <c r="J153" s="289">
        <f>SUMIF('Pipe Audit'!$D$3:$D$82,A153,'Pipe Audit'!$BE$3:$BE$82)</f>
        <v>0</v>
      </c>
      <c r="K153" s="289">
        <f t="shared" si="37"/>
        <v>0</v>
      </c>
      <c r="L153" s="291" t="e">
        <f t="shared" si="38"/>
        <v>#DIV/0!</v>
      </c>
      <c r="M153" s="289">
        <f>SUMIF('Pipe Audit'!$D$3:$D$82,A153,'Pipe Audit'!$AJ$3:$AJ$82)</f>
        <v>0</v>
      </c>
      <c r="N153" s="292" cm="1">
        <f t="array" ref="N153">SUM(IF('Pipe Audit'!$D$3:$D$82=$A153,IF('Pipe Audit'!$Q$3:$Q$82=1,'Pipe Audit'!$AJ$3:$AJ$82)))</f>
        <v>0</v>
      </c>
      <c r="O153" s="292">
        <f t="shared" si="39"/>
        <v>0</v>
      </c>
      <c r="P153" s="293" t="e">
        <f t="shared" si="40"/>
        <v>#DIV/0!</v>
      </c>
      <c r="Q153" s="294" cm="1">
        <f t="array" ref="Q153">SUM(IF('Pipe Audit'!$D$3:$D$82=$A153,IF('Pipe Audit'!$AJ$3:$AJ$82=1,'Pipe Audit'!$K$3:$K$82)))</f>
        <v>0</v>
      </c>
      <c r="R153" s="294">
        <f t="array" ref="R153">SUM(IF('Pipe Audit'!$D$3:$D$82=$A153,IF('Pipe Audit'!$Q$3:$Q$82=1,'Pipe Audit'!$K$3:$K$82)))</f>
        <v>0</v>
      </c>
      <c r="S153" s="294" cm="1">
        <f t="array" ref="S153">SUM(IF('Pipe Audit'!$D$3:$D$82=$A153,IF('Pipe Audit'!$U$3:$U$82&gt;0.25,'Pipe Audit'!$AJ$3:$AJ$82)))</f>
        <v>0</v>
      </c>
      <c r="T153" s="294">
        <f t="array" ref="T153">SUM(IF('Pipe Audit'!$D$3:$D$82=$A153,IF('Pipe Audit'!$U$3:$U$82&gt;0.2,'Pipe Audit'!$K$3:$K$82)))</f>
        <v>0</v>
      </c>
      <c r="U153" s="295">
        <f t="shared" si="41"/>
        <v>0</v>
      </c>
      <c r="V153" s="296" t="e">
        <f t="shared" si="42"/>
        <v>#DIV/0!</v>
      </c>
    </row>
    <row r="154" spans="1:22" ht="22.5" x14ac:dyDescent="0.45">
      <c r="A154" s="306" t="s">
        <v>332</v>
      </c>
      <c r="B154" s="307">
        <v>217</v>
      </c>
      <c r="C154" s="308" t="s">
        <v>485</v>
      </c>
      <c r="D154" s="288"/>
      <c r="E154" s="289">
        <f>SUMIF('Pipe Audit'!$D$3:$D$82,A154,'Pipe Audit'!$K$3:$K$82)</f>
        <v>0</v>
      </c>
      <c r="F154" s="289">
        <f>SUMIF('Pipe Audit'!$D$3:$D$82,A154,'Pipe Audit'!$O$3:$O$82)</f>
        <v>0</v>
      </c>
      <c r="G154" s="289">
        <f t="shared" si="35"/>
        <v>0</v>
      </c>
      <c r="H154" s="290" t="e">
        <f t="shared" si="36"/>
        <v>#DIV/0!</v>
      </c>
      <c r="I154" s="289">
        <f>SUMIF('Pipe Audit'!$D$3:$D$82,A154,'Pipe Audit'!$BD$3:$BD$82)</f>
        <v>0</v>
      </c>
      <c r="J154" s="289">
        <f>SUMIF('Pipe Audit'!$D$3:$D$82,A154,'Pipe Audit'!$BE$3:$BE$82)</f>
        <v>0</v>
      </c>
      <c r="K154" s="289">
        <f t="shared" si="37"/>
        <v>0</v>
      </c>
      <c r="L154" s="291" t="e">
        <f t="shared" si="38"/>
        <v>#DIV/0!</v>
      </c>
      <c r="M154" s="289">
        <f>SUMIF('Pipe Audit'!$D$3:$D$82,A154,'Pipe Audit'!$AJ$3:$AJ$82)</f>
        <v>0</v>
      </c>
      <c r="N154" s="292" cm="1">
        <f t="array" ref="N154">SUM(IF('Pipe Audit'!$D$3:$D$82=$A154,IF('Pipe Audit'!$Q$3:$Q$82=1,'Pipe Audit'!$AJ$3:$AJ$82)))</f>
        <v>0</v>
      </c>
      <c r="O154" s="292">
        <f t="shared" si="39"/>
        <v>0</v>
      </c>
      <c r="P154" s="293" t="e">
        <f t="shared" si="40"/>
        <v>#DIV/0!</v>
      </c>
      <c r="Q154" s="294" cm="1">
        <f t="array" ref="Q154">SUM(IF('Pipe Audit'!$D$3:$D$82=$A154,IF('Pipe Audit'!$AJ$3:$AJ$82=1,'Pipe Audit'!$K$3:$K$82)))</f>
        <v>0</v>
      </c>
      <c r="R154" s="294">
        <f t="array" ref="R154">SUM(IF('Pipe Audit'!$D$3:$D$82=$A154,IF('Pipe Audit'!$Q$3:$Q$82=1,'Pipe Audit'!$K$3:$K$82)))</f>
        <v>0</v>
      </c>
      <c r="S154" s="294" cm="1">
        <f t="array" ref="S154">SUM(IF('Pipe Audit'!$D$3:$D$82=$A154,IF('Pipe Audit'!$U$3:$U$82&gt;0.25,'Pipe Audit'!$AJ$3:$AJ$82)))</f>
        <v>0</v>
      </c>
      <c r="T154" s="294">
        <f t="array" ref="T154">SUM(IF('Pipe Audit'!$D$3:$D$82=$A154,IF('Pipe Audit'!$U$3:$U$82&gt;0.2,'Pipe Audit'!$K$3:$K$82)))</f>
        <v>0</v>
      </c>
      <c r="U154" s="295">
        <f t="shared" si="41"/>
        <v>0</v>
      </c>
      <c r="V154" s="296" t="e">
        <f t="shared" si="42"/>
        <v>#DIV/0!</v>
      </c>
    </row>
    <row r="155" spans="1:22" ht="22.5" x14ac:dyDescent="0.45">
      <c r="A155" s="306" t="s">
        <v>213</v>
      </c>
      <c r="B155" s="307">
        <v>218</v>
      </c>
      <c r="C155" s="308" t="s">
        <v>486</v>
      </c>
      <c r="D155" s="288"/>
      <c r="E155" s="289">
        <f>SUMIF('Pipe Audit'!$D$3:$D$82,A155,'Pipe Audit'!$K$3:$K$82)</f>
        <v>0</v>
      </c>
      <c r="F155" s="289">
        <f>SUMIF('Pipe Audit'!$D$3:$D$82,A155,'Pipe Audit'!$O$3:$O$82)</f>
        <v>0</v>
      </c>
      <c r="G155" s="289">
        <f t="shared" si="35"/>
        <v>0</v>
      </c>
      <c r="H155" s="290" t="e">
        <f t="shared" si="36"/>
        <v>#DIV/0!</v>
      </c>
      <c r="I155" s="289">
        <f>SUMIF('Pipe Audit'!$D$3:$D$82,A155,'Pipe Audit'!$BD$3:$BD$82)</f>
        <v>0</v>
      </c>
      <c r="J155" s="289">
        <f>SUMIF('Pipe Audit'!$D$3:$D$82,A155,'Pipe Audit'!$BE$3:$BE$82)</f>
        <v>0</v>
      </c>
      <c r="K155" s="289">
        <f t="shared" si="37"/>
        <v>0</v>
      </c>
      <c r="L155" s="291" t="e">
        <f t="shared" si="38"/>
        <v>#DIV/0!</v>
      </c>
      <c r="M155" s="289">
        <f>SUMIF('Pipe Audit'!$D$3:$D$82,A155,'Pipe Audit'!$AJ$3:$AJ$82)</f>
        <v>0</v>
      </c>
      <c r="N155" s="292" cm="1">
        <f t="array" ref="N155">SUM(IF('Pipe Audit'!$D$3:$D$82=$A155,IF('Pipe Audit'!$Q$3:$Q$82=1,'Pipe Audit'!$AJ$3:$AJ$82)))</f>
        <v>0</v>
      </c>
      <c r="O155" s="292">
        <f t="shared" si="39"/>
        <v>0</v>
      </c>
      <c r="P155" s="293" t="e">
        <f t="shared" si="40"/>
        <v>#DIV/0!</v>
      </c>
      <c r="Q155" s="294" cm="1">
        <f t="array" ref="Q155">SUM(IF('Pipe Audit'!$D$3:$D$82=$A155,IF('Pipe Audit'!$AJ$3:$AJ$82=1,'Pipe Audit'!$K$3:$K$82)))</f>
        <v>0</v>
      </c>
      <c r="R155" s="294">
        <f t="array" ref="R155">SUM(IF('Pipe Audit'!$D$3:$D$82=$A155,IF('Pipe Audit'!$Q$3:$Q$82=1,'Pipe Audit'!$K$3:$K$82)))</f>
        <v>0</v>
      </c>
      <c r="S155" s="294" cm="1">
        <f t="array" ref="S155">SUM(IF('Pipe Audit'!$D$3:$D$82=$A155,IF('Pipe Audit'!$U$3:$U$82&gt;0.25,'Pipe Audit'!$AJ$3:$AJ$82)))</f>
        <v>0</v>
      </c>
      <c r="T155" s="294">
        <f t="array" ref="T155">SUM(IF('Pipe Audit'!$D$3:$D$82=$A155,IF('Pipe Audit'!$U$3:$U$82&gt;0.2,'Pipe Audit'!$K$3:$K$82)))</f>
        <v>0</v>
      </c>
      <c r="U155" s="295">
        <f t="shared" si="41"/>
        <v>0</v>
      </c>
      <c r="V155" s="296" t="e">
        <f t="shared" si="42"/>
        <v>#DIV/0!</v>
      </c>
    </row>
    <row r="156" spans="1:22" ht="22.5" x14ac:dyDescent="0.45">
      <c r="A156" s="306" t="s">
        <v>333</v>
      </c>
      <c r="B156" s="307">
        <v>219</v>
      </c>
      <c r="C156" s="308" t="s">
        <v>487</v>
      </c>
      <c r="D156" s="288"/>
      <c r="E156" s="289">
        <f>SUMIF('Pipe Audit'!$D$3:$D$82,A156,'Pipe Audit'!$K$3:$K$82)</f>
        <v>0</v>
      </c>
      <c r="F156" s="289">
        <f>SUMIF('Pipe Audit'!$D$3:$D$82,A156,'Pipe Audit'!$O$3:$O$82)</f>
        <v>0</v>
      </c>
      <c r="G156" s="289">
        <f t="shared" si="35"/>
        <v>0</v>
      </c>
      <c r="H156" s="290" t="e">
        <f t="shared" si="36"/>
        <v>#DIV/0!</v>
      </c>
      <c r="I156" s="289">
        <f>SUMIF('Pipe Audit'!$D$3:$D$82,A156,'Pipe Audit'!$BD$3:$BD$82)</f>
        <v>0</v>
      </c>
      <c r="J156" s="289">
        <f>SUMIF('Pipe Audit'!$D$3:$D$82,A156,'Pipe Audit'!$BE$3:$BE$82)</f>
        <v>0</v>
      </c>
      <c r="K156" s="289">
        <f t="shared" si="37"/>
        <v>0</v>
      </c>
      <c r="L156" s="291" t="e">
        <f t="shared" si="38"/>
        <v>#DIV/0!</v>
      </c>
      <c r="M156" s="289">
        <f>SUMIF('Pipe Audit'!$D$3:$D$82,A156,'Pipe Audit'!$AJ$3:$AJ$82)</f>
        <v>0</v>
      </c>
      <c r="N156" s="292" cm="1">
        <f t="array" ref="N156">SUM(IF('Pipe Audit'!$D$3:$D$82=$A156,IF('Pipe Audit'!$Q$3:$Q$82=1,'Pipe Audit'!$AJ$3:$AJ$82)))</f>
        <v>0</v>
      </c>
      <c r="O156" s="292">
        <f t="shared" si="39"/>
        <v>0</v>
      </c>
      <c r="P156" s="293" t="e">
        <f t="shared" si="40"/>
        <v>#DIV/0!</v>
      </c>
      <c r="Q156" s="294" cm="1">
        <f t="array" ref="Q156">SUM(IF('Pipe Audit'!$D$3:$D$82=$A156,IF('Pipe Audit'!$AJ$3:$AJ$82=1,'Pipe Audit'!$K$3:$K$82)))</f>
        <v>0</v>
      </c>
      <c r="R156" s="294">
        <f t="array" ref="R156">SUM(IF('Pipe Audit'!$D$3:$D$82=$A156,IF('Pipe Audit'!$Q$3:$Q$82=1,'Pipe Audit'!$K$3:$K$82)))</f>
        <v>0</v>
      </c>
      <c r="S156" s="294" cm="1">
        <f t="array" ref="S156">SUM(IF('Pipe Audit'!$D$3:$D$82=$A156,IF('Pipe Audit'!$U$3:$U$82&gt;0.25,'Pipe Audit'!$AJ$3:$AJ$82)))</f>
        <v>0</v>
      </c>
      <c r="T156" s="294">
        <f t="array" ref="T156">SUM(IF('Pipe Audit'!$D$3:$D$82=$A156,IF('Pipe Audit'!$U$3:$U$82&gt;0.2,'Pipe Audit'!$K$3:$K$82)))</f>
        <v>0</v>
      </c>
      <c r="U156" s="295">
        <f t="shared" si="41"/>
        <v>0</v>
      </c>
      <c r="V156" s="296" t="e">
        <f t="shared" si="42"/>
        <v>#DIV/0!</v>
      </c>
    </row>
    <row r="157" spans="1:22" ht="23" thickBot="1" x14ac:dyDescent="0.5">
      <c r="A157" s="306" t="s">
        <v>177</v>
      </c>
      <c r="B157" s="307">
        <v>219</v>
      </c>
      <c r="C157" s="308" t="s">
        <v>488</v>
      </c>
      <c r="D157" s="288"/>
      <c r="E157" s="289">
        <f>SUMIF('Pipe Audit'!$D$3:$D$82,A157,'Pipe Audit'!$K$3:$K$82)</f>
        <v>0</v>
      </c>
      <c r="F157" s="289">
        <f>SUMIF('Pipe Audit'!$D$3:$D$82,A157,'Pipe Audit'!$O$3:$O$82)</f>
        <v>0</v>
      </c>
      <c r="G157" s="289">
        <f t="shared" si="35"/>
        <v>0</v>
      </c>
      <c r="H157" s="290" t="e">
        <f t="shared" si="36"/>
        <v>#DIV/0!</v>
      </c>
      <c r="I157" s="289">
        <f>SUMIF('Pipe Audit'!$D$3:$D$82,A157,'Pipe Audit'!$BD$3:$BD$82)</f>
        <v>0</v>
      </c>
      <c r="J157" s="289">
        <f>SUMIF('Pipe Audit'!$D$3:$D$82,A157,'Pipe Audit'!$BE$3:$BE$82)</f>
        <v>0</v>
      </c>
      <c r="K157" s="289">
        <f t="shared" si="37"/>
        <v>0</v>
      </c>
      <c r="L157" s="291" t="e">
        <f t="shared" si="38"/>
        <v>#DIV/0!</v>
      </c>
      <c r="M157" s="289">
        <f>SUMIF('Pipe Audit'!$D$3:$D$82,A157,'Pipe Audit'!$AJ$3:$AJ$82)</f>
        <v>0</v>
      </c>
      <c r="N157" s="292" cm="1">
        <f t="array" ref="N157">SUM(IF('Pipe Audit'!$D$3:$D$82=$A157,IF('Pipe Audit'!$Q$3:$Q$82=1,'Pipe Audit'!$AJ$3:$AJ$82)))</f>
        <v>0</v>
      </c>
      <c r="O157" s="292">
        <f t="shared" si="39"/>
        <v>0</v>
      </c>
      <c r="P157" s="293" t="e">
        <f t="shared" si="40"/>
        <v>#DIV/0!</v>
      </c>
      <c r="Q157" s="294" cm="1">
        <f t="array" ref="Q157">SUM(IF('Pipe Audit'!$D$3:$D$82=$A157,IF('Pipe Audit'!$AJ$3:$AJ$82=1,'Pipe Audit'!$K$3:$K$82)))</f>
        <v>0</v>
      </c>
      <c r="R157" s="294">
        <f t="array" ref="R157">SUM(IF('Pipe Audit'!$D$3:$D$82=$A157,IF('Pipe Audit'!$Q$3:$Q$82=1,'Pipe Audit'!$K$3:$K$82)))</f>
        <v>0</v>
      </c>
      <c r="S157" s="294" cm="1">
        <f t="array" ref="S157">SUM(IF('Pipe Audit'!$D$3:$D$82=$A157,IF('Pipe Audit'!$U$3:$U$82&gt;0.25,'Pipe Audit'!$AJ$3:$AJ$82)))</f>
        <v>0</v>
      </c>
      <c r="T157" s="294">
        <f t="array" ref="T157">SUM(IF('Pipe Audit'!$D$3:$D$82=$A157,IF('Pipe Audit'!$U$3:$U$82&gt;0.2,'Pipe Audit'!$K$3:$K$82)))</f>
        <v>0</v>
      </c>
      <c r="U157" s="295">
        <f t="shared" si="41"/>
        <v>0</v>
      </c>
      <c r="V157" s="296" t="e">
        <f t="shared" si="42"/>
        <v>#DIV/0!</v>
      </c>
    </row>
    <row r="158" spans="1:22" ht="38" thickBot="1" x14ac:dyDescent="0.8">
      <c r="B158" s="297"/>
      <c r="C158" s="305" t="s">
        <v>14</v>
      </c>
      <c r="D158" s="298"/>
      <c r="E158" s="299">
        <f>SUM(E3:E157)</f>
        <v>0</v>
      </c>
      <c r="F158" s="299">
        <f>SUM(F3:F157)</f>
        <v>0</v>
      </c>
      <c r="G158" s="299">
        <f>SUM(G3:G157)</f>
        <v>0</v>
      </c>
      <c r="H158" s="300" t="e">
        <f t="shared" si="36"/>
        <v>#DIV/0!</v>
      </c>
      <c r="I158" s="299">
        <f>SUM(I3:I157)</f>
        <v>0</v>
      </c>
      <c r="J158" s="299">
        <f>SUM(J3:J157)</f>
        <v>0</v>
      </c>
      <c r="K158" s="299">
        <f>SUM(K3:K157)</f>
        <v>0</v>
      </c>
      <c r="L158" s="301" t="e">
        <f>SUM(J158/I158)</f>
        <v>#DIV/0!</v>
      </c>
      <c r="M158" s="299">
        <f>SUM(M3:M157)</f>
        <v>0</v>
      </c>
      <c r="N158" s="299">
        <f>SUM(N3:N157)</f>
        <v>0</v>
      </c>
      <c r="O158" s="299">
        <f>SUM(O3:O157)</f>
        <v>0</v>
      </c>
      <c r="P158" s="302" t="e">
        <f>SUM(N158/M158)</f>
        <v>#DIV/0!</v>
      </c>
      <c r="Q158" s="299">
        <f>SUM(Q3:Q157)</f>
        <v>0</v>
      </c>
      <c r="R158" s="299">
        <f>SUM(R3:R157)</f>
        <v>0</v>
      </c>
      <c r="S158" s="299">
        <f>SUM(S3:S157)</f>
        <v>0</v>
      </c>
      <c r="T158" s="299">
        <f>SUM(T3:T157)</f>
        <v>0</v>
      </c>
      <c r="U158" s="299">
        <f>SUM(U3:U157)</f>
        <v>0</v>
      </c>
      <c r="V158" s="303" t="e">
        <f>+SUM(S158/M158)</f>
        <v>#DIV/0!</v>
      </c>
    </row>
  </sheetData>
  <pageMargins left="0.2" right="0.2" top="0.75" bottom="0.75" header="0.3" footer="0.3"/>
  <pageSetup paperSize="17" scale="40" orientation="landscape" r:id="rId1"/>
  <headerFooter>
    <oddHeader>&amp;L&amp;F&amp;C&amp;16HOURS BY SCHEDULE ID&amp;R&amp;D&amp;T</oddHeader>
    <oddFooter>&amp;C&amp;P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6F29-3966-4B27-8BF5-2B2C404DB298}">
  <sheetPr>
    <tabColor rgb="FF7030A0"/>
  </sheetPr>
  <dimension ref="A1:AD58"/>
  <sheetViews>
    <sheetView showZeros="0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5" sqref="B25"/>
    </sheetView>
  </sheetViews>
  <sheetFormatPr defaultRowHeight="15.5" x14ac:dyDescent="0.35"/>
  <cols>
    <col min="1" max="1" width="32.90625" customWidth="1"/>
    <col min="2" max="2" width="102.54296875" customWidth="1"/>
    <col min="3" max="3" width="18" customWidth="1"/>
    <col min="4" max="7" width="15.08984375" customWidth="1"/>
    <col min="8" max="8" width="20.54296875" customWidth="1"/>
    <col min="9" max="13" width="18.6328125" customWidth="1"/>
    <col min="14" max="14" width="20.453125" customWidth="1"/>
    <col min="15" max="16" width="23.08984375" customWidth="1"/>
    <col min="17" max="17" width="15.6328125" customWidth="1"/>
    <col min="18" max="18" width="17.6328125" customWidth="1"/>
    <col min="19" max="19" width="18.08984375" customWidth="1"/>
    <col min="20" max="20" width="18.54296875" customWidth="1"/>
    <col min="21" max="21" width="18.6328125" customWidth="1"/>
    <col min="22" max="22" width="18.453125" customWidth="1"/>
    <col min="23" max="23" width="19.36328125" customWidth="1"/>
    <col min="24" max="27" width="18.54296875" customWidth="1"/>
    <col min="28" max="28" width="74" customWidth="1"/>
    <col min="29" max="29" width="16.54296875" style="457" customWidth="1"/>
    <col min="30" max="30" width="17" style="457" customWidth="1"/>
  </cols>
  <sheetData>
    <row r="1" spans="1:30" ht="79.25" customHeight="1" thickBot="1" x14ac:dyDescent="0.3">
      <c r="A1" s="309" t="s">
        <v>489</v>
      </c>
      <c r="B1" s="310" t="s">
        <v>490</v>
      </c>
      <c r="C1" s="311" t="s">
        <v>491</v>
      </c>
      <c r="D1" s="311" t="s">
        <v>492</v>
      </c>
      <c r="E1" s="312" t="s">
        <v>493</v>
      </c>
      <c r="F1" s="311" t="s">
        <v>494</v>
      </c>
      <c r="G1" s="312" t="s">
        <v>495</v>
      </c>
      <c r="H1" s="313" t="s">
        <v>496</v>
      </c>
      <c r="I1" s="314" t="s">
        <v>497</v>
      </c>
      <c r="J1" s="314" t="s">
        <v>498</v>
      </c>
      <c r="K1" s="314" t="s">
        <v>499</v>
      </c>
      <c r="L1" s="314" t="s">
        <v>500</v>
      </c>
      <c r="M1" s="313" t="s">
        <v>501</v>
      </c>
      <c r="N1" s="312" t="s">
        <v>502</v>
      </c>
      <c r="O1" s="312" t="s">
        <v>503</v>
      </c>
      <c r="P1" s="312" t="s">
        <v>504</v>
      </c>
      <c r="Q1" s="313" t="s">
        <v>505</v>
      </c>
      <c r="R1" s="313" t="s">
        <v>506</v>
      </c>
      <c r="S1" s="313" t="s">
        <v>507</v>
      </c>
      <c r="T1" s="313" t="s">
        <v>508</v>
      </c>
      <c r="U1" s="313" t="s">
        <v>509</v>
      </c>
      <c r="V1" s="313" t="s">
        <v>510</v>
      </c>
      <c r="W1" s="313" t="s">
        <v>511</v>
      </c>
      <c r="X1" s="313" t="s">
        <v>512</v>
      </c>
      <c r="Y1" s="313" t="s">
        <v>513</v>
      </c>
      <c r="Z1" s="313" t="s">
        <v>514</v>
      </c>
      <c r="AA1" s="313" t="s">
        <v>515</v>
      </c>
      <c r="AB1" s="315" t="s">
        <v>516</v>
      </c>
      <c r="AC1" s="460" t="s">
        <v>565</v>
      </c>
      <c r="AD1" s="460" t="s">
        <v>566</v>
      </c>
    </row>
    <row r="2" spans="1:30" ht="20" customHeight="1" x14ac:dyDescent="0.35">
      <c r="A2" s="316"/>
      <c r="B2" s="316"/>
      <c r="C2" s="317"/>
      <c r="D2" s="317"/>
      <c r="E2" s="318"/>
      <c r="F2" s="317"/>
      <c r="G2" s="318"/>
      <c r="H2" s="319"/>
      <c r="I2" s="320"/>
      <c r="J2" s="320"/>
      <c r="K2" s="319"/>
      <c r="L2" s="319"/>
      <c r="M2" s="319"/>
      <c r="N2" s="318"/>
      <c r="O2" s="318"/>
      <c r="P2" s="318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21"/>
      <c r="AC2" s="461"/>
      <c r="AD2" s="461"/>
    </row>
    <row r="3" spans="1:30" ht="21.5" x14ac:dyDescent="0.25">
      <c r="A3" s="322"/>
      <c r="B3" s="338"/>
      <c r="C3" s="323">
        <f>SUM(C5,C9,C14)</f>
        <v>0</v>
      </c>
      <c r="D3" s="323">
        <f t="shared" ref="D3:AB3" si="0">SUM(D5,D9,D14)</f>
        <v>0</v>
      </c>
      <c r="E3" s="323">
        <f t="shared" si="0"/>
        <v>0</v>
      </c>
      <c r="F3" s="323">
        <f>SUM(F5,F9,F14)</f>
        <v>0</v>
      </c>
      <c r="G3" s="323">
        <f t="shared" si="0"/>
        <v>0</v>
      </c>
      <c r="H3" s="323">
        <f t="shared" si="0"/>
        <v>0</v>
      </c>
      <c r="I3" s="323">
        <f t="shared" si="0"/>
        <v>0</v>
      </c>
      <c r="J3" s="323" t="e">
        <f t="shared" si="0"/>
        <v>#DIV/0!</v>
      </c>
      <c r="K3" s="323">
        <f t="shared" si="0"/>
        <v>0</v>
      </c>
      <c r="L3" s="323">
        <f t="shared" si="0"/>
        <v>0</v>
      </c>
      <c r="M3" s="323">
        <f t="shared" si="0"/>
        <v>0</v>
      </c>
      <c r="N3" s="323">
        <f t="shared" si="0"/>
        <v>0</v>
      </c>
      <c r="O3" s="323">
        <f t="shared" si="0"/>
        <v>0</v>
      </c>
      <c r="P3" s="323">
        <f t="shared" si="0"/>
        <v>0</v>
      </c>
      <c r="Q3" s="323" t="e">
        <f t="shared" si="0"/>
        <v>#VALUE!</v>
      </c>
      <c r="R3" s="323" t="e">
        <f t="shared" si="0"/>
        <v>#VALUE!</v>
      </c>
      <c r="S3" s="323" t="e">
        <f t="shared" si="0"/>
        <v>#VALUE!</v>
      </c>
      <c r="T3" s="323" t="e">
        <f t="shared" si="0"/>
        <v>#VALUE!</v>
      </c>
      <c r="U3" s="323" t="e">
        <f t="shared" si="0"/>
        <v>#VALUE!</v>
      </c>
      <c r="V3" s="323" t="e">
        <f t="shared" si="0"/>
        <v>#VALUE!</v>
      </c>
      <c r="W3" s="323" t="e">
        <f t="shared" si="0"/>
        <v>#VALUE!</v>
      </c>
      <c r="X3" s="323" t="e">
        <f t="shared" si="0"/>
        <v>#VALUE!</v>
      </c>
      <c r="Y3" s="323" t="e">
        <f t="shared" si="0"/>
        <v>#VALUE!</v>
      </c>
      <c r="Z3" s="323" t="e">
        <f t="shared" si="0"/>
        <v>#VALUE!</v>
      </c>
      <c r="AA3" s="323" t="e">
        <f t="shared" si="0"/>
        <v>#VALUE!</v>
      </c>
      <c r="AB3" s="323">
        <f t="shared" si="0"/>
        <v>0</v>
      </c>
      <c r="AC3" s="323">
        <f>SUM(AC5,AC9,AC14)</f>
        <v>0</v>
      </c>
      <c r="AD3" s="466" t="e">
        <f>P3/AC3</f>
        <v>#DIV/0!</v>
      </c>
    </row>
    <row r="4" spans="1:30" ht="21.5" x14ac:dyDescent="0.5">
      <c r="A4" s="452"/>
      <c r="B4" s="416"/>
      <c r="C4" s="324">
        <f>SUMIF('Pipe Audit'!$AK$2:$AK$82,A4,'Pipe Audit'!$L$2:$L$82)</f>
        <v>0</v>
      </c>
      <c r="D4" s="324">
        <f>SUMIF('Pipe Audit'!$AK$2:$AK$82,A4,'Pipe Audit'!$P$2:$P$82)</f>
        <v>0</v>
      </c>
      <c r="E4" s="325">
        <f>SUMIF('Pipe Audit'!$AK$3:$AK$82,A4,'Pipe Audit'!$K$3:$K$82)</f>
        <v>0</v>
      </c>
      <c r="F4" s="324">
        <f>SUMIF('Pipe Audit'!$AK$3:$AK$82,A4,'Pipe Audit'!$O$3:$O$82)</f>
        <v>0</v>
      </c>
      <c r="G4" s="324">
        <f t="shared" ref="G4" si="1">E4-F4</f>
        <v>0</v>
      </c>
      <c r="H4" s="324">
        <f>SUMIF('Pipe Audit'!$AK$3:$AK$82,A4,'Pipe Audit'!$AJ$3:$AJ$82)</f>
        <v>0</v>
      </c>
      <c r="I4" s="324">
        <f>SUMIFS('Pipe Audit'!$AJ$3:$AJ$82,'Pipe Audit'!$AK$3:$AK$82,A4,'Pipe Audit'!$Q$3:$Q$82,"&gt;.25")</f>
        <v>0</v>
      </c>
      <c r="J4" s="326" t="e">
        <f t="shared" ref="J4" si="2">I4/H4</f>
        <v>#DIV/0!</v>
      </c>
      <c r="K4" s="324">
        <f>SUMIFS('Pipe Audit'!$AJ$3:$AJ$82,'Pipe Audit'!$AK$3:$AK$82,A4,'Pipe Audit'!$U$3:$U$82,"&gt;.25")</f>
        <v>0</v>
      </c>
      <c r="L4" s="324">
        <f>H4-I4</f>
        <v>0</v>
      </c>
      <c r="M4" s="324">
        <f t="shared" ref="M4" si="3">SUM(H4-K4)</f>
        <v>0</v>
      </c>
      <c r="N4" s="324">
        <f>SUMIF('Pipe Audit'!$AK$3:$AK$82,A4,'Pipe Audit'!$BD$3:$BD$82)</f>
        <v>0</v>
      </c>
      <c r="O4" s="324">
        <f>SUMIF('Pipe Audit'!$AK$3:$AK$82,A4,'Pipe Audit'!$BE$3:$BE$82)</f>
        <v>0</v>
      </c>
      <c r="P4" s="324">
        <f t="shared" ref="P4" si="4">SUM(N4-O4)</f>
        <v>0</v>
      </c>
      <c r="Q4" s="324" t="e">
        <f>COUNTIF('[2]ISO Sign-Off 1026'!$L:$L,A4)</f>
        <v>#VALUE!</v>
      </c>
      <c r="R4" s="324" t="e">
        <f>COUNTIFS('[2]ISO Sign-Off 1026'!$L:$L,$A4,'[2]ISO Sign-Off 1026'!$N:$N,"f")</f>
        <v>#VALUE!</v>
      </c>
      <c r="S4" s="324" t="e">
        <f>COUNTIFS('[2]ISO Sign-Off 1026'!$L:$L,$A4,'[2]ISO Sign-Off 1026'!$N:$N,"q")</f>
        <v>#VALUE!</v>
      </c>
      <c r="T4" s="324" t="e">
        <f>COUNTIFS('[2]ISO Sign-Off 1026'!$L:$L,$A4,'[2]ISO Sign-Off 1026'!$N:$N,"rf")</f>
        <v>#VALUE!</v>
      </c>
      <c r="U4" s="324" t="e">
        <f>COUNTIFS('[2]ISO Sign-Off 1026'!$L:$L,$A4,'[2]ISO Sign-Off 1026'!$N:$N,"o")</f>
        <v>#VALUE!</v>
      </c>
      <c r="V4" s="324" t="e">
        <f>COUNTIFS('[2]ISO Sign-Off 1026'!$L:$L,$A4,'[2]ISO Sign-Off 1026'!$N:$N,"c")</f>
        <v>#VALUE!</v>
      </c>
      <c r="W4" s="324" t="e">
        <f t="shared" ref="W4" si="5">SUM(Q4-V4)</f>
        <v>#VALUE!</v>
      </c>
      <c r="X4" s="327" t="e">
        <f>SUMIFS('[3]DAY BOARD COUNT OSBL - AL'!$J$5:$J$33,'[3]DAY BOARD COUNT OSBL - AL'!$B$5:$B$33,A4)</f>
        <v>#VALUE!</v>
      </c>
      <c r="Y4" s="327" t="e">
        <f>SUMIFS('[3]DAY BOARD COUNT OSBL - AL'!$K$5:$K$33,'[3]DAY BOARD COUNT OSBL - AL'!$B$5:$B$33,A4)</f>
        <v>#VALUE!</v>
      </c>
      <c r="Z4" s="327" t="e">
        <f>SUMIFS('[3]DAY BOARD COUNT OSBL - AL'!$L$5:$L$33,'[3]DAY BOARD COUNT OSBL - AL'!$B$5:$B$33,A4)</f>
        <v>#VALUE!</v>
      </c>
      <c r="AA4" s="327" t="e">
        <f>SUMIFS('[3]DAY BOARD COUNT OSBL - AL'!$M$5:$M$33,'[3]DAY BOARD COUNT OSBL - AL'!$B$5:$B$33,A4)</f>
        <v>#VALUE!</v>
      </c>
      <c r="AB4" s="458"/>
      <c r="AC4" s="463">
        <f>SUMIF('Pipe Audit'!AK:AK,A4,'Pipe Audit'!BP:BP)</f>
        <v>0</v>
      </c>
      <c r="AD4" s="462"/>
    </row>
    <row r="5" spans="1:30" ht="21" x14ac:dyDescent="0.5">
      <c r="A5" s="413"/>
      <c r="B5" s="451"/>
      <c r="C5" s="415">
        <f>SUM(C6:C8)</f>
        <v>0</v>
      </c>
      <c r="D5" s="415">
        <f>SUM(D6:D8)</f>
        <v>0</v>
      </c>
      <c r="E5" s="415">
        <f t="shared" ref="E5:AB5" si="6">SUM(E6:E8)</f>
        <v>0</v>
      </c>
      <c r="F5" s="415">
        <f t="shared" si="6"/>
        <v>0</v>
      </c>
      <c r="G5" s="415">
        <f t="shared" si="6"/>
        <v>0</v>
      </c>
      <c r="H5" s="415">
        <f t="shared" si="6"/>
        <v>0</v>
      </c>
      <c r="I5" s="415">
        <f t="shared" si="6"/>
        <v>0</v>
      </c>
      <c r="J5" s="415" t="e">
        <f t="shared" si="6"/>
        <v>#DIV/0!</v>
      </c>
      <c r="K5" s="415">
        <f t="shared" si="6"/>
        <v>0</v>
      </c>
      <c r="L5" s="415">
        <f t="shared" si="6"/>
        <v>0</v>
      </c>
      <c r="M5" s="415">
        <f t="shared" si="6"/>
        <v>0</v>
      </c>
      <c r="N5" s="415">
        <f t="shared" si="6"/>
        <v>0</v>
      </c>
      <c r="O5" s="415">
        <f t="shared" si="6"/>
        <v>0</v>
      </c>
      <c r="P5" s="415">
        <f>SUM(P6:P8)</f>
        <v>0</v>
      </c>
      <c r="Q5" s="415" t="e">
        <f>SUM(Q6:Q8)</f>
        <v>#VALUE!</v>
      </c>
      <c r="R5" s="415" t="e">
        <f t="shared" si="6"/>
        <v>#VALUE!</v>
      </c>
      <c r="S5" s="415" t="e">
        <f t="shared" si="6"/>
        <v>#VALUE!</v>
      </c>
      <c r="T5" s="415" t="e">
        <f t="shared" si="6"/>
        <v>#VALUE!</v>
      </c>
      <c r="U5" s="415" t="e">
        <f t="shared" si="6"/>
        <v>#VALUE!</v>
      </c>
      <c r="V5" s="415" t="e">
        <f t="shared" si="6"/>
        <v>#VALUE!</v>
      </c>
      <c r="W5" s="415" t="e">
        <f t="shared" si="6"/>
        <v>#VALUE!</v>
      </c>
      <c r="X5" s="415" t="e">
        <f t="shared" si="6"/>
        <v>#VALUE!</v>
      </c>
      <c r="Y5" s="415" t="e">
        <f t="shared" si="6"/>
        <v>#VALUE!</v>
      </c>
      <c r="Z5" s="415" t="e">
        <f t="shared" si="6"/>
        <v>#VALUE!</v>
      </c>
      <c r="AA5" s="415" t="e">
        <f t="shared" si="6"/>
        <v>#VALUE!</v>
      </c>
      <c r="AB5" s="415">
        <f t="shared" si="6"/>
        <v>0</v>
      </c>
      <c r="AC5" s="415">
        <f>SUM(AC6:AC8)</f>
        <v>0</v>
      </c>
      <c r="AD5" s="465" t="e">
        <f>P5/AC5</f>
        <v>#DIV/0!</v>
      </c>
    </row>
    <row r="6" spans="1:30" ht="21" x14ac:dyDescent="0.5">
      <c r="A6" s="467"/>
      <c r="B6" s="341"/>
      <c r="C6" s="324">
        <f>SUMIF('Pipe Audit'!$AK$2:$AK$82,A6,'Pipe Audit'!$L$2:$L$82)</f>
        <v>0</v>
      </c>
      <c r="D6" s="324">
        <f>SUMIF('Pipe Audit'!$AK$2:$AK$82,A6,'Pipe Audit'!$P$2:$P$82)</f>
        <v>0</v>
      </c>
      <c r="E6" s="325">
        <f>SUMIF('Pipe Audit'!$AK$3:$AK$82,A6,'Pipe Audit'!$K$3:$K$82)</f>
        <v>0</v>
      </c>
      <c r="F6" s="324">
        <f>SUMIF('Pipe Audit'!$AK$3:$AK$82,A6,'Pipe Audit'!$O$3:$O$82)</f>
        <v>0</v>
      </c>
      <c r="G6" s="324">
        <f t="shared" ref="G6" si="7">E6-F6</f>
        <v>0</v>
      </c>
      <c r="H6" s="324">
        <f>SUMIF('Pipe Audit'!$AK$3:$AK$82,A6,'Pipe Audit'!$AJ$3:$AJ$82)</f>
        <v>0</v>
      </c>
      <c r="I6" s="324">
        <f>SUMIFS('Pipe Audit'!$AJ$3:$AJ$82,'Pipe Audit'!$AK$3:$AK$82,A6,'Pipe Audit'!$Q$3:$Q$82,"&gt;.25")</f>
        <v>0</v>
      </c>
      <c r="J6" s="326" t="e">
        <f t="shared" ref="J6" si="8">I6/H6</f>
        <v>#DIV/0!</v>
      </c>
      <c r="K6" s="324">
        <f>SUMIFS('Pipe Audit'!$AJ$3:$AJ$82,'Pipe Audit'!$AK$3:$AK$82,A6,'Pipe Audit'!$U$3:$U$82,"&gt;.25")</f>
        <v>0</v>
      </c>
      <c r="L6" s="324">
        <f t="shared" ref="L6" si="9">H6-I6</f>
        <v>0</v>
      </c>
      <c r="M6" s="324">
        <f t="shared" ref="M6" si="10">SUM(H6-K6)</f>
        <v>0</v>
      </c>
      <c r="N6" s="324">
        <f>SUMIF('Pipe Audit'!$AK$3:$AK$82,A6,'Pipe Audit'!$BD$3:$BD$82)</f>
        <v>0</v>
      </c>
      <c r="O6" s="324">
        <f>SUMIF('Pipe Audit'!$AK$3:$AK$82,A6,'Pipe Audit'!$BE$3:$BE$82)</f>
        <v>0</v>
      </c>
      <c r="P6" s="324">
        <f t="shared" ref="P6" si="11">SUM(N6-O6)</f>
        <v>0</v>
      </c>
      <c r="Q6" s="324" t="e">
        <f>COUNTIF('[2]ISO Sign-Off 1026'!$L:$L,A6)</f>
        <v>#VALUE!</v>
      </c>
      <c r="R6" s="324" t="e">
        <f>COUNTIFS('[2]ISO Sign-Off 1026'!$L:$L,$A6,'[2]ISO Sign-Off 1026'!$N:$N,"f")</f>
        <v>#VALUE!</v>
      </c>
      <c r="S6" s="324" t="e">
        <f>COUNTIFS('[2]ISO Sign-Off 1026'!$L:$L,$A6,'[2]ISO Sign-Off 1026'!$N:$N,"q")</f>
        <v>#VALUE!</v>
      </c>
      <c r="T6" s="324" t="e">
        <f>COUNTIFS('[2]ISO Sign-Off 1026'!$L:$L,$A6,'[2]ISO Sign-Off 1026'!$N:$N,"rf")</f>
        <v>#VALUE!</v>
      </c>
      <c r="U6" s="324" t="e">
        <f>COUNTIFS('[2]ISO Sign-Off 1026'!$L:$L,$A6,'[2]ISO Sign-Off 1026'!$N:$N,"o")</f>
        <v>#VALUE!</v>
      </c>
      <c r="V6" s="324" t="e">
        <f>COUNTIFS('[2]ISO Sign-Off 1026'!$L:$L,$A6,'[2]ISO Sign-Off 1026'!$N:$N,"c")</f>
        <v>#VALUE!</v>
      </c>
      <c r="W6" s="324" t="e">
        <f t="shared" ref="W6" si="12">SUM(Q6-V6)</f>
        <v>#VALUE!</v>
      </c>
      <c r="X6" s="327" t="e">
        <f>SUMIFS('[3]DAY BOARD COUNT OSBL - AL'!$J$5:$J$33,'[3]DAY BOARD COUNT OSBL - AL'!$B$5:$B$33,A6)</f>
        <v>#VALUE!</v>
      </c>
      <c r="Y6" s="327" t="e">
        <f>SUMIFS('[3]DAY BOARD COUNT OSBL - AL'!$K$5:$K$33,'[3]DAY BOARD COUNT OSBL - AL'!$B$5:$B$33,A6)</f>
        <v>#VALUE!</v>
      </c>
      <c r="Z6" s="327" t="e">
        <f>SUMIFS('[3]DAY BOARD COUNT OSBL - AL'!$L$5:$L$33,'[3]DAY BOARD COUNT OSBL - AL'!$B$5:$B$33,A6)</f>
        <v>#VALUE!</v>
      </c>
      <c r="AA6" s="327" t="e">
        <f>SUMIFS('[3]DAY BOARD COUNT OSBL - AL'!$M$5:$M$33,'[3]DAY BOARD COUNT OSBL - AL'!$B$5:$B$33,A6)</f>
        <v>#VALUE!</v>
      </c>
      <c r="AB6" s="459"/>
      <c r="AC6" s="463">
        <f>SUMIF('Pipe Audit'!AK:AK,A6,'Pipe Audit'!BP:BP)</f>
        <v>0</v>
      </c>
      <c r="AD6" s="462" t="e">
        <f>P6/AC6</f>
        <v>#DIV/0!</v>
      </c>
    </row>
    <row r="7" spans="1:30" ht="21" x14ac:dyDescent="0.5">
      <c r="A7" s="467"/>
      <c r="B7" s="341"/>
      <c r="C7" s="324">
        <f>SUMIF('Pipe Audit'!$AK$2:$AK$82,A7,'Pipe Audit'!$L$2:$L$82)</f>
        <v>0</v>
      </c>
      <c r="D7" s="324">
        <f>SUMIF('Pipe Audit'!$AK$2:$AK$82,A7,'Pipe Audit'!$P$2:$P$82)</f>
        <v>0</v>
      </c>
      <c r="E7" s="325">
        <f>SUMIF('Pipe Audit'!$AK$3:$AK$82,A7,'Pipe Audit'!$K$3:$K$82)</f>
        <v>0</v>
      </c>
      <c r="F7" s="324">
        <f>SUMIF('Pipe Audit'!$AK$3:$AK$82,A7,'Pipe Audit'!$O$3:$O$82)</f>
        <v>0</v>
      </c>
      <c r="G7" s="324">
        <f t="shared" ref="G7" si="13">E7-F7</f>
        <v>0</v>
      </c>
      <c r="H7" s="324">
        <f>SUMIF('Pipe Audit'!$AK$3:$AK$82,A7,'Pipe Audit'!$AJ$3:$AJ$82)</f>
        <v>0</v>
      </c>
      <c r="I7" s="324">
        <f>SUMIFS('Pipe Audit'!$AJ$3:$AJ$82,'Pipe Audit'!$AK$3:$AK$82,A7,'Pipe Audit'!$Q$3:$Q$82,"&gt;.25")</f>
        <v>0</v>
      </c>
      <c r="J7" s="326" t="e">
        <f t="shared" ref="J7" si="14">I7/H7</f>
        <v>#DIV/0!</v>
      </c>
      <c r="K7" s="324">
        <f>SUMIFS('Pipe Audit'!$AJ$3:$AJ$82,'Pipe Audit'!$AK$3:$AK$82,A7,'Pipe Audit'!$U$3:$U$82,"&gt;.25")</f>
        <v>0</v>
      </c>
      <c r="L7" s="324">
        <f t="shared" ref="L7" si="15">H7-I7</f>
        <v>0</v>
      </c>
      <c r="M7" s="324">
        <f t="shared" ref="M7" si="16">SUM(H7-K7)</f>
        <v>0</v>
      </c>
      <c r="N7" s="324">
        <f>SUMIF('Pipe Audit'!$AK$3:$AK$82,A7,'Pipe Audit'!$BD$3:$BD$82)</f>
        <v>0</v>
      </c>
      <c r="O7" s="324">
        <f>SUMIF('Pipe Audit'!$AK$3:$AK$82,A7,'Pipe Audit'!$BE$3:$BE$82)</f>
        <v>0</v>
      </c>
      <c r="P7" s="324">
        <f t="shared" ref="P7" si="17">SUM(N7-O7)</f>
        <v>0</v>
      </c>
      <c r="Q7" s="324" t="e">
        <f>COUNTIF('[2]ISO Sign-Off 1026'!$L:$L,A7)</f>
        <v>#VALUE!</v>
      </c>
      <c r="R7" s="324" t="e">
        <f>COUNTIFS('[2]ISO Sign-Off 1026'!$L:$L,$A7,'[2]ISO Sign-Off 1026'!$N:$N,"f")</f>
        <v>#VALUE!</v>
      </c>
      <c r="S7" s="324" t="e">
        <f>COUNTIFS('[2]ISO Sign-Off 1026'!$L:$L,$A7,'[2]ISO Sign-Off 1026'!$N:$N,"q")</f>
        <v>#VALUE!</v>
      </c>
      <c r="T7" s="324" t="e">
        <f>COUNTIFS('[2]ISO Sign-Off 1026'!$L:$L,$A7,'[2]ISO Sign-Off 1026'!$N:$N,"rf")</f>
        <v>#VALUE!</v>
      </c>
      <c r="U7" s="324" t="e">
        <f>COUNTIFS('[2]ISO Sign-Off 1026'!$L:$L,$A7,'[2]ISO Sign-Off 1026'!$N:$N,"o")</f>
        <v>#VALUE!</v>
      </c>
      <c r="V7" s="324" t="e">
        <f>COUNTIFS('[2]ISO Sign-Off 1026'!$L:$L,$A7,'[2]ISO Sign-Off 1026'!$N:$N,"c")</f>
        <v>#VALUE!</v>
      </c>
      <c r="W7" s="324" t="e">
        <f t="shared" ref="W7" si="18">SUM(Q7-V7)</f>
        <v>#VALUE!</v>
      </c>
      <c r="X7" s="327" t="e">
        <f>SUMIFS('[3]DAY BOARD COUNT OSBL - AL'!$J$5:$J$33,'[3]DAY BOARD COUNT OSBL - AL'!$B$5:$B$33,A7)</f>
        <v>#VALUE!</v>
      </c>
      <c r="Y7" s="327" t="e">
        <f>SUMIFS('[3]DAY BOARD COUNT OSBL - AL'!$K$5:$K$33,'[3]DAY BOARD COUNT OSBL - AL'!$B$5:$B$33,A7)</f>
        <v>#VALUE!</v>
      </c>
      <c r="Z7" s="327" t="e">
        <f>SUMIFS('[3]DAY BOARD COUNT OSBL - AL'!$L$5:$L$33,'[3]DAY BOARD COUNT OSBL - AL'!$B$5:$B$33,A7)</f>
        <v>#VALUE!</v>
      </c>
      <c r="AA7" s="327" t="e">
        <f>SUMIFS('[3]DAY BOARD COUNT OSBL - AL'!$M$5:$M$33,'[3]DAY BOARD COUNT OSBL - AL'!$B$5:$B$33,A7)</f>
        <v>#VALUE!</v>
      </c>
      <c r="AB7" s="459"/>
      <c r="AC7" s="463">
        <f>SUMIF('Pipe Audit'!AK:AK,A7,'Pipe Audit'!BP:BP)</f>
        <v>0</v>
      </c>
      <c r="AD7" s="462" t="e">
        <f t="shared" ref="AD7:AD51" si="19">P7/AC7</f>
        <v>#DIV/0!</v>
      </c>
    </row>
    <row r="8" spans="1:30" ht="21" x14ac:dyDescent="0.5">
      <c r="A8" s="467"/>
      <c r="B8" s="341"/>
      <c r="C8" s="324">
        <f>SUMIF('Pipe Audit'!$AK$2:$AK$82,A8,'Pipe Audit'!$L$2:$L$82)</f>
        <v>0</v>
      </c>
      <c r="D8" s="324">
        <f>SUMIF('Pipe Audit'!$AK$2:$AK$82,A8,'Pipe Audit'!$P$2:$P$82)</f>
        <v>0</v>
      </c>
      <c r="E8" s="325">
        <f>SUMIF('Pipe Audit'!$AK$3:$AK$82,A8,'Pipe Audit'!$K$3:$K$82)</f>
        <v>0</v>
      </c>
      <c r="F8" s="324">
        <f>SUMIF('Pipe Audit'!$AK$3:$AK$82,A8,'Pipe Audit'!$O$3:$O$82)</f>
        <v>0</v>
      </c>
      <c r="G8" s="324">
        <f t="shared" ref="G8" si="20">E8-F8</f>
        <v>0</v>
      </c>
      <c r="H8" s="324">
        <f>SUMIF('Pipe Audit'!$AK$3:$AK$82,A8,'Pipe Audit'!$AJ$3:$AJ$82)</f>
        <v>0</v>
      </c>
      <c r="I8" s="324">
        <f>SUMIFS('Pipe Audit'!$AJ$3:$AJ$82,'Pipe Audit'!$AK$3:$AK$82,A8,'Pipe Audit'!$Q$3:$Q$82,"&gt;.25")</f>
        <v>0</v>
      </c>
      <c r="J8" s="326" t="e">
        <f t="shared" ref="J8" si="21">I8/H8</f>
        <v>#DIV/0!</v>
      </c>
      <c r="K8" s="324">
        <f>SUMIFS('Pipe Audit'!$AJ$3:$AJ$82,'Pipe Audit'!$AK$3:$AK$82,A8,'Pipe Audit'!$U$3:$U$82,"&gt;.25")</f>
        <v>0</v>
      </c>
      <c r="L8" s="324">
        <f t="shared" ref="L8" si="22">H8-I8</f>
        <v>0</v>
      </c>
      <c r="M8" s="324">
        <f t="shared" ref="M8" si="23">SUM(H8-K8)</f>
        <v>0</v>
      </c>
      <c r="N8" s="324">
        <f>SUMIF('Pipe Audit'!$AK$3:$AK$82,A8,'Pipe Audit'!$BD$3:$BD$82)</f>
        <v>0</v>
      </c>
      <c r="O8" s="324">
        <f>SUMIF('Pipe Audit'!$AK$3:$AK$82,A8,'Pipe Audit'!$BE$3:$BE$82)</f>
        <v>0</v>
      </c>
      <c r="P8" s="324">
        <f t="shared" ref="P8" si="24">SUM(N8-O8)</f>
        <v>0</v>
      </c>
      <c r="Q8" s="324" t="e">
        <f>COUNTIF('[2]ISO Sign-Off 1026'!$L:$L,A8)</f>
        <v>#VALUE!</v>
      </c>
      <c r="R8" s="324" t="e">
        <f>COUNTIFS('[2]ISO Sign-Off 1026'!$L:$L,$A8,'[2]ISO Sign-Off 1026'!$N:$N,"f")</f>
        <v>#VALUE!</v>
      </c>
      <c r="S8" s="324" t="e">
        <f>COUNTIFS('[2]ISO Sign-Off 1026'!$L:$L,$A8,'[2]ISO Sign-Off 1026'!$N:$N,"q")</f>
        <v>#VALUE!</v>
      </c>
      <c r="T8" s="324" t="e">
        <f>COUNTIFS('[2]ISO Sign-Off 1026'!$L:$L,$A8,'[2]ISO Sign-Off 1026'!$N:$N,"rf")</f>
        <v>#VALUE!</v>
      </c>
      <c r="U8" s="324" t="e">
        <f>COUNTIFS('[2]ISO Sign-Off 1026'!$L:$L,$A8,'[2]ISO Sign-Off 1026'!$N:$N,"o")</f>
        <v>#VALUE!</v>
      </c>
      <c r="V8" s="324" t="e">
        <f>COUNTIFS('[2]ISO Sign-Off 1026'!$L:$L,$A8,'[2]ISO Sign-Off 1026'!$N:$N,"c")</f>
        <v>#VALUE!</v>
      </c>
      <c r="W8" s="324" t="e">
        <f t="shared" ref="W8" si="25">SUM(Q8-V8)</f>
        <v>#VALUE!</v>
      </c>
      <c r="X8" s="327" t="e">
        <f>SUMIFS('[3]DAY BOARD COUNT OSBL - AL'!$J$5:$J$33,'[3]DAY BOARD COUNT OSBL - AL'!$B$5:$B$33,A8)</f>
        <v>#VALUE!</v>
      </c>
      <c r="Y8" s="327" t="e">
        <f>SUMIFS('[3]DAY BOARD COUNT OSBL - AL'!$K$5:$K$33,'[3]DAY BOARD COUNT OSBL - AL'!$B$5:$B$33,A8)</f>
        <v>#VALUE!</v>
      </c>
      <c r="Z8" s="327" t="e">
        <f>SUMIFS('[3]DAY BOARD COUNT OSBL - AL'!$L$5:$L$33,'[3]DAY BOARD COUNT OSBL - AL'!$B$5:$B$33,A8)</f>
        <v>#VALUE!</v>
      </c>
      <c r="AA8" s="327" t="e">
        <f>SUMIFS('[3]DAY BOARD COUNT OSBL - AL'!$M$5:$M$33,'[3]DAY BOARD COUNT OSBL - AL'!$B$5:$B$33,A8)</f>
        <v>#VALUE!</v>
      </c>
      <c r="AB8" s="459"/>
      <c r="AC8" s="463">
        <f>SUMIF('Pipe Audit'!AK:AK,A8,'Pipe Audit'!BP:BP)</f>
        <v>0</v>
      </c>
      <c r="AD8" s="462" t="e">
        <f t="shared" si="19"/>
        <v>#DIV/0!</v>
      </c>
    </row>
    <row r="9" spans="1:30" ht="21" x14ac:dyDescent="0.5">
      <c r="A9" s="413"/>
      <c r="B9" s="414"/>
      <c r="C9" s="415">
        <f>SUM(C10:C13)</f>
        <v>0</v>
      </c>
      <c r="D9" s="415">
        <f>SUM(D10:D13)</f>
        <v>0</v>
      </c>
      <c r="E9" s="415">
        <f t="shared" ref="E9:AA9" si="26">SUM(E10:E13)</f>
        <v>0</v>
      </c>
      <c r="F9" s="415">
        <f t="shared" si="26"/>
        <v>0</v>
      </c>
      <c r="G9" s="415">
        <f t="shared" si="26"/>
        <v>0</v>
      </c>
      <c r="H9" s="415">
        <f t="shared" si="26"/>
        <v>0</v>
      </c>
      <c r="I9" s="415">
        <f t="shared" si="26"/>
        <v>0</v>
      </c>
      <c r="J9" s="415" t="e">
        <f t="shared" si="26"/>
        <v>#DIV/0!</v>
      </c>
      <c r="K9" s="415">
        <f t="shared" si="26"/>
        <v>0</v>
      </c>
      <c r="L9" s="415">
        <f t="shared" si="26"/>
        <v>0</v>
      </c>
      <c r="M9" s="415">
        <f t="shared" si="26"/>
        <v>0</v>
      </c>
      <c r="N9" s="415">
        <f t="shared" si="26"/>
        <v>0</v>
      </c>
      <c r="O9" s="415">
        <f t="shared" si="26"/>
        <v>0</v>
      </c>
      <c r="P9" s="415">
        <f t="shared" si="26"/>
        <v>0</v>
      </c>
      <c r="Q9" s="415" t="e">
        <f t="shared" si="26"/>
        <v>#VALUE!</v>
      </c>
      <c r="R9" s="415" t="e">
        <f t="shared" si="26"/>
        <v>#VALUE!</v>
      </c>
      <c r="S9" s="415" t="e">
        <f t="shared" si="26"/>
        <v>#VALUE!</v>
      </c>
      <c r="T9" s="415" t="e">
        <f t="shared" si="26"/>
        <v>#VALUE!</v>
      </c>
      <c r="U9" s="415" t="e">
        <f t="shared" si="26"/>
        <v>#VALUE!</v>
      </c>
      <c r="V9" s="415" t="e">
        <f t="shared" si="26"/>
        <v>#VALUE!</v>
      </c>
      <c r="W9" s="415" t="e">
        <f t="shared" si="26"/>
        <v>#VALUE!</v>
      </c>
      <c r="X9" s="415" t="e">
        <f t="shared" si="26"/>
        <v>#VALUE!</v>
      </c>
      <c r="Y9" s="415" t="e">
        <f t="shared" si="26"/>
        <v>#VALUE!</v>
      </c>
      <c r="Z9" s="415" t="e">
        <f t="shared" si="26"/>
        <v>#VALUE!</v>
      </c>
      <c r="AA9" s="415" t="e">
        <f t="shared" si="26"/>
        <v>#VALUE!</v>
      </c>
      <c r="AB9" s="415">
        <f t="shared" ref="AB9" si="27">SUM(AB10:AB12)</f>
        <v>0</v>
      </c>
      <c r="AC9" s="415">
        <f>SUM(AC10:AC12)</f>
        <v>0</v>
      </c>
      <c r="AD9" s="465" t="e">
        <f>P9/AC9</f>
        <v>#DIV/0!</v>
      </c>
    </row>
    <row r="10" spans="1:30" ht="21" x14ac:dyDescent="0.5">
      <c r="A10" s="328"/>
      <c r="B10" s="339"/>
      <c r="C10" s="324">
        <f>SUMIF('Pipe Audit'!$AK$2:$AK$82,A10,'Pipe Audit'!$L$2:$L$82)</f>
        <v>0</v>
      </c>
      <c r="D10" s="324">
        <f>SUMIF('Pipe Audit'!$AK$2:$AK$82,A10,'Pipe Audit'!$P$2:$P$82)</f>
        <v>0</v>
      </c>
      <c r="E10" s="325">
        <f>SUMIF('Pipe Audit'!$AK$3:$AK$82,A10,'Pipe Audit'!$K$3:$K$82)</f>
        <v>0</v>
      </c>
      <c r="F10" s="324">
        <f>SUMIF('Pipe Audit'!$AK$3:$AK$82,A10,'Pipe Audit'!$O$3:$O$82)</f>
        <v>0</v>
      </c>
      <c r="G10" s="324">
        <f t="shared" ref="G10" si="28">E10-F10</f>
        <v>0</v>
      </c>
      <c r="H10" s="324">
        <f>SUMIF('Pipe Audit'!$AK$3:$AK$82,A10,'Pipe Audit'!$AJ$3:$AJ$82)</f>
        <v>0</v>
      </c>
      <c r="I10" s="324">
        <f>SUMIFS('Pipe Audit'!$AJ$3:$AJ$82,'Pipe Audit'!$AK$3:$AK$82,A10,'Pipe Audit'!$Q$3:$Q$82,"&gt;.25")</f>
        <v>0</v>
      </c>
      <c r="J10" s="326" t="e">
        <f t="shared" ref="J10" si="29">I10/H10</f>
        <v>#DIV/0!</v>
      </c>
      <c r="K10" s="324">
        <f>SUMIFS('Pipe Audit'!$AJ$3:$AJ$82,'Pipe Audit'!$AK$3:$AK$82,A10,'Pipe Audit'!$U$3:$U$82,"&gt;.25")</f>
        <v>0</v>
      </c>
      <c r="L10" s="324">
        <f t="shared" ref="L10" si="30">H10-I10</f>
        <v>0</v>
      </c>
      <c r="M10" s="324">
        <f t="shared" ref="M10" si="31">SUM(H10-K10)</f>
        <v>0</v>
      </c>
      <c r="N10" s="324">
        <f>SUMIF('Pipe Audit'!$AK$3:$AK$82,A10,'Pipe Audit'!$BD$3:$BD$82)</f>
        <v>0</v>
      </c>
      <c r="O10" s="324">
        <f>SUMIF('Pipe Audit'!$AK$3:$AK$82,A10,'Pipe Audit'!$BE$3:$BE$82)</f>
        <v>0</v>
      </c>
      <c r="P10" s="324">
        <f t="shared" ref="P10" si="32">SUM(N10-O10)</f>
        <v>0</v>
      </c>
      <c r="Q10" s="324" t="e">
        <f>COUNTIF('[2]ISO Sign-Off 1026'!$L:$L,A10)</f>
        <v>#VALUE!</v>
      </c>
      <c r="R10" s="324" t="e">
        <f>COUNTIFS('[2]ISO Sign-Off 1026'!$L:$L,$A10,'[2]ISO Sign-Off 1026'!$N:$N,"f")</f>
        <v>#VALUE!</v>
      </c>
      <c r="S10" s="324" t="e">
        <f>COUNTIFS('[2]ISO Sign-Off 1026'!$L:$L,$A10,'[2]ISO Sign-Off 1026'!$N:$N,"q")</f>
        <v>#VALUE!</v>
      </c>
      <c r="T10" s="324" t="e">
        <f>COUNTIFS('[2]ISO Sign-Off 1026'!$L:$L,$A10,'[2]ISO Sign-Off 1026'!$N:$N,"rf")</f>
        <v>#VALUE!</v>
      </c>
      <c r="U10" s="324" t="e">
        <f>COUNTIFS('[2]ISO Sign-Off 1026'!$L:$L,$A10,'[2]ISO Sign-Off 1026'!$N:$N,"o")</f>
        <v>#VALUE!</v>
      </c>
      <c r="V10" s="324" t="e">
        <f>COUNTIFS('[2]ISO Sign-Off 1026'!$L:$L,$A10,'[2]ISO Sign-Off 1026'!$N:$N,"c")</f>
        <v>#VALUE!</v>
      </c>
      <c r="W10" s="324" t="e">
        <f t="shared" ref="W10" si="33">SUM(Q10-V10)</f>
        <v>#VALUE!</v>
      </c>
      <c r="X10" s="327" t="e">
        <f>SUMIFS('[3]DAY BOARD COUNT OSBL - AL'!$J$5:$J$33,'[3]DAY BOARD COUNT OSBL - AL'!$B$5:$B$33,A10)</f>
        <v>#VALUE!</v>
      </c>
      <c r="Y10" s="327" t="e">
        <f>SUMIFS('[3]DAY BOARD COUNT OSBL - AL'!$K$5:$K$33,'[3]DAY BOARD COUNT OSBL - AL'!$B$5:$B$33,A10)</f>
        <v>#VALUE!</v>
      </c>
      <c r="Z10" s="327" t="e">
        <f>SUMIFS('[3]DAY BOARD COUNT OSBL - AL'!$L$5:$L$33,'[3]DAY BOARD COUNT OSBL - AL'!$B$5:$B$33,A10)</f>
        <v>#VALUE!</v>
      </c>
      <c r="AA10" s="327" t="e">
        <f>SUMIFS('[3]DAY BOARD COUNT OSBL - AL'!$M$5:$M$33,'[3]DAY BOARD COUNT OSBL - AL'!$B$5:$B$33,A10)</f>
        <v>#VALUE!</v>
      </c>
      <c r="AB10" s="459"/>
      <c r="AC10" s="463">
        <f>SUMIF('Pipe Audit'!AK:AK,A10,'Pipe Audit'!BP:BP)</f>
        <v>0</v>
      </c>
      <c r="AD10" s="462" t="e">
        <f t="shared" si="19"/>
        <v>#DIV/0!</v>
      </c>
    </row>
    <row r="11" spans="1:30" ht="21" x14ac:dyDescent="0.5">
      <c r="A11" s="306"/>
      <c r="B11" s="339"/>
      <c r="C11" s="324">
        <f>SUMIF('Pipe Audit'!$AK$2:$AK$82,A11,'Pipe Audit'!$L$2:$L$82)</f>
        <v>0</v>
      </c>
      <c r="D11" s="324">
        <f>SUMIF('Pipe Audit'!$AK$2:$AK$82,A11,'Pipe Audit'!$P$2:$P$82)</f>
        <v>0</v>
      </c>
      <c r="E11" s="325">
        <f>SUMIF('Pipe Audit'!$AK$3:$AK$82,A11,'Pipe Audit'!$K$3:$K$82)</f>
        <v>0</v>
      </c>
      <c r="F11" s="324">
        <f>SUMIF('Pipe Audit'!$AK$3:$AK$82,A11,'Pipe Audit'!$O$3:$O$82)</f>
        <v>0</v>
      </c>
      <c r="G11" s="324">
        <f t="shared" ref="G11" si="34">E11-F11</f>
        <v>0</v>
      </c>
      <c r="H11" s="324">
        <f>SUMIF('Pipe Audit'!$AK$3:$AK$82,A11,'Pipe Audit'!$AJ$3:$AJ$82)</f>
        <v>0</v>
      </c>
      <c r="I11" s="324">
        <f>SUMIFS('Pipe Audit'!$AJ$3:$AJ$82,'Pipe Audit'!$AK$3:$AK$82,A11,'Pipe Audit'!$Q$3:$Q$82,"&gt;.25")</f>
        <v>0</v>
      </c>
      <c r="J11" s="326" t="e">
        <f t="shared" ref="J11" si="35">I11/H11</f>
        <v>#DIV/0!</v>
      </c>
      <c r="K11" s="324">
        <f>SUMIFS('Pipe Audit'!$AJ$3:$AJ$82,'Pipe Audit'!$AK$3:$AK$82,A11,'Pipe Audit'!$U$3:$U$82,"&gt;.25")</f>
        <v>0</v>
      </c>
      <c r="L11" s="324">
        <f t="shared" ref="L11" si="36">H11-I11</f>
        <v>0</v>
      </c>
      <c r="M11" s="324">
        <f t="shared" ref="M11" si="37">SUM(H11-K11)</f>
        <v>0</v>
      </c>
      <c r="N11" s="324">
        <f>SUMIF('Pipe Audit'!$AK$3:$AK$82,A11,'Pipe Audit'!$BD$3:$BD$82)</f>
        <v>0</v>
      </c>
      <c r="O11" s="324">
        <f>SUMIF('Pipe Audit'!$AK$3:$AK$82,A11,'Pipe Audit'!$BE$3:$BE$82)</f>
        <v>0</v>
      </c>
      <c r="P11" s="324">
        <f t="shared" ref="P11" si="38">SUM(N11-O11)</f>
        <v>0</v>
      </c>
      <c r="Q11" s="324" t="e">
        <f>COUNTIF('[2]ISO Sign-Off 1026'!$L:$L,A11)</f>
        <v>#VALUE!</v>
      </c>
      <c r="R11" s="324" t="e">
        <f>COUNTIFS('[2]ISO Sign-Off 1026'!$L:$L,$A11,'[2]ISO Sign-Off 1026'!$N:$N,"f")</f>
        <v>#VALUE!</v>
      </c>
      <c r="S11" s="324" t="e">
        <f>COUNTIFS('[2]ISO Sign-Off 1026'!$L:$L,$A11,'[2]ISO Sign-Off 1026'!$N:$N,"q")</f>
        <v>#VALUE!</v>
      </c>
      <c r="T11" s="324" t="e">
        <f>COUNTIFS('[2]ISO Sign-Off 1026'!$L:$L,$A11,'[2]ISO Sign-Off 1026'!$N:$N,"rf")</f>
        <v>#VALUE!</v>
      </c>
      <c r="U11" s="324" t="e">
        <f>COUNTIFS('[2]ISO Sign-Off 1026'!$L:$L,$A11,'[2]ISO Sign-Off 1026'!$N:$N,"o")</f>
        <v>#VALUE!</v>
      </c>
      <c r="V11" s="324" t="e">
        <f>COUNTIFS('[2]ISO Sign-Off 1026'!$L:$L,$A11,'[2]ISO Sign-Off 1026'!$N:$N,"c")</f>
        <v>#VALUE!</v>
      </c>
      <c r="W11" s="324" t="e">
        <f t="shared" ref="W11" si="39">SUM(Q11-V11)</f>
        <v>#VALUE!</v>
      </c>
      <c r="X11" s="327" t="e">
        <f>SUMIFS('[3]DAY BOARD COUNT OSBL - AL'!$J$5:$J$33,'[3]DAY BOARD COUNT OSBL - AL'!$B$5:$B$33,A11)</f>
        <v>#VALUE!</v>
      </c>
      <c r="Y11" s="327" t="e">
        <f>SUMIFS('[3]DAY BOARD COUNT OSBL - AL'!$K$5:$K$33,'[3]DAY BOARD COUNT OSBL - AL'!$B$5:$B$33,A11)</f>
        <v>#VALUE!</v>
      </c>
      <c r="Z11" s="327" t="e">
        <f>SUMIFS('[3]DAY BOARD COUNT OSBL - AL'!$L$5:$L$33,'[3]DAY BOARD COUNT OSBL - AL'!$B$5:$B$33,A11)</f>
        <v>#VALUE!</v>
      </c>
      <c r="AA11" s="327" t="e">
        <f>SUMIFS('[3]DAY BOARD COUNT OSBL - AL'!$M$5:$M$33,'[3]DAY BOARD COUNT OSBL - AL'!$B$5:$B$33,A11)</f>
        <v>#VALUE!</v>
      </c>
      <c r="AB11" s="459"/>
      <c r="AC11" s="463">
        <f>SUMIF('Pipe Audit'!AK:AK,A11,'Pipe Audit'!BP:BP)</f>
        <v>0</v>
      </c>
      <c r="AD11" s="462" t="e">
        <f t="shared" si="19"/>
        <v>#DIV/0!</v>
      </c>
    </row>
    <row r="12" spans="1:30" ht="21" x14ac:dyDescent="0.5">
      <c r="A12" s="306"/>
      <c r="B12" s="339"/>
      <c r="C12" s="324">
        <f>SUMIF('Pipe Audit'!$AK$2:$AK$82,A12,'Pipe Audit'!$L$2:$L$82)</f>
        <v>0</v>
      </c>
      <c r="D12" s="324">
        <f>SUMIF('Pipe Audit'!$AK$2:$AK$82,A12,'Pipe Audit'!$P$2:$P$82)</f>
        <v>0</v>
      </c>
      <c r="E12" s="325">
        <f>SUMIF('Pipe Audit'!$AK$3:$AK$82,A12,'Pipe Audit'!$K$3:$K$82)</f>
        <v>0</v>
      </c>
      <c r="F12" s="324">
        <f>SUMIF('Pipe Audit'!$AK$3:$AK$82,A12,'Pipe Audit'!$O$3:$O$82)</f>
        <v>0</v>
      </c>
      <c r="G12" s="324">
        <f t="shared" ref="G12" si="40">E12-F12</f>
        <v>0</v>
      </c>
      <c r="H12" s="324">
        <f>SUMIF('Pipe Audit'!$AK$3:$AK$82,A12,'Pipe Audit'!$AJ$3:$AJ$82)</f>
        <v>0</v>
      </c>
      <c r="I12" s="324">
        <f>SUMIFS('Pipe Audit'!$AJ$3:$AJ$82,'Pipe Audit'!$AK$3:$AK$82,A12,'Pipe Audit'!$Q$3:$Q$82,"&gt;.25")</f>
        <v>0</v>
      </c>
      <c r="J12" s="326" t="e">
        <f t="shared" ref="J12" si="41">I12/H12</f>
        <v>#DIV/0!</v>
      </c>
      <c r="K12" s="324">
        <f>SUMIFS('Pipe Audit'!$AJ$3:$AJ$82,'Pipe Audit'!$AK$3:$AK$82,A12,'Pipe Audit'!$U$3:$U$82,"&gt;.25")</f>
        <v>0</v>
      </c>
      <c r="L12" s="324">
        <f t="shared" ref="L12" si="42">H12-I12</f>
        <v>0</v>
      </c>
      <c r="M12" s="324">
        <f t="shared" ref="M12" si="43">SUM(H12-K12)</f>
        <v>0</v>
      </c>
      <c r="N12" s="324">
        <f>SUMIF('Pipe Audit'!$AK$3:$AK$82,A12,'Pipe Audit'!$BD$3:$BD$82)</f>
        <v>0</v>
      </c>
      <c r="O12" s="324">
        <f>SUMIF('Pipe Audit'!$AK$3:$AK$82,A12,'Pipe Audit'!$BE$3:$BE$82)</f>
        <v>0</v>
      </c>
      <c r="P12" s="324">
        <f t="shared" ref="P12" si="44">SUM(N12-O12)</f>
        <v>0</v>
      </c>
      <c r="Q12" s="324" t="e">
        <f>COUNTIF('[2]ISO Sign-Off 1026'!$L:$L,A12)</f>
        <v>#VALUE!</v>
      </c>
      <c r="R12" s="324" t="e">
        <f>COUNTIFS('[2]ISO Sign-Off 1026'!$L:$L,$A12,'[2]ISO Sign-Off 1026'!$N:$N,"f")</f>
        <v>#VALUE!</v>
      </c>
      <c r="S12" s="324" t="e">
        <f>COUNTIFS('[2]ISO Sign-Off 1026'!$L:$L,$A12,'[2]ISO Sign-Off 1026'!$N:$N,"q")</f>
        <v>#VALUE!</v>
      </c>
      <c r="T12" s="324" t="e">
        <f>COUNTIFS('[2]ISO Sign-Off 1026'!$L:$L,$A12,'[2]ISO Sign-Off 1026'!$N:$N,"rf")</f>
        <v>#VALUE!</v>
      </c>
      <c r="U12" s="324" t="e">
        <f>COUNTIFS('[2]ISO Sign-Off 1026'!$L:$L,$A12,'[2]ISO Sign-Off 1026'!$N:$N,"o")</f>
        <v>#VALUE!</v>
      </c>
      <c r="V12" s="324" t="e">
        <f>COUNTIFS('[2]ISO Sign-Off 1026'!$L:$L,$A12,'[2]ISO Sign-Off 1026'!$N:$N,"c")</f>
        <v>#VALUE!</v>
      </c>
      <c r="W12" s="324" t="e">
        <f t="shared" ref="W12" si="45">SUM(Q12-V12)</f>
        <v>#VALUE!</v>
      </c>
      <c r="X12" s="327" t="e">
        <f>SUMIFS('[3]DAY BOARD COUNT OSBL - AL'!$J$5:$J$33,'[3]DAY BOARD COUNT OSBL - AL'!$B$5:$B$33,A12)</f>
        <v>#VALUE!</v>
      </c>
      <c r="Y12" s="327" t="e">
        <f>SUMIFS('[3]DAY BOARD COUNT OSBL - AL'!$K$5:$K$33,'[3]DAY BOARD COUNT OSBL - AL'!$B$5:$B$33,A12)</f>
        <v>#VALUE!</v>
      </c>
      <c r="Z12" s="327" t="e">
        <f>SUMIFS('[3]DAY BOARD COUNT OSBL - AL'!$L$5:$L$33,'[3]DAY BOARD COUNT OSBL - AL'!$B$5:$B$33,A12)</f>
        <v>#VALUE!</v>
      </c>
      <c r="AA12" s="327" t="e">
        <f>SUMIFS('[3]DAY BOARD COUNT OSBL - AL'!$M$5:$M$33,'[3]DAY BOARD COUNT OSBL - AL'!$B$5:$B$33,A12)</f>
        <v>#VALUE!</v>
      </c>
      <c r="AB12" s="459"/>
      <c r="AC12" s="463">
        <f>SUMIF('Pipe Audit'!AK:AK,A12,'Pipe Audit'!BP:BP)</f>
        <v>0</v>
      </c>
      <c r="AD12" s="462" t="e">
        <f t="shared" si="19"/>
        <v>#DIV/0!</v>
      </c>
    </row>
    <row r="13" spans="1:30" ht="21" x14ac:dyDescent="0.5">
      <c r="A13" s="306"/>
      <c r="B13" s="339"/>
      <c r="C13" s="324">
        <f>SUMIF('Pipe Audit'!$AK$2:$AK$82,A13,'Pipe Audit'!$L$2:$L$82)</f>
        <v>0</v>
      </c>
      <c r="D13" s="324">
        <f>SUMIF('Pipe Audit'!$AK$2:$AK$82,A13,'Pipe Audit'!$P$2:$P$82)</f>
        <v>0</v>
      </c>
      <c r="E13" s="325">
        <f>SUMIF('Pipe Audit'!$AK$3:$AK$82,A13,'Pipe Audit'!$K$3:$K$82)</f>
        <v>0</v>
      </c>
      <c r="F13" s="324">
        <f>SUMIF('Pipe Audit'!$AK$3:$AK$82,A13,'Pipe Audit'!$O$3:$O$82)</f>
        <v>0</v>
      </c>
      <c r="G13" s="324">
        <f t="shared" ref="G13" si="46">E13-F13</f>
        <v>0</v>
      </c>
      <c r="H13" s="324">
        <f>SUMIF('Pipe Audit'!$AK$3:$AK$82,A13,'Pipe Audit'!$AJ$3:$AJ$82)</f>
        <v>0</v>
      </c>
      <c r="I13" s="324">
        <f>SUMIFS('Pipe Audit'!$AJ$3:$AJ$82,'Pipe Audit'!$AK$3:$AK$82,A13,'Pipe Audit'!$Q$3:$Q$82,"&gt;.25")</f>
        <v>0</v>
      </c>
      <c r="J13" s="326" t="e">
        <f t="shared" ref="J13" si="47">I13/H13</f>
        <v>#DIV/0!</v>
      </c>
      <c r="K13" s="324">
        <f>SUMIFS('Pipe Audit'!$AJ$3:$AJ$82,'Pipe Audit'!$AK$3:$AK$82,A13,'Pipe Audit'!$U$3:$U$82,"&gt;.25")</f>
        <v>0</v>
      </c>
      <c r="L13" s="324">
        <f t="shared" ref="L13" si="48">H13-I13</f>
        <v>0</v>
      </c>
      <c r="M13" s="324">
        <f t="shared" ref="M13" si="49">SUM(H13-K13)</f>
        <v>0</v>
      </c>
      <c r="N13" s="324">
        <f>SUMIF('Pipe Audit'!$AK$3:$AK$82,A13,'Pipe Audit'!$BD$3:$BD$82)</f>
        <v>0</v>
      </c>
      <c r="O13" s="324">
        <f>SUMIF('Pipe Audit'!$AK$3:$AK$82,A13,'Pipe Audit'!$BE$3:$BE$82)</f>
        <v>0</v>
      </c>
      <c r="P13" s="324">
        <f t="shared" ref="P13" si="50">SUM(N13-O13)</f>
        <v>0</v>
      </c>
      <c r="Q13" s="324" t="e">
        <f>COUNTIF('[2]ISO Sign-Off 1026'!$L:$L,A13)</f>
        <v>#VALUE!</v>
      </c>
      <c r="R13" s="324" t="e">
        <f>COUNTIFS('[2]ISO Sign-Off 1026'!$L:$L,$A13,'[2]ISO Sign-Off 1026'!$N:$N,"f")</f>
        <v>#VALUE!</v>
      </c>
      <c r="S13" s="324" t="e">
        <f>COUNTIFS('[2]ISO Sign-Off 1026'!$L:$L,$A13,'[2]ISO Sign-Off 1026'!$N:$N,"q")</f>
        <v>#VALUE!</v>
      </c>
      <c r="T13" s="324" t="e">
        <f>COUNTIFS('[2]ISO Sign-Off 1026'!$L:$L,$A13,'[2]ISO Sign-Off 1026'!$N:$N,"rf")</f>
        <v>#VALUE!</v>
      </c>
      <c r="U13" s="324" t="e">
        <f>COUNTIFS('[2]ISO Sign-Off 1026'!$L:$L,$A13,'[2]ISO Sign-Off 1026'!$N:$N,"o")</f>
        <v>#VALUE!</v>
      </c>
      <c r="V13" s="324" t="e">
        <f>COUNTIFS('[2]ISO Sign-Off 1026'!$L:$L,$A13,'[2]ISO Sign-Off 1026'!$N:$N,"c")</f>
        <v>#VALUE!</v>
      </c>
      <c r="W13" s="324" t="e">
        <f t="shared" ref="W13" si="51">SUM(Q13-V13)</f>
        <v>#VALUE!</v>
      </c>
      <c r="X13" s="327" t="e">
        <f>SUMIFS('[3]DAY BOARD COUNT OSBL - AL'!$J$5:$J$33,'[3]DAY BOARD COUNT OSBL - AL'!$B$5:$B$33,A13)</f>
        <v>#VALUE!</v>
      </c>
      <c r="Y13" s="327" t="e">
        <f>SUMIFS('[3]DAY BOARD COUNT OSBL - AL'!$K$5:$K$33,'[3]DAY BOARD COUNT OSBL - AL'!$B$5:$B$33,A13)</f>
        <v>#VALUE!</v>
      </c>
      <c r="Z13" s="327" t="e">
        <f>SUMIFS('[3]DAY BOARD COUNT OSBL - AL'!$L$5:$L$33,'[3]DAY BOARD COUNT OSBL - AL'!$B$5:$B$33,A13)</f>
        <v>#VALUE!</v>
      </c>
      <c r="AA13" s="327" t="e">
        <f>SUMIFS('[3]DAY BOARD COUNT OSBL - AL'!$M$5:$M$33,'[3]DAY BOARD COUNT OSBL - AL'!$B$5:$B$33,A13)</f>
        <v>#VALUE!</v>
      </c>
      <c r="AB13" s="459"/>
      <c r="AC13" s="463">
        <f>SUMIF('Pipe Audit'!AK:AK,A13,'Pipe Audit'!BP:BP)</f>
        <v>0</v>
      </c>
      <c r="AD13" s="462" t="e">
        <f t="shared" ref="AD13" si="52">P13/AC13</f>
        <v>#DIV/0!</v>
      </c>
    </row>
    <row r="14" spans="1:30" ht="21" x14ac:dyDescent="0.5">
      <c r="A14" s="453"/>
      <c r="B14" s="414"/>
      <c r="C14" s="415">
        <f t="shared" ref="C14:AA14" si="53">SUM(C15:C16)</f>
        <v>0</v>
      </c>
      <c r="D14" s="415">
        <f t="shared" si="53"/>
        <v>0</v>
      </c>
      <c r="E14" s="415">
        <f t="shared" si="53"/>
        <v>0</v>
      </c>
      <c r="F14" s="415">
        <f t="shared" si="53"/>
        <v>0</v>
      </c>
      <c r="G14" s="415">
        <f t="shared" si="53"/>
        <v>0</v>
      </c>
      <c r="H14" s="415">
        <f t="shared" si="53"/>
        <v>0</v>
      </c>
      <c r="I14" s="415">
        <f t="shared" si="53"/>
        <v>0</v>
      </c>
      <c r="J14" s="415" t="e">
        <f t="shared" si="53"/>
        <v>#DIV/0!</v>
      </c>
      <c r="K14" s="415">
        <f t="shared" si="53"/>
        <v>0</v>
      </c>
      <c r="L14" s="415">
        <f t="shared" si="53"/>
        <v>0</v>
      </c>
      <c r="M14" s="415">
        <f t="shared" si="53"/>
        <v>0</v>
      </c>
      <c r="N14" s="415">
        <f t="shared" si="53"/>
        <v>0</v>
      </c>
      <c r="O14" s="415">
        <f t="shared" si="53"/>
        <v>0</v>
      </c>
      <c r="P14" s="415">
        <f t="shared" si="53"/>
        <v>0</v>
      </c>
      <c r="Q14" s="415" t="e">
        <f t="shared" si="53"/>
        <v>#VALUE!</v>
      </c>
      <c r="R14" s="415" t="e">
        <f t="shared" si="53"/>
        <v>#VALUE!</v>
      </c>
      <c r="S14" s="415" t="e">
        <f t="shared" si="53"/>
        <v>#VALUE!</v>
      </c>
      <c r="T14" s="415" t="e">
        <f t="shared" si="53"/>
        <v>#VALUE!</v>
      </c>
      <c r="U14" s="415" t="e">
        <f t="shared" si="53"/>
        <v>#VALUE!</v>
      </c>
      <c r="V14" s="415" t="e">
        <f t="shared" si="53"/>
        <v>#VALUE!</v>
      </c>
      <c r="W14" s="415" t="e">
        <f t="shared" si="53"/>
        <v>#VALUE!</v>
      </c>
      <c r="X14" s="415" t="e">
        <f t="shared" si="53"/>
        <v>#VALUE!</v>
      </c>
      <c r="Y14" s="415" t="e">
        <f t="shared" si="53"/>
        <v>#VALUE!</v>
      </c>
      <c r="Z14" s="415" t="e">
        <f t="shared" si="53"/>
        <v>#VALUE!</v>
      </c>
      <c r="AA14" s="415" t="e">
        <f t="shared" si="53"/>
        <v>#VALUE!</v>
      </c>
      <c r="AB14" s="415">
        <f>SUM(AB15:AB15)</f>
        <v>0</v>
      </c>
      <c r="AC14" s="415">
        <f>SUM(AC15:AC16)</f>
        <v>0</v>
      </c>
      <c r="AD14" s="465" t="e">
        <f>P14/AC14</f>
        <v>#DIV/0!</v>
      </c>
    </row>
    <row r="15" spans="1:30" ht="21" x14ac:dyDescent="0.5">
      <c r="A15" s="328"/>
      <c r="B15" s="339"/>
      <c r="C15" s="324">
        <f>SUMIF('Pipe Audit'!$AK$2:$AK$82,A15,'Pipe Audit'!$L$2:$L$82)</f>
        <v>0</v>
      </c>
      <c r="D15" s="324">
        <f>SUMIF('Pipe Audit'!$AK$2:$AK$82,A15,'Pipe Audit'!$P$2:$P$82)</f>
        <v>0</v>
      </c>
      <c r="E15" s="325">
        <f>SUMIF('Pipe Audit'!$AK$3:$AK$82,A15,'Pipe Audit'!$K$3:$K$82)</f>
        <v>0</v>
      </c>
      <c r="F15" s="324">
        <f>SUMIF('Pipe Audit'!$AK$3:$AK$82,A15,'Pipe Audit'!$O$3:$O$82)</f>
        <v>0</v>
      </c>
      <c r="G15" s="324">
        <f>E15-F15</f>
        <v>0</v>
      </c>
      <c r="H15" s="324">
        <f>SUMIF('Pipe Audit'!$AK$3:$AK$82,A15,'Pipe Audit'!$AJ$3:$AJ$82)</f>
        <v>0</v>
      </c>
      <c r="I15" s="324">
        <f>SUMIFS('Pipe Audit'!$AJ$3:$AJ$82,'Pipe Audit'!$AK$3:$AK$82,A15,'Pipe Audit'!$Q$3:$Q$82,"&gt;.25")</f>
        <v>0</v>
      </c>
      <c r="J15" s="326" t="e">
        <f>I15/H15</f>
        <v>#DIV/0!</v>
      </c>
      <c r="K15" s="324">
        <f>SUMIFS('Pipe Audit'!$AJ$3:$AJ$82,'Pipe Audit'!$AK$3:$AK$82,A15,'Pipe Audit'!$U$3:$U$82,"&gt;.25")</f>
        <v>0</v>
      </c>
      <c r="L15" s="324">
        <f>H15-I15</f>
        <v>0</v>
      </c>
      <c r="M15" s="324">
        <f>SUM(H15-K15)</f>
        <v>0</v>
      </c>
      <c r="N15" s="324">
        <f>SUMIF('Pipe Audit'!$AK$3:$AK$82,A15,'Pipe Audit'!$BD$3:$BD$82)</f>
        <v>0</v>
      </c>
      <c r="O15" s="324">
        <f>SUMIF('Pipe Audit'!$AK$3:$AK$82,A15,'Pipe Audit'!$BE$3:$BE$82)</f>
        <v>0</v>
      </c>
      <c r="P15" s="324">
        <f>SUM(N15-O15)</f>
        <v>0</v>
      </c>
      <c r="Q15" s="324" t="e">
        <f>COUNTIF('[2]ISO Sign-Off 1026'!$L:$L,A15)</f>
        <v>#VALUE!</v>
      </c>
      <c r="R15" s="324" t="e">
        <f>COUNTIFS('[2]ISO Sign-Off 1026'!$L:$L,$A15,'[2]ISO Sign-Off 1026'!$N:$N,"f")</f>
        <v>#VALUE!</v>
      </c>
      <c r="S15" s="324" t="e">
        <f>COUNTIFS('[2]ISO Sign-Off 1026'!$L:$L,$A15,'[2]ISO Sign-Off 1026'!$N:$N,"q")</f>
        <v>#VALUE!</v>
      </c>
      <c r="T15" s="324" t="e">
        <f>COUNTIFS('[2]ISO Sign-Off 1026'!$L:$L,$A15,'[2]ISO Sign-Off 1026'!$N:$N,"rf")</f>
        <v>#VALUE!</v>
      </c>
      <c r="U15" s="324" t="e">
        <f>COUNTIFS('[2]ISO Sign-Off 1026'!$L:$L,$A15,'[2]ISO Sign-Off 1026'!$N:$N,"o")</f>
        <v>#VALUE!</v>
      </c>
      <c r="V15" s="324" t="e">
        <f>COUNTIFS('[2]ISO Sign-Off 1026'!$L:$L,$A15,'[2]ISO Sign-Off 1026'!$N:$N,"c")</f>
        <v>#VALUE!</v>
      </c>
      <c r="W15" s="324" t="e">
        <f>SUM(Q15-V15)</f>
        <v>#VALUE!</v>
      </c>
      <c r="X15" s="327" t="e">
        <f>SUMIFS('[3]DAY BOARD COUNT OSBL - AL'!$J$5:$J$33,'[3]DAY BOARD COUNT OSBL - AL'!$B$5:$B$33,A15)</f>
        <v>#VALUE!</v>
      </c>
      <c r="Y15" s="327" t="e">
        <f>SUMIFS('[3]DAY BOARD COUNT OSBL - AL'!$K$5:$K$33,'[3]DAY BOARD COUNT OSBL - AL'!$B$5:$B$33,A15)</f>
        <v>#VALUE!</v>
      </c>
      <c r="Z15" s="327" t="e">
        <f>SUMIFS('[3]DAY BOARD COUNT OSBL - AL'!$L$5:$L$33,'[3]DAY BOARD COUNT OSBL - AL'!$B$5:$B$33,A15)</f>
        <v>#VALUE!</v>
      </c>
      <c r="AA15" s="327" t="e">
        <f>SUMIFS('[3]DAY BOARD COUNT OSBL - AL'!$M$5:$M$33,'[3]DAY BOARD COUNT OSBL - AL'!$B$5:$B$33,A15)</f>
        <v>#VALUE!</v>
      </c>
      <c r="AB15" s="459"/>
      <c r="AC15" s="463">
        <f>SUMIF('Pipe Audit'!AK:AK,A15,'Pipe Audit'!BP:BP)</f>
        <v>0</v>
      </c>
      <c r="AD15" s="462" t="e">
        <f t="shared" si="19"/>
        <v>#DIV/0!</v>
      </c>
    </row>
    <row r="16" spans="1:30" ht="21" x14ac:dyDescent="0.5">
      <c r="A16" s="328"/>
      <c r="B16" s="339"/>
      <c r="C16" s="324">
        <f>SUMIF('Pipe Audit'!$AK$2:$AK$82,A16,'Pipe Audit'!$L$2:$L$82)</f>
        <v>0</v>
      </c>
      <c r="D16" s="324">
        <f>SUMIF('Pipe Audit'!$AK$2:$AK$82,A16,'Pipe Audit'!$P$2:$P$82)</f>
        <v>0</v>
      </c>
      <c r="E16" s="325">
        <f>SUMIF('Pipe Audit'!$AK$3:$AK$82,A16,'Pipe Audit'!$K$3:$K$82)</f>
        <v>0</v>
      </c>
      <c r="F16" s="324">
        <f>SUMIF('Pipe Audit'!$AK$3:$AK$82,A16,'Pipe Audit'!$O$3:$O$82)</f>
        <v>0</v>
      </c>
      <c r="G16" s="324">
        <f>E16-F16</f>
        <v>0</v>
      </c>
      <c r="H16" s="324">
        <f>SUMIF('Pipe Audit'!$AK$3:$AK$82,A16,'Pipe Audit'!$AJ$3:$AJ$82)</f>
        <v>0</v>
      </c>
      <c r="I16" s="324">
        <f>SUMIFS('Pipe Audit'!$AJ$3:$AJ$82,'Pipe Audit'!$AK$3:$AK$82,A16,'Pipe Audit'!$Q$3:$Q$82,"&gt;.25")</f>
        <v>0</v>
      </c>
      <c r="J16" s="326" t="e">
        <f>I16/H16</f>
        <v>#DIV/0!</v>
      </c>
      <c r="K16" s="324">
        <f>SUMIFS('Pipe Audit'!$AJ$3:$AJ$82,'Pipe Audit'!$AK$3:$AK$82,A16,'Pipe Audit'!$U$3:$U$82,"&gt;.25")</f>
        <v>0</v>
      </c>
      <c r="L16" s="324">
        <f>H16-I16</f>
        <v>0</v>
      </c>
      <c r="M16" s="324">
        <f>SUM(H16-K16)</f>
        <v>0</v>
      </c>
      <c r="N16" s="324">
        <f>SUMIF('Pipe Audit'!$AK$3:$AK$82,A16,'Pipe Audit'!$BD$3:$BD$82)</f>
        <v>0</v>
      </c>
      <c r="O16" s="324">
        <f>SUMIF('Pipe Audit'!$AK$3:$AK$82,A16,'Pipe Audit'!$BE$3:$BE$82)</f>
        <v>0</v>
      </c>
      <c r="P16" s="324">
        <f>SUM(N16-O16)</f>
        <v>0</v>
      </c>
      <c r="Q16" s="324" t="e">
        <f>COUNTIF('[2]ISO Sign-Off 1026'!$L:$L,A16)</f>
        <v>#VALUE!</v>
      </c>
      <c r="R16" s="324" t="e">
        <f>COUNTIFS('[2]ISO Sign-Off 1026'!$L:$L,$A16,'[2]ISO Sign-Off 1026'!$N:$N,"f")</f>
        <v>#VALUE!</v>
      </c>
      <c r="S16" s="324" t="e">
        <f>COUNTIFS('[2]ISO Sign-Off 1026'!$L:$L,$A16,'[2]ISO Sign-Off 1026'!$N:$N,"q")</f>
        <v>#VALUE!</v>
      </c>
      <c r="T16" s="324" t="e">
        <f>COUNTIFS('[2]ISO Sign-Off 1026'!$L:$L,$A16,'[2]ISO Sign-Off 1026'!$N:$N,"rf")</f>
        <v>#VALUE!</v>
      </c>
      <c r="U16" s="324" t="e">
        <f>COUNTIFS('[2]ISO Sign-Off 1026'!$L:$L,$A16,'[2]ISO Sign-Off 1026'!$N:$N,"o")</f>
        <v>#VALUE!</v>
      </c>
      <c r="V16" s="324" t="e">
        <f>COUNTIFS('[2]ISO Sign-Off 1026'!$L:$L,$A16,'[2]ISO Sign-Off 1026'!$N:$N,"c")</f>
        <v>#VALUE!</v>
      </c>
      <c r="W16" s="324" t="e">
        <f>SUM(Q16-V16)</f>
        <v>#VALUE!</v>
      </c>
      <c r="X16" s="327" t="e">
        <f>SUMIFS('[3]DAY BOARD COUNT OSBL - AL'!$J$5:$J$33,'[3]DAY BOARD COUNT OSBL - AL'!$B$5:$B$33,A16)</f>
        <v>#VALUE!</v>
      </c>
      <c r="Y16" s="327" t="e">
        <f>SUMIFS('[3]DAY BOARD COUNT OSBL - AL'!$K$5:$K$33,'[3]DAY BOARD COUNT OSBL - AL'!$B$5:$B$33,A16)</f>
        <v>#VALUE!</v>
      </c>
      <c r="Z16" s="327" t="e">
        <f>SUMIFS('[3]DAY BOARD COUNT OSBL - AL'!$L$5:$L$33,'[3]DAY BOARD COUNT OSBL - AL'!$B$5:$B$33,A16)</f>
        <v>#VALUE!</v>
      </c>
      <c r="AA16" s="327" t="e">
        <f>SUMIFS('[3]DAY BOARD COUNT OSBL - AL'!$M$5:$M$33,'[3]DAY BOARD COUNT OSBL - AL'!$B$5:$B$33,A16)</f>
        <v>#VALUE!</v>
      </c>
      <c r="AB16" s="459"/>
      <c r="AC16" s="463">
        <f>SUMIF('Pipe Audit'!AK:AK,A16,'Pipe Audit'!BP:BP)</f>
        <v>0</v>
      </c>
      <c r="AD16" s="462" t="e">
        <f t="shared" ref="AD16" si="54">P16/AC16</f>
        <v>#DIV/0!</v>
      </c>
    </row>
    <row r="17" spans="1:30" ht="21.5" x14ac:dyDescent="0.5">
      <c r="A17" s="454"/>
      <c r="B17" s="340"/>
      <c r="C17" s="417">
        <f t="shared" ref="C17:P17" si="55">SUM(C18+C22+C26)</f>
        <v>0</v>
      </c>
      <c r="D17" s="417">
        <f t="shared" si="55"/>
        <v>0</v>
      </c>
      <c r="E17" s="417">
        <f t="shared" si="55"/>
        <v>0</v>
      </c>
      <c r="F17" s="417">
        <f t="shared" si="55"/>
        <v>0</v>
      </c>
      <c r="G17" s="417">
        <f t="shared" si="55"/>
        <v>0</v>
      </c>
      <c r="H17" s="417">
        <f t="shared" si="55"/>
        <v>0</v>
      </c>
      <c r="I17" s="417">
        <f t="shared" si="55"/>
        <v>0</v>
      </c>
      <c r="J17" s="417" t="e">
        <f t="shared" si="55"/>
        <v>#DIV/0!</v>
      </c>
      <c r="K17" s="417">
        <f t="shared" si="55"/>
        <v>0</v>
      </c>
      <c r="L17" s="417">
        <f t="shared" si="55"/>
        <v>0</v>
      </c>
      <c r="M17" s="417">
        <f t="shared" si="55"/>
        <v>0</v>
      </c>
      <c r="N17" s="417">
        <f t="shared" si="55"/>
        <v>0</v>
      </c>
      <c r="O17" s="417">
        <f t="shared" si="55"/>
        <v>0</v>
      </c>
      <c r="P17" s="417">
        <f t="shared" si="55"/>
        <v>0</v>
      </c>
      <c r="Q17" s="417" t="e">
        <f t="shared" ref="Q17:AB17" si="56">SUM(Q18+Q22+Q26)</f>
        <v>#VALUE!</v>
      </c>
      <c r="R17" s="417" t="e">
        <f t="shared" si="56"/>
        <v>#VALUE!</v>
      </c>
      <c r="S17" s="417" t="e">
        <f t="shared" si="56"/>
        <v>#VALUE!</v>
      </c>
      <c r="T17" s="417" t="e">
        <f t="shared" si="56"/>
        <v>#VALUE!</v>
      </c>
      <c r="U17" s="417" t="e">
        <f t="shared" si="56"/>
        <v>#VALUE!</v>
      </c>
      <c r="V17" s="417" t="e">
        <f t="shared" si="56"/>
        <v>#VALUE!</v>
      </c>
      <c r="W17" s="417" t="e">
        <f t="shared" si="56"/>
        <v>#VALUE!</v>
      </c>
      <c r="X17" s="417" t="e">
        <f t="shared" si="56"/>
        <v>#VALUE!</v>
      </c>
      <c r="Y17" s="417" t="e">
        <f t="shared" si="56"/>
        <v>#VALUE!</v>
      </c>
      <c r="Z17" s="417" t="e">
        <f t="shared" si="56"/>
        <v>#VALUE!</v>
      </c>
      <c r="AA17" s="417" t="e">
        <f t="shared" si="56"/>
        <v>#VALUE!</v>
      </c>
      <c r="AB17" s="417">
        <f t="shared" si="56"/>
        <v>0</v>
      </c>
      <c r="AC17" s="417">
        <f>SUM(AC18+AC22+AC26)</f>
        <v>0</v>
      </c>
      <c r="AD17" s="466" t="e">
        <f>P17/AC17</f>
        <v>#DIV/0!</v>
      </c>
    </row>
    <row r="18" spans="1:30" ht="21" x14ac:dyDescent="0.5">
      <c r="A18" s="413"/>
      <c r="B18" s="418"/>
      <c r="C18" s="415">
        <f>SUM(C19:C21)</f>
        <v>0</v>
      </c>
      <c r="D18" s="415">
        <f t="shared" ref="D18:AA18" si="57">SUM(D19:D21)</f>
        <v>0</v>
      </c>
      <c r="E18" s="415">
        <f t="shared" si="57"/>
        <v>0</v>
      </c>
      <c r="F18" s="415">
        <f t="shared" si="57"/>
        <v>0</v>
      </c>
      <c r="G18" s="415">
        <f t="shared" si="57"/>
        <v>0</v>
      </c>
      <c r="H18" s="415">
        <f t="shared" si="57"/>
        <v>0</v>
      </c>
      <c r="I18" s="415">
        <f t="shared" si="57"/>
        <v>0</v>
      </c>
      <c r="J18" s="415" t="e">
        <f t="shared" si="57"/>
        <v>#DIV/0!</v>
      </c>
      <c r="K18" s="415">
        <f t="shared" si="57"/>
        <v>0</v>
      </c>
      <c r="L18" s="415">
        <f t="shared" si="57"/>
        <v>0</v>
      </c>
      <c r="M18" s="415">
        <f t="shared" si="57"/>
        <v>0</v>
      </c>
      <c r="N18" s="415">
        <f t="shared" si="57"/>
        <v>0</v>
      </c>
      <c r="O18" s="415">
        <f t="shared" si="57"/>
        <v>0</v>
      </c>
      <c r="P18" s="415">
        <f t="shared" si="57"/>
        <v>0</v>
      </c>
      <c r="Q18" s="415" t="e">
        <f t="shared" si="57"/>
        <v>#VALUE!</v>
      </c>
      <c r="R18" s="415" t="e">
        <f t="shared" si="57"/>
        <v>#VALUE!</v>
      </c>
      <c r="S18" s="415" t="e">
        <f t="shared" si="57"/>
        <v>#VALUE!</v>
      </c>
      <c r="T18" s="415" t="e">
        <f t="shared" si="57"/>
        <v>#VALUE!</v>
      </c>
      <c r="U18" s="415" t="e">
        <f t="shared" si="57"/>
        <v>#VALUE!</v>
      </c>
      <c r="V18" s="415" t="e">
        <f t="shared" si="57"/>
        <v>#VALUE!</v>
      </c>
      <c r="W18" s="415" t="e">
        <f t="shared" si="57"/>
        <v>#VALUE!</v>
      </c>
      <c r="X18" s="415" t="e">
        <f t="shared" si="57"/>
        <v>#VALUE!</v>
      </c>
      <c r="Y18" s="415" t="e">
        <f t="shared" si="57"/>
        <v>#VALUE!</v>
      </c>
      <c r="Z18" s="415" t="e">
        <f t="shared" si="57"/>
        <v>#VALUE!</v>
      </c>
      <c r="AA18" s="415" t="e">
        <f t="shared" si="57"/>
        <v>#VALUE!</v>
      </c>
      <c r="AB18" s="415">
        <f t="shared" ref="AB18" si="58">SUM(AB19:AB20)</f>
        <v>0</v>
      </c>
      <c r="AC18" s="415">
        <f>SUM(AC19:AC21)</f>
        <v>0</v>
      </c>
      <c r="AD18" s="465" t="e">
        <f>P18/AC18</f>
        <v>#DIV/0!</v>
      </c>
    </row>
    <row r="19" spans="1:30" ht="21" x14ac:dyDescent="0.5">
      <c r="A19" s="306"/>
      <c r="B19" s="341"/>
      <c r="C19" s="324">
        <f>SUMIF('Pipe Audit'!$AK$2:$AK$82,A19,'Pipe Audit'!$L$2:$L$82)</f>
        <v>0</v>
      </c>
      <c r="D19" s="324">
        <f>SUMIF('Pipe Audit'!$AK$2:$AK$82,A19,'Pipe Audit'!$P$2:$P$82)</f>
        <v>0</v>
      </c>
      <c r="E19" s="325">
        <f>SUMIF('Pipe Audit'!$AK$3:$AK$82,A19,'Pipe Audit'!$K$3:$K$82)</f>
        <v>0</v>
      </c>
      <c r="F19" s="324">
        <f>SUMIF('Pipe Audit'!$AK$3:$AK$82,A19,'Pipe Audit'!$O$3:$O$82)</f>
        <v>0</v>
      </c>
      <c r="G19" s="324">
        <f>E19-F19</f>
        <v>0</v>
      </c>
      <c r="H19" s="324">
        <f>SUMIF('Pipe Audit'!$AK$3:$AK$82,A19,'Pipe Audit'!$AJ$3:$AJ$82)</f>
        <v>0</v>
      </c>
      <c r="I19" s="324">
        <f>SUMIFS('Pipe Audit'!$AJ$3:$AJ$82,'Pipe Audit'!$AK$3:$AK$82,A19,'Pipe Audit'!$Q$3:$Q$82,"&gt;.25")</f>
        <v>0</v>
      </c>
      <c r="J19" s="326" t="e">
        <f>I19/H19</f>
        <v>#DIV/0!</v>
      </c>
      <c r="K19" s="324">
        <f>SUMIFS('Pipe Audit'!$AJ$3:$AJ$82,'Pipe Audit'!$AK$3:$AK$82,A19,'Pipe Audit'!$U$3:$U$82,"&gt;.25")</f>
        <v>0</v>
      </c>
      <c r="L19" s="324">
        <f>H19-I19</f>
        <v>0</v>
      </c>
      <c r="M19" s="324">
        <f>SUM(H19-K19)</f>
        <v>0</v>
      </c>
      <c r="N19" s="324">
        <f>SUMIF('Pipe Audit'!$AK$3:$AK$82,A19,'Pipe Audit'!$BD$3:$BD$82)</f>
        <v>0</v>
      </c>
      <c r="O19" s="324">
        <f>SUMIF('Pipe Audit'!$AK$3:$AK$82,A19,'Pipe Audit'!$BE$3:$BE$82)</f>
        <v>0</v>
      </c>
      <c r="P19" s="324">
        <f>SUM(N19-O19)</f>
        <v>0</v>
      </c>
      <c r="Q19" s="324" t="e">
        <f>COUNTIF('[2]ISO Sign-Off 1026'!$L:$L,A19)</f>
        <v>#VALUE!</v>
      </c>
      <c r="R19" s="324" t="e">
        <f>COUNTIFS('[2]ISO Sign-Off 1026'!$L:$L,$A19,'[2]ISO Sign-Off 1026'!$N:$N,"f")</f>
        <v>#VALUE!</v>
      </c>
      <c r="S19" s="324" t="e">
        <f>COUNTIFS('[2]ISO Sign-Off 1026'!$L:$L,$A19,'[2]ISO Sign-Off 1026'!$N:$N,"q")</f>
        <v>#VALUE!</v>
      </c>
      <c r="T19" s="324" t="e">
        <f>COUNTIFS('[2]ISO Sign-Off 1026'!$L:$L,$A19,'[2]ISO Sign-Off 1026'!$N:$N,"rf")</f>
        <v>#VALUE!</v>
      </c>
      <c r="U19" s="324" t="e">
        <f>COUNTIFS('[2]ISO Sign-Off 1026'!$L:$L,$A19,'[2]ISO Sign-Off 1026'!$N:$N,"o")</f>
        <v>#VALUE!</v>
      </c>
      <c r="V19" s="324" t="e">
        <f>COUNTIFS('[2]ISO Sign-Off 1026'!$L:$L,$A19,'[2]ISO Sign-Off 1026'!$N:$N,"c")</f>
        <v>#VALUE!</v>
      </c>
      <c r="W19" s="324" t="e">
        <f>SUM(Q19-V19)</f>
        <v>#VALUE!</v>
      </c>
      <c r="X19" s="327" t="e">
        <f>SUMIFS('[3]DAY BOARD COUNT OSBL - AL'!$J$5:$J$33,'[3]DAY BOARD COUNT OSBL - AL'!$B$5:$B$33,A19)</f>
        <v>#VALUE!</v>
      </c>
      <c r="Y19" s="327" t="e">
        <f>SUMIFS('[3]DAY BOARD COUNT OSBL - AL'!$K$5:$K$33,'[3]DAY BOARD COUNT OSBL - AL'!$B$5:$B$33,A19)</f>
        <v>#VALUE!</v>
      </c>
      <c r="Z19" s="327" t="e">
        <f>SUMIFS('[3]DAY BOARD COUNT OSBL - AL'!$L$5:$L$33,'[3]DAY BOARD COUNT OSBL - AL'!$B$5:$B$33,A19)</f>
        <v>#VALUE!</v>
      </c>
      <c r="AA19" s="327" t="e">
        <f>SUMIFS('[3]DAY BOARD COUNT OSBL - AL'!$M$5:$M$33,'[3]DAY BOARD COUNT OSBL - AL'!$B$5:$B$33,A19)</f>
        <v>#VALUE!</v>
      </c>
      <c r="AB19" s="459"/>
      <c r="AC19" s="463">
        <f>SUMIF('Pipe Audit'!AK:AK,A19,'Pipe Audit'!BP:BP)</f>
        <v>0</v>
      </c>
      <c r="AD19" s="462" t="e">
        <f t="shared" si="19"/>
        <v>#DIV/0!</v>
      </c>
    </row>
    <row r="20" spans="1:30" ht="21" x14ac:dyDescent="0.5">
      <c r="A20" s="306"/>
      <c r="B20" s="339"/>
      <c r="C20" s="324">
        <f>SUMIF('Pipe Audit'!$AK$2:$AK$82,A20,'Pipe Audit'!$L$2:$L$82)</f>
        <v>0</v>
      </c>
      <c r="D20" s="324">
        <f>SUMIF('Pipe Audit'!$AK$2:$AK$82,A20,'Pipe Audit'!$P$2:$P$82)</f>
        <v>0</v>
      </c>
      <c r="E20" s="325">
        <f>SUMIF('Pipe Audit'!$AK$3:$AK$82,A20,'Pipe Audit'!$K$3:$K$82)</f>
        <v>0</v>
      </c>
      <c r="F20" s="324">
        <f>SUMIF('Pipe Audit'!$AK$3:$AK$82,A20,'Pipe Audit'!$O$3:$O$82)</f>
        <v>0</v>
      </c>
      <c r="G20" s="324">
        <f>E20-F20</f>
        <v>0</v>
      </c>
      <c r="H20" s="324">
        <f>SUMIF('Pipe Audit'!$AK$3:$AK$82,A20,'Pipe Audit'!$AJ$3:$AJ$82)</f>
        <v>0</v>
      </c>
      <c r="I20" s="324">
        <f>SUMIFS('Pipe Audit'!$AJ$3:$AJ$82,'Pipe Audit'!$AK$3:$AK$82,A20,'Pipe Audit'!$Q$3:$Q$82,"&gt;.25")</f>
        <v>0</v>
      </c>
      <c r="J20" s="326" t="e">
        <f>I20/H20</f>
        <v>#DIV/0!</v>
      </c>
      <c r="K20" s="324">
        <f>SUMIFS('Pipe Audit'!$AJ$3:$AJ$82,'Pipe Audit'!$AK$3:$AK$82,A20,'Pipe Audit'!$U$3:$U$82,"&gt;.25")</f>
        <v>0</v>
      </c>
      <c r="L20" s="324">
        <f>H20-I20</f>
        <v>0</v>
      </c>
      <c r="M20" s="324">
        <f>SUM(H20-K20)</f>
        <v>0</v>
      </c>
      <c r="N20" s="324">
        <f>SUMIF('Pipe Audit'!$AK$3:$AK$82,A20,'Pipe Audit'!$BD$3:$BD$82)</f>
        <v>0</v>
      </c>
      <c r="O20" s="324">
        <f>SUMIF('Pipe Audit'!$AK$3:$AK$82,A20,'Pipe Audit'!$BE$3:$BE$82)</f>
        <v>0</v>
      </c>
      <c r="P20" s="324">
        <f>SUM(N20-O20)</f>
        <v>0</v>
      </c>
      <c r="Q20" s="324" t="e">
        <f>COUNTIF('[2]ISO Sign-Off 1026'!$L:$L,A20)</f>
        <v>#VALUE!</v>
      </c>
      <c r="R20" s="324" t="e">
        <f>COUNTIFS('[2]ISO Sign-Off 1026'!$L:$L,$A20,'[2]ISO Sign-Off 1026'!$N:$N,"f")</f>
        <v>#VALUE!</v>
      </c>
      <c r="S20" s="324" t="e">
        <f>COUNTIFS('[2]ISO Sign-Off 1026'!$L:$L,$A20,'[2]ISO Sign-Off 1026'!$N:$N,"q")</f>
        <v>#VALUE!</v>
      </c>
      <c r="T20" s="324" t="e">
        <f>COUNTIFS('[2]ISO Sign-Off 1026'!$L:$L,$A20,'[2]ISO Sign-Off 1026'!$N:$N,"rf")</f>
        <v>#VALUE!</v>
      </c>
      <c r="U20" s="324" t="e">
        <f>COUNTIFS('[2]ISO Sign-Off 1026'!$L:$L,$A20,'[2]ISO Sign-Off 1026'!$N:$N,"o")</f>
        <v>#VALUE!</v>
      </c>
      <c r="V20" s="324" t="e">
        <f>COUNTIFS('[2]ISO Sign-Off 1026'!$L:$L,$A20,'[2]ISO Sign-Off 1026'!$N:$N,"c")</f>
        <v>#VALUE!</v>
      </c>
      <c r="W20" s="324" t="e">
        <f>SUM(Q20-V20)</f>
        <v>#VALUE!</v>
      </c>
      <c r="X20" s="327" t="e">
        <f>SUMIFS('[3]DAY BOARD COUNT OSBL - AL'!$J$5:$J$33,'[3]DAY BOARD COUNT OSBL - AL'!$B$5:$B$33,A20)</f>
        <v>#VALUE!</v>
      </c>
      <c r="Y20" s="327" t="e">
        <f>SUMIFS('[3]DAY BOARD COUNT OSBL - AL'!$K$5:$K$33,'[3]DAY BOARD COUNT OSBL - AL'!$B$5:$B$33,A20)</f>
        <v>#VALUE!</v>
      </c>
      <c r="Z20" s="327" t="e">
        <f>SUMIFS('[3]DAY BOARD COUNT OSBL - AL'!$L$5:$L$33,'[3]DAY BOARD COUNT OSBL - AL'!$B$5:$B$33,A20)</f>
        <v>#VALUE!</v>
      </c>
      <c r="AA20" s="327" t="e">
        <f>SUMIFS('[3]DAY BOARD COUNT OSBL - AL'!$M$5:$M$33,'[3]DAY BOARD COUNT OSBL - AL'!$B$5:$B$33,A20)</f>
        <v>#VALUE!</v>
      </c>
      <c r="AB20" s="459"/>
      <c r="AC20" s="463">
        <f>SUMIF('Pipe Audit'!AK:AK,A20,'Pipe Audit'!BP:BP)</f>
        <v>0</v>
      </c>
      <c r="AD20" s="462" t="e">
        <f t="shared" si="19"/>
        <v>#DIV/0!</v>
      </c>
    </row>
    <row r="21" spans="1:30" ht="21" x14ac:dyDescent="0.5">
      <c r="A21" s="306"/>
      <c r="B21" s="339"/>
      <c r="C21" s="324">
        <f>SUMIF('Pipe Audit'!$AK$2:$AK$82,A21,'Pipe Audit'!$L$2:$L$82)</f>
        <v>0</v>
      </c>
      <c r="D21" s="324">
        <f>SUMIF('Pipe Audit'!$AK$2:$AK$82,A21,'Pipe Audit'!$P$2:$P$82)</f>
        <v>0</v>
      </c>
      <c r="E21" s="325">
        <f>SUMIF('Pipe Audit'!$AK$3:$AK$82,A21,'Pipe Audit'!$K$3:$K$82)</f>
        <v>0</v>
      </c>
      <c r="F21" s="324">
        <f>SUMIF('Pipe Audit'!$AK$3:$AK$82,A21,'Pipe Audit'!$O$3:$O$82)</f>
        <v>0</v>
      </c>
      <c r="G21" s="324">
        <f>E21-F21</f>
        <v>0</v>
      </c>
      <c r="H21" s="324">
        <f>SUMIF('Pipe Audit'!$AK$3:$AK$82,A21,'Pipe Audit'!$AJ$3:$AJ$82)</f>
        <v>0</v>
      </c>
      <c r="I21" s="324">
        <f>SUMIFS('Pipe Audit'!$AJ$3:$AJ$82,'Pipe Audit'!$AK$3:$AK$82,A21,'Pipe Audit'!$Q$3:$Q$82,"&gt;.25")</f>
        <v>0</v>
      </c>
      <c r="J21" s="326" t="e">
        <f>I21/H21</f>
        <v>#DIV/0!</v>
      </c>
      <c r="K21" s="324">
        <f>SUMIFS('Pipe Audit'!$AJ$3:$AJ$82,'Pipe Audit'!$AK$3:$AK$82,A21,'Pipe Audit'!$U$3:$U$82,"&gt;.25")</f>
        <v>0</v>
      </c>
      <c r="L21" s="324">
        <f>H21-I21</f>
        <v>0</v>
      </c>
      <c r="M21" s="324">
        <f>SUM(H21-K21)</f>
        <v>0</v>
      </c>
      <c r="N21" s="324">
        <f>SUMIF('Pipe Audit'!$AK$3:$AK$82,A21,'Pipe Audit'!$BD$3:$BD$82)</f>
        <v>0</v>
      </c>
      <c r="O21" s="324">
        <f>SUMIF('Pipe Audit'!$AK$3:$AK$82,A21,'Pipe Audit'!$BE$3:$BE$82)</f>
        <v>0</v>
      </c>
      <c r="P21" s="324">
        <f>SUM(N21-O21)</f>
        <v>0</v>
      </c>
      <c r="Q21" s="324" t="e">
        <f>COUNTIF('[2]ISO Sign-Off 1026'!$L:$L,A21)</f>
        <v>#VALUE!</v>
      </c>
      <c r="R21" s="324" t="e">
        <f>COUNTIFS('[2]ISO Sign-Off 1026'!$L:$L,$A21,'[2]ISO Sign-Off 1026'!$N:$N,"f")</f>
        <v>#VALUE!</v>
      </c>
      <c r="S21" s="324" t="e">
        <f>COUNTIFS('[2]ISO Sign-Off 1026'!$L:$L,$A21,'[2]ISO Sign-Off 1026'!$N:$N,"q")</f>
        <v>#VALUE!</v>
      </c>
      <c r="T21" s="324" t="e">
        <f>COUNTIFS('[2]ISO Sign-Off 1026'!$L:$L,$A21,'[2]ISO Sign-Off 1026'!$N:$N,"rf")</f>
        <v>#VALUE!</v>
      </c>
      <c r="U21" s="324" t="e">
        <f>COUNTIFS('[2]ISO Sign-Off 1026'!$L:$L,$A21,'[2]ISO Sign-Off 1026'!$N:$N,"o")</f>
        <v>#VALUE!</v>
      </c>
      <c r="V21" s="324" t="e">
        <f>COUNTIFS('[2]ISO Sign-Off 1026'!$L:$L,$A21,'[2]ISO Sign-Off 1026'!$N:$N,"c")</f>
        <v>#VALUE!</v>
      </c>
      <c r="W21" s="324" t="e">
        <f>SUM(Q21-V21)</f>
        <v>#VALUE!</v>
      </c>
      <c r="X21" s="327" t="e">
        <f>SUMIFS('[3]DAY BOARD COUNT OSBL - AL'!$J$5:$J$33,'[3]DAY BOARD COUNT OSBL - AL'!$B$5:$B$33,A21)</f>
        <v>#VALUE!</v>
      </c>
      <c r="Y21" s="327" t="e">
        <f>SUMIFS('[3]DAY BOARD COUNT OSBL - AL'!$K$5:$K$33,'[3]DAY BOARD COUNT OSBL - AL'!$B$5:$B$33,A21)</f>
        <v>#VALUE!</v>
      </c>
      <c r="Z21" s="327" t="e">
        <f>SUMIFS('[3]DAY BOARD COUNT OSBL - AL'!$L$5:$L$33,'[3]DAY BOARD COUNT OSBL - AL'!$B$5:$B$33,A21)</f>
        <v>#VALUE!</v>
      </c>
      <c r="AA21" s="327" t="e">
        <f>SUMIFS('[3]DAY BOARD COUNT OSBL - AL'!$M$5:$M$33,'[3]DAY BOARD COUNT OSBL - AL'!$B$5:$B$33,A21)</f>
        <v>#VALUE!</v>
      </c>
      <c r="AB21" s="459"/>
      <c r="AC21" s="463">
        <f>SUMIF('Pipe Audit'!AK:AK,A21,'Pipe Audit'!BP:BP)</f>
        <v>0</v>
      </c>
      <c r="AD21" s="462" t="e">
        <f t="shared" ref="AD21" si="59">P21/AC21</f>
        <v>#DIV/0!</v>
      </c>
    </row>
    <row r="22" spans="1:30" ht="21" x14ac:dyDescent="0.5">
      <c r="A22" s="413"/>
      <c r="B22" s="418"/>
      <c r="C22" s="415">
        <f>SUM(C23:C25)</f>
        <v>0</v>
      </c>
      <c r="D22" s="415">
        <f t="shared" ref="D22:AB22" si="60">SUM(D23:D25)</f>
        <v>0</v>
      </c>
      <c r="E22" s="415">
        <f t="shared" si="60"/>
        <v>0</v>
      </c>
      <c r="F22" s="415">
        <f t="shared" si="60"/>
        <v>0</v>
      </c>
      <c r="G22" s="415">
        <f t="shared" si="60"/>
        <v>0</v>
      </c>
      <c r="H22" s="415">
        <f t="shared" si="60"/>
        <v>0</v>
      </c>
      <c r="I22" s="415">
        <f t="shared" si="60"/>
        <v>0</v>
      </c>
      <c r="J22" s="415" t="e">
        <f t="shared" si="60"/>
        <v>#DIV/0!</v>
      </c>
      <c r="K22" s="415">
        <f t="shared" si="60"/>
        <v>0</v>
      </c>
      <c r="L22" s="415">
        <f t="shared" si="60"/>
        <v>0</v>
      </c>
      <c r="M22" s="415">
        <f t="shared" si="60"/>
        <v>0</v>
      </c>
      <c r="N22" s="415">
        <f t="shared" si="60"/>
        <v>0</v>
      </c>
      <c r="O22" s="415">
        <f t="shared" si="60"/>
        <v>0</v>
      </c>
      <c r="P22" s="415">
        <f t="shared" si="60"/>
        <v>0</v>
      </c>
      <c r="Q22" s="415" t="e">
        <f t="shared" si="60"/>
        <v>#VALUE!</v>
      </c>
      <c r="R22" s="415" t="e">
        <f t="shared" si="60"/>
        <v>#VALUE!</v>
      </c>
      <c r="S22" s="415" t="e">
        <f t="shared" si="60"/>
        <v>#VALUE!</v>
      </c>
      <c r="T22" s="415" t="e">
        <f t="shared" si="60"/>
        <v>#VALUE!</v>
      </c>
      <c r="U22" s="415" t="e">
        <f t="shared" si="60"/>
        <v>#VALUE!</v>
      </c>
      <c r="V22" s="415" t="e">
        <f t="shared" si="60"/>
        <v>#VALUE!</v>
      </c>
      <c r="W22" s="415" t="e">
        <f t="shared" si="60"/>
        <v>#VALUE!</v>
      </c>
      <c r="X22" s="415" t="e">
        <f t="shared" si="60"/>
        <v>#VALUE!</v>
      </c>
      <c r="Y22" s="415" t="e">
        <f t="shared" si="60"/>
        <v>#VALUE!</v>
      </c>
      <c r="Z22" s="415" t="e">
        <f t="shared" si="60"/>
        <v>#VALUE!</v>
      </c>
      <c r="AA22" s="415" t="e">
        <f t="shared" si="60"/>
        <v>#VALUE!</v>
      </c>
      <c r="AB22" s="415">
        <f t="shared" si="60"/>
        <v>0</v>
      </c>
      <c r="AC22" s="415">
        <f>SUM(AC23:AC25)</f>
        <v>0</v>
      </c>
      <c r="AD22" s="465" t="e">
        <f>P22/AC22</f>
        <v>#DIV/0!</v>
      </c>
    </row>
    <row r="23" spans="1:30" ht="21" x14ac:dyDescent="0.5">
      <c r="A23" s="306"/>
      <c r="B23" s="339"/>
      <c r="C23" s="324">
        <f>SUMIF('Pipe Audit'!$AK$2:$AK$82,A23,'Pipe Audit'!$L$2:$L$82)</f>
        <v>0</v>
      </c>
      <c r="D23" s="324">
        <f>SUMIF('Pipe Audit'!$AK$2:$AK$82,A23,'Pipe Audit'!$P$2:$P$82)</f>
        <v>0</v>
      </c>
      <c r="E23" s="325">
        <f>SUMIF('Pipe Audit'!$AK$3:$AK$82,A23,'Pipe Audit'!$K$3:$K$82)</f>
        <v>0</v>
      </c>
      <c r="F23" s="324">
        <f>SUMIF('Pipe Audit'!$AK$3:$AK$82,A23,'Pipe Audit'!$O$3:$O$82)</f>
        <v>0</v>
      </c>
      <c r="G23" s="324">
        <f>E23-F23</f>
        <v>0</v>
      </c>
      <c r="H23" s="324">
        <f>SUMIF('Pipe Audit'!$AK$3:$AK$82,A23,'Pipe Audit'!$AJ$3:$AJ$82)</f>
        <v>0</v>
      </c>
      <c r="I23" s="324">
        <f>SUMIFS('Pipe Audit'!$AJ$3:$AJ$82,'Pipe Audit'!$AK$3:$AK$82,A23,'Pipe Audit'!$Q$3:$Q$82,"&gt;.25")</f>
        <v>0</v>
      </c>
      <c r="J23" s="326" t="e">
        <f>I23/H23</f>
        <v>#DIV/0!</v>
      </c>
      <c r="K23" s="324">
        <f>SUMIFS('Pipe Audit'!$AJ$3:$AJ$82,'Pipe Audit'!$AK$3:$AK$82,A23,'Pipe Audit'!$U$3:$U$82,"&gt;.25")</f>
        <v>0</v>
      </c>
      <c r="L23" s="324">
        <f>H23-I23</f>
        <v>0</v>
      </c>
      <c r="M23" s="324">
        <f>SUM(H23-K23)</f>
        <v>0</v>
      </c>
      <c r="N23" s="324">
        <f>SUMIF('Pipe Audit'!$AK$3:$AK$82,A23,'Pipe Audit'!$BD$3:$BD$82)</f>
        <v>0</v>
      </c>
      <c r="O23" s="324">
        <f>SUMIF('Pipe Audit'!$AK$3:$AK$82,A23,'Pipe Audit'!$BE$3:$BE$82)</f>
        <v>0</v>
      </c>
      <c r="P23" s="324">
        <f>SUM(N23-O23)</f>
        <v>0</v>
      </c>
      <c r="Q23" s="324" t="e">
        <f>COUNTIF('[2]ISO Sign-Off 1026'!$L:$L,A23)</f>
        <v>#VALUE!</v>
      </c>
      <c r="R23" s="324" t="e">
        <f>COUNTIFS('[2]ISO Sign-Off 1026'!$L:$L,$A23,'[2]ISO Sign-Off 1026'!$N:$N,"f")</f>
        <v>#VALUE!</v>
      </c>
      <c r="S23" s="324" t="e">
        <f>COUNTIFS('[2]ISO Sign-Off 1026'!$L:$L,$A23,'[2]ISO Sign-Off 1026'!$N:$N,"q")</f>
        <v>#VALUE!</v>
      </c>
      <c r="T23" s="324" t="e">
        <f>COUNTIFS('[2]ISO Sign-Off 1026'!$L:$L,$A23,'[2]ISO Sign-Off 1026'!$N:$N,"rf")</f>
        <v>#VALUE!</v>
      </c>
      <c r="U23" s="324" t="e">
        <f>COUNTIFS('[2]ISO Sign-Off 1026'!$L:$L,$A23,'[2]ISO Sign-Off 1026'!$N:$N,"o")</f>
        <v>#VALUE!</v>
      </c>
      <c r="V23" s="324" t="e">
        <f>COUNTIFS('[2]ISO Sign-Off 1026'!$L:$L,$A23,'[2]ISO Sign-Off 1026'!$N:$N,"c")</f>
        <v>#VALUE!</v>
      </c>
      <c r="W23" s="324" t="e">
        <f>SUM(Q23-V23)</f>
        <v>#VALUE!</v>
      </c>
      <c r="X23" s="327" t="e">
        <f>SUMIFS('[3]DAY BOARD COUNT OSBL - AL'!$J$5:$J$33,'[3]DAY BOARD COUNT OSBL - AL'!$B$5:$B$33,A23)</f>
        <v>#VALUE!</v>
      </c>
      <c r="Y23" s="327" t="e">
        <f>SUMIFS('[3]DAY BOARD COUNT OSBL - AL'!$K$5:$K$33,'[3]DAY BOARD COUNT OSBL - AL'!$B$5:$B$33,A23)</f>
        <v>#VALUE!</v>
      </c>
      <c r="Z23" s="327" t="e">
        <f>SUMIFS('[3]DAY BOARD COUNT OSBL - AL'!$L$5:$L$33,'[3]DAY BOARD COUNT OSBL - AL'!$B$5:$B$33,A23)</f>
        <v>#VALUE!</v>
      </c>
      <c r="AA23" s="327" t="e">
        <f>SUMIFS('[3]DAY BOARD COUNT OSBL - AL'!$M$5:$M$33,'[3]DAY BOARD COUNT OSBL - AL'!$B$5:$B$33,A23)</f>
        <v>#VALUE!</v>
      </c>
      <c r="AB23" s="459"/>
      <c r="AC23" s="463">
        <f>SUMIF('Pipe Audit'!AK:AK,A23,'Pipe Audit'!BP:BP)</f>
        <v>0</v>
      </c>
      <c r="AD23" s="462" t="e">
        <f t="shared" ref="AD23:AD24" si="61">P23/AC23</f>
        <v>#DIV/0!</v>
      </c>
    </row>
    <row r="24" spans="1:30" ht="21" x14ac:dyDescent="0.5">
      <c r="A24" s="306"/>
      <c r="B24" s="339"/>
      <c r="C24" s="324">
        <f>SUMIF('Pipe Audit'!$AK$2:$AK$82,A24,'Pipe Audit'!$L$2:$L$82)</f>
        <v>0</v>
      </c>
      <c r="D24" s="324">
        <f>SUMIF('Pipe Audit'!$AK$2:$AK$82,A24,'Pipe Audit'!$P$2:$P$82)</f>
        <v>0</v>
      </c>
      <c r="E24" s="325">
        <f>SUMIF('Pipe Audit'!$AK$3:$AK$82,A24,'Pipe Audit'!$K$3:$K$82)</f>
        <v>0</v>
      </c>
      <c r="F24" s="324">
        <f>SUMIF('Pipe Audit'!$AK$3:$AK$82,A24,'Pipe Audit'!$O$3:$O$82)</f>
        <v>0</v>
      </c>
      <c r="G24" s="324">
        <f>E24-F24</f>
        <v>0</v>
      </c>
      <c r="H24" s="324">
        <f>SUMIF('Pipe Audit'!$AK$3:$AK$82,A24,'Pipe Audit'!$AJ$3:$AJ$82)</f>
        <v>0</v>
      </c>
      <c r="I24" s="324">
        <f>SUMIFS('Pipe Audit'!$AJ$3:$AJ$82,'Pipe Audit'!$AK$3:$AK$82,A24,'Pipe Audit'!$Q$3:$Q$82,"&gt;.25")</f>
        <v>0</v>
      </c>
      <c r="J24" s="326" t="e">
        <f>I24/H24</f>
        <v>#DIV/0!</v>
      </c>
      <c r="K24" s="324">
        <f>SUMIFS('Pipe Audit'!$AJ$3:$AJ$82,'Pipe Audit'!$AK$3:$AK$82,A24,'Pipe Audit'!$U$3:$U$82,"&gt;.25")</f>
        <v>0</v>
      </c>
      <c r="L24" s="324">
        <f>H24-I24</f>
        <v>0</v>
      </c>
      <c r="M24" s="324">
        <f>SUM(H24-K24)</f>
        <v>0</v>
      </c>
      <c r="N24" s="324">
        <f>SUMIF('Pipe Audit'!$AK$3:$AK$82,A24,'Pipe Audit'!$BD$3:$BD$82)</f>
        <v>0</v>
      </c>
      <c r="O24" s="324">
        <f>SUMIF('Pipe Audit'!$AK$3:$AK$82,A24,'Pipe Audit'!$BE$3:$BE$82)</f>
        <v>0</v>
      </c>
      <c r="P24" s="324">
        <f>SUM(N24-O24)</f>
        <v>0</v>
      </c>
      <c r="Q24" s="324" t="e">
        <f>COUNTIF('[2]ISO Sign-Off 1026'!$L:$L,A24)</f>
        <v>#VALUE!</v>
      </c>
      <c r="R24" s="324" t="e">
        <f>COUNTIFS('[2]ISO Sign-Off 1026'!$L:$L,$A24,'[2]ISO Sign-Off 1026'!$N:$N,"f")</f>
        <v>#VALUE!</v>
      </c>
      <c r="S24" s="324" t="e">
        <f>COUNTIFS('[2]ISO Sign-Off 1026'!$L:$L,$A24,'[2]ISO Sign-Off 1026'!$N:$N,"q")</f>
        <v>#VALUE!</v>
      </c>
      <c r="T24" s="324" t="e">
        <f>COUNTIFS('[2]ISO Sign-Off 1026'!$L:$L,$A24,'[2]ISO Sign-Off 1026'!$N:$N,"rf")</f>
        <v>#VALUE!</v>
      </c>
      <c r="U24" s="324" t="e">
        <f>COUNTIFS('[2]ISO Sign-Off 1026'!$L:$L,$A24,'[2]ISO Sign-Off 1026'!$N:$N,"o")</f>
        <v>#VALUE!</v>
      </c>
      <c r="V24" s="324" t="e">
        <f>COUNTIFS('[2]ISO Sign-Off 1026'!$L:$L,$A24,'[2]ISO Sign-Off 1026'!$N:$N,"c")</f>
        <v>#VALUE!</v>
      </c>
      <c r="W24" s="324" t="e">
        <f>SUM(Q24-V24)</f>
        <v>#VALUE!</v>
      </c>
      <c r="X24" s="327" t="e">
        <f>SUMIFS('[3]DAY BOARD COUNT OSBL - AL'!$J$5:$J$33,'[3]DAY BOARD COUNT OSBL - AL'!$B$5:$B$33,A24)</f>
        <v>#VALUE!</v>
      </c>
      <c r="Y24" s="327" t="e">
        <f>SUMIFS('[3]DAY BOARD COUNT OSBL - AL'!$K$5:$K$33,'[3]DAY BOARD COUNT OSBL - AL'!$B$5:$B$33,A24)</f>
        <v>#VALUE!</v>
      </c>
      <c r="Z24" s="327" t="e">
        <f>SUMIFS('[3]DAY BOARD COUNT OSBL - AL'!$L$5:$L$33,'[3]DAY BOARD COUNT OSBL - AL'!$B$5:$B$33,A24)</f>
        <v>#VALUE!</v>
      </c>
      <c r="AA24" s="327" t="e">
        <f>SUMIFS('[3]DAY BOARD COUNT OSBL - AL'!$M$5:$M$33,'[3]DAY BOARD COUNT OSBL - AL'!$B$5:$B$33,A24)</f>
        <v>#VALUE!</v>
      </c>
      <c r="AB24" s="459"/>
      <c r="AC24" s="463">
        <f>SUMIF('Pipe Audit'!AK:AK,A24,'Pipe Audit'!BP:BP)</f>
        <v>0</v>
      </c>
      <c r="AD24" s="462" t="e">
        <f t="shared" si="61"/>
        <v>#DIV/0!</v>
      </c>
    </row>
    <row r="25" spans="1:30" ht="21" x14ac:dyDescent="0.5">
      <c r="A25" s="328"/>
      <c r="B25" s="339"/>
      <c r="C25" s="324">
        <f>SUMIF('Pipe Audit'!$AK$2:$AK$82,A25,'Pipe Audit'!$L$2:$L$82)</f>
        <v>0</v>
      </c>
      <c r="D25" s="324">
        <f>SUMIF('Pipe Audit'!$AK$2:$AK$82,A25,'Pipe Audit'!$P$2:$P$82)</f>
        <v>0</v>
      </c>
      <c r="E25" s="325">
        <f>SUMIF('Pipe Audit'!$AK$3:$AK$82,A25,'Pipe Audit'!$K$3:$K$82)</f>
        <v>0</v>
      </c>
      <c r="F25" s="324">
        <f>SUMIF('Pipe Audit'!$AK$3:$AK$82,A25,'Pipe Audit'!$O$3:$O$82)</f>
        <v>0</v>
      </c>
      <c r="G25" s="324">
        <f>E25-F25</f>
        <v>0</v>
      </c>
      <c r="H25" s="324">
        <f>SUMIF('Pipe Audit'!$AK$3:$AK$82,A25,'Pipe Audit'!$AJ$3:$AJ$82)</f>
        <v>0</v>
      </c>
      <c r="I25" s="324">
        <f>SUMIFS('Pipe Audit'!$AJ$3:$AJ$82,'Pipe Audit'!$AK$3:$AK$82,A25,'Pipe Audit'!$Q$3:$Q$82,"&gt;.25")</f>
        <v>0</v>
      </c>
      <c r="J25" s="326" t="e">
        <f>I25/H25</f>
        <v>#DIV/0!</v>
      </c>
      <c r="K25" s="324">
        <f>SUMIFS('Pipe Audit'!$AJ$3:$AJ$82,'Pipe Audit'!$AK$3:$AK$82,A25,'Pipe Audit'!$U$3:$U$82,"&gt;.25")</f>
        <v>0</v>
      </c>
      <c r="L25" s="324">
        <f>H25-I25</f>
        <v>0</v>
      </c>
      <c r="M25" s="324">
        <f>SUM(H25-K25)</f>
        <v>0</v>
      </c>
      <c r="N25" s="324">
        <f>SUMIF('Pipe Audit'!$AK$3:$AK$82,A25,'Pipe Audit'!$BD$3:$BD$82)</f>
        <v>0</v>
      </c>
      <c r="O25" s="324">
        <f>SUMIF('Pipe Audit'!$AK$3:$AK$82,A25,'Pipe Audit'!$BE$3:$BE$82)</f>
        <v>0</v>
      </c>
      <c r="P25" s="324">
        <f>SUM(N25-O25)</f>
        <v>0</v>
      </c>
      <c r="Q25" s="324" t="e">
        <f>COUNTIF('[2]ISO Sign-Off 1026'!$L:$L,A25)</f>
        <v>#VALUE!</v>
      </c>
      <c r="R25" s="324" t="e">
        <f>COUNTIFS('[2]ISO Sign-Off 1026'!$L:$L,$A25,'[2]ISO Sign-Off 1026'!$N:$N,"f")</f>
        <v>#VALUE!</v>
      </c>
      <c r="S25" s="324" t="e">
        <f>COUNTIFS('[2]ISO Sign-Off 1026'!$L:$L,$A25,'[2]ISO Sign-Off 1026'!$N:$N,"q")</f>
        <v>#VALUE!</v>
      </c>
      <c r="T25" s="324" t="e">
        <f>COUNTIFS('[2]ISO Sign-Off 1026'!$L:$L,$A25,'[2]ISO Sign-Off 1026'!$N:$N,"rf")</f>
        <v>#VALUE!</v>
      </c>
      <c r="U25" s="324" t="e">
        <f>COUNTIFS('[2]ISO Sign-Off 1026'!$L:$L,$A25,'[2]ISO Sign-Off 1026'!$N:$N,"o")</f>
        <v>#VALUE!</v>
      </c>
      <c r="V25" s="324" t="e">
        <f>COUNTIFS('[2]ISO Sign-Off 1026'!$L:$L,$A25,'[2]ISO Sign-Off 1026'!$N:$N,"c")</f>
        <v>#VALUE!</v>
      </c>
      <c r="W25" s="324" t="e">
        <f>SUM(Q25-V25)</f>
        <v>#VALUE!</v>
      </c>
      <c r="X25" s="327" t="e">
        <f>SUMIFS('[3]DAY BOARD COUNT OSBL - AL'!$J$5:$J$33,'[3]DAY BOARD COUNT OSBL - AL'!$B$5:$B$33,A25)</f>
        <v>#VALUE!</v>
      </c>
      <c r="Y25" s="327" t="e">
        <f>SUMIFS('[3]DAY BOARD COUNT OSBL - AL'!$K$5:$K$33,'[3]DAY BOARD COUNT OSBL - AL'!$B$5:$B$33,A25)</f>
        <v>#VALUE!</v>
      </c>
      <c r="Z25" s="327" t="e">
        <f>SUMIFS('[3]DAY BOARD COUNT OSBL - AL'!$L$5:$L$33,'[3]DAY BOARD COUNT OSBL - AL'!$B$5:$B$33,A25)</f>
        <v>#VALUE!</v>
      </c>
      <c r="AA25" s="327" t="e">
        <f>SUMIFS('[3]DAY BOARD COUNT OSBL - AL'!$M$5:$M$33,'[3]DAY BOARD COUNT OSBL - AL'!$B$5:$B$33,A25)</f>
        <v>#VALUE!</v>
      </c>
      <c r="AB25" s="459"/>
      <c r="AC25" s="463">
        <f>SUMIF('Pipe Audit'!AK:AK,A25,'Pipe Audit'!BP:BP)</f>
        <v>0</v>
      </c>
      <c r="AD25" s="462" t="e">
        <f t="shared" si="19"/>
        <v>#DIV/0!</v>
      </c>
    </row>
    <row r="26" spans="1:30" ht="21" x14ac:dyDescent="0.5">
      <c r="A26" s="413"/>
      <c r="B26" s="414"/>
      <c r="C26" s="415">
        <f>SUM(C27:C28)</f>
        <v>0</v>
      </c>
      <c r="D26" s="415">
        <f t="shared" ref="D26:AB26" si="62">SUM(D27:D28)</f>
        <v>0</v>
      </c>
      <c r="E26" s="415">
        <f t="shared" si="62"/>
        <v>0</v>
      </c>
      <c r="F26" s="415">
        <f t="shared" si="62"/>
        <v>0</v>
      </c>
      <c r="G26" s="415">
        <f t="shared" si="62"/>
        <v>0</v>
      </c>
      <c r="H26" s="415">
        <f t="shared" si="62"/>
        <v>0</v>
      </c>
      <c r="I26" s="415">
        <f t="shared" si="62"/>
        <v>0</v>
      </c>
      <c r="J26" s="415" t="e">
        <f t="shared" si="62"/>
        <v>#DIV/0!</v>
      </c>
      <c r="K26" s="415">
        <f t="shared" si="62"/>
        <v>0</v>
      </c>
      <c r="L26" s="415">
        <f t="shared" si="62"/>
        <v>0</v>
      </c>
      <c r="M26" s="415">
        <f t="shared" si="62"/>
        <v>0</v>
      </c>
      <c r="N26" s="415">
        <f t="shared" si="62"/>
        <v>0</v>
      </c>
      <c r="O26" s="415">
        <f t="shared" si="62"/>
        <v>0</v>
      </c>
      <c r="P26" s="415">
        <f t="shared" si="62"/>
        <v>0</v>
      </c>
      <c r="Q26" s="415" t="e">
        <f t="shared" si="62"/>
        <v>#VALUE!</v>
      </c>
      <c r="R26" s="415" t="e">
        <f t="shared" si="62"/>
        <v>#VALUE!</v>
      </c>
      <c r="S26" s="415" t="e">
        <f t="shared" si="62"/>
        <v>#VALUE!</v>
      </c>
      <c r="T26" s="415" t="e">
        <f t="shared" si="62"/>
        <v>#VALUE!</v>
      </c>
      <c r="U26" s="415" t="e">
        <f t="shared" si="62"/>
        <v>#VALUE!</v>
      </c>
      <c r="V26" s="415" t="e">
        <f t="shared" si="62"/>
        <v>#VALUE!</v>
      </c>
      <c r="W26" s="415" t="e">
        <f t="shared" si="62"/>
        <v>#VALUE!</v>
      </c>
      <c r="X26" s="415" t="e">
        <f t="shared" si="62"/>
        <v>#VALUE!</v>
      </c>
      <c r="Y26" s="415" t="e">
        <f t="shared" si="62"/>
        <v>#VALUE!</v>
      </c>
      <c r="Z26" s="415" t="e">
        <f t="shared" si="62"/>
        <v>#VALUE!</v>
      </c>
      <c r="AA26" s="415" t="e">
        <f t="shared" si="62"/>
        <v>#VALUE!</v>
      </c>
      <c r="AB26" s="415">
        <f t="shared" si="62"/>
        <v>0</v>
      </c>
      <c r="AC26" s="415">
        <f>SUM(AC27:AC28)</f>
        <v>0</v>
      </c>
      <c r="AD26" s="465" t="e">
        <f>P26/AC26</f>
        <v>#DIV/0!</v>
      </c>
    </row>
    <row r="27" spans="1:30" ht="21" x14ac:dyDescent="0.5">
      <c r="A27" s="328"/>
      <c r="B27" s="339"/>
      <c r="C27" s="324">
        <f>SUMIF('Pipe Audit'!$AK$2:$AK$82,A27,'Pipe Audit'!$L$2:$L$82)</f>
        <v>0</v>
      </c>
      <c r="D27" s="324">
        <f>SUMIF('Pipe Audit'!$AK$2:$AK$82,A27,'Pipe Audit'!$P$2:$P$82)</f>
        <v>0</v>
      </c>
      <c r="E27" s="325">
        <f>SUMIF('Pipe Audit'!$AK$3:$AK$82,A27,'Pipe Audit'!$K$3:$K$82)</f>
        <v>0</v>
      </c>
      <c r="F27" s="324">
        <f>SUMIF('Pipe Audit'!$AK$3:$AK$82,A27,'Pipe Audit'!$O$3:$O$82)</f>
        <v>0</v>
      </c>
      <c r="G27" s="324">
        <f>E27-F27</f>
        <v>0</v>
      </c>
      <c r="H27" s="324">
        <f>SUMIF('Pipe Audit'!$AK$3:$AK$82,A27,'Pipe Audit'!$AJ$3:$AJ$82)</f>
        <v>0</v>
      </c>
      <c r="I27" s="324">
        <f>SUMIFS('Pipe Audit'!$AJ$3:$AJ$82,'Pipe Audit'!$AK$3:$AK$82,A27,'Pipe Audit'!$Q$3:$Q$82,"&gt;.25")</f>
        <v>0</v>
      </c>
      <c r="J27" s="326" t="e">
        <f>I27/H27</f>
        <v>#DIV/0!</v>
      </c>
      <c r="K27" s="324">
        <f>SUMIFS('Pipe Audit'!$AJ$3:$AJ$82,'Pipe Audit'!$AK$3:$AK$82,A27,'Pipe Audit'!$U$3:$U$82,"&gt;.25")</f>
        <v>0</v>
      </c>
      <c r="L27" s="324">
        <f>H27-I27</f>
        <v>0</v>
      </c>
      <c r="M27" s="324">
        <f>SUM(H27-K27)</f>
        <v>0</v>
      </c>
      <c r="N27" s="324">
        <f>SUMIF('Pipe Audit'!$AK$3:$AK$82,A27,'Pipe Audit'!$BD$3:$BD$82)</f>
        <v>0</v>
      </c>
      <c r="O27" s="324">
        <f>SUMIF('Pipe Audit'!$AK$3:$AK$82,A27,'Pipe Audit'!$BE$3:$BE$82)</f>
        <v>0</v>
      </c>
      <c r="P27" s="324">
        <f>SUM(N27-O27)</f>
        <v>0</v>
      </c>
      <c r="Q27" s="324" t="e">
        <f>COUNTIF('[2]ISO Sign-Off 1026'!$L:$L,A27)</f>
        <v>#VALUE!</v>
      </c>
      <c r="R27" s="324" t="e">
        <f>COUNTIFS('[2]ISO Sign-Off 1026'!$L:$L,$A27,'[2]ISO Sign-Off 1026'!$N:$N,"f")</f>
        <v>#VALUE!</v>
      </c>
      <c r="S27" s="324" t="e">
        <f>COUNTIFS('[2]ISO Sign-Off 1026'!$L:$L,$A27,'[2]ISO Sign-Off 1026'!$N:$N,"q")</f>
        <v>#VALUE!</v>
      </c>
      <c r="T27" s="324" t="e">
        <f>COUNTIFS('[2]ISO Sign-Off 1026'!$L:$L,$A27,'[2]ISO Sign-Off 1026'!$N:$N,"rf")</f>
        <v>#VALUE!</v>
      </c>
      <c r="U27" s="324" t="e">
        <f>COUNTIFS('[2]ISO Sign-Off 1026'!$L:$L,$A27,'[2]ISO Sign-Off 1026'!$N:$N,"o")</f>
        <v>#VALUE!</v>
      </c>
      <c r="V27" s="324" t="e">
        <f>COUNTIFS('[2]ISO Sign-Off 1026'!$L:$L,$A27,'[2]ISO Sign-Off 1026'!$N:$N,"c")</f>
        <v>#VALUE!</v>
      </c>
      <c r="W27" s="324" t="e">
        <f>SUM(Q27-V27)</f>
        <v>#VALUE!</v>
      </c>
      <c r="X27" s="327" t="e">
        <f>SUMIFS('[3]DAY BOARD COUNT OSBL - AL'!$J$5:$J$33,'[3]DAY BOARD COUNT OSBL - AL'!$B$5:$B$33,A27)</f>
        <v>#VALUE!</v>
      </c>
      <c r="Y27" s="327" t="e">
        <f>SUMIFS('[3]DAY BOARD COUNT OSBL - AL'!$K$5:$K$33,'[3]DAY BOARD COUNT OSBL - AL'!$B$5:$B$33,A27)</f>
        <v>#VALUE!</v>
      </c>
      <c r="Z27" s="327" t="e">
        <f>SUMIFS('[3]DAY BOARD COUNT OSBL - AL'!$L$5:$L$33,'[3]DAY BOARD COUNT OSBL - AL'!$B$5:$B$33,A27)</f>
        <v>#VALUE!</v>
      </c>
      <c r="AA27" s="327" t="e">
        <f>SUMIFS('[3]DAY BOARD COUNT OSBL - AL'!$M$5:$M$33,'[3]DAY BOARD COUNT OSBL - AL'!$B$5:$B$33,A27)</f>
        <v>#VALUE!</v>
      </c>
      <c r="AB27" s="459"/>
      <c r="AC27" s="463">
        <f>SUMIF('Pipe Audit'!AK:AK,A27,'Pipe Audit'!BP:BP)</f>
        <v>0</v>
      </c>
      <c r="AD27" s="462" t="e">
        <f>P27/AC27</f>
        <v>#DIV/0!</v>
      </c>
    </row>
    <row r="28" spans="1:30" ht="21" x14ac:dyDescent="0.5">
      <c r="A28" s="328"/>
      <c r="B28" s="339"/>
      <c r="C28" s="324">
        <f>SUMIF('Pipe Audit'!$AK$2:$AK$82,A28,'Pipe Audit'!$L$2:$L$82)</f>
        <v>0</v>
      </c>
      <c r="D28" s="324">
        <f>SUMIF('Pipe Audit'!$AK$2:$AK$82,A28,'Pipe Audit'!$P$2:$P$82)</f>
        <v>0</v>
      </c>
      <c r="E28" s="325">
        <f>SUMIF('Pipe Audit'!$AK$3:$AK$82,A28,'Pipe Audit'!$K$3:$K$82)</f>
        <v>0</v>
      </c>
      <c r="F28" s="324">
        <f>SUMIF('Pipe Audit'!$AK$3:$AK$82,A28,'Pipe Audit'!$O$3:$O$82)</f>
        <v>0</v>
      </c>
      <c r="G28" s="324">
        <f>E28-F28</f>
        <v>0</v>
      </c>
      <c r="H28" s="324">
        <f>SUMIF('Pipe Audit'!$AK$3:$AK$82,A28,'Pipe Audit'!$AJ$3:$AJ$82)</f>
        <v>0</v>
      </c>
      <c r="I28" s="324">
        <f>SUMIFS('Pipe Audit'!$AJ$3:$AJ$82,'Pipe Audit'!$AK$3:$AK$82,A28,'Pipe Audit'!$Q$3:$Q$82,"&gt;.25")</f>
        <v>0</v>
      </c>
      <c r="J28" s="326" t="e">
        <f>I28/H28</f>
        <v>#DIV/0!</v>
      </c>
      <c r="K28" s="324">
        <f>SUMIFS('Pipe Audit'!$AJ$3:$AJ$82,'Pipe Audit'!$AK$3:$AK$82,A28,'Pipe Audit'!$U$3:$U$82,"&gt;.25")</f>
        <v>0</v>
      </c>
      <c r="L28" s="324">
        <f>H28-I28</f>
        <v>0</v>
      </c>
      <c r="M28" s="324">
        <f>SUM(H28-K28)</f>
        <v>0</v>
      </c>
      <c r="N28" s="324">
        <f>SUMIF('Pipe Audit'!$AK$3:$AK$82,A28,'Pipe Audit'!$BD$3:$BD$82)</f>
        <v>0</v>
      </c>
      <c r="O28" s="324">
        <f>SUMIF('Pipe Audit'!$AK$3:$AK$82,A28,'Pipe Audit'!$BE$3:$BE$82)</f>
        <v>0</v>
      </c>
      <c r="P28" s="324">
        <f>SUM(N28-O28)</f>
        <v>0</v>
      </c>
      <c r="Q28" s="324" t="e">
        <f>COUNTIF('[2]ISO Sign-Off 1026'!$L:$L,A28)</f>
        <v>#VALUE!</v>
      </c>
      <c r="R28" s="324" t="e">
        <f>COUNTIFS('[2]ISO Sign-Off 1026'!$L:$L,$A28,'[2]ISO Sign-Off 1026'!$N:$N,"f")</f>
        <v>#VALUE!</v>
      </c>
      <c r="S28" s="324" t="e">
        <f>COUNTIFS('[2]ISO Sign-Off 1026'!$L:$L,$A28,'[2]ISO Sign-Off 1026'!$N:$N,"q")</f>
        <v>#VALUE!</v>
      </c>
      <c r="T28" s="324" t="e">
        <f>COUNTIFS('[2]ISO Sign-Off 1026'!$L:$L,$A28,'[2]ISO Sign-Off 1026'!$N:$N,"rf")</f>
        <v>#VALUE!</v>
      </c>
      <c r="U28" s="324" t="e">
        <f>COUNTIFS('[2]ISO Sign-Off 1026'!$L:$L,$A28,'[2]ISO Sign-Off 1026'!$N:$N,"o")</f>
        <v>#VALUE!</v>
      </c>
      <c r="V28" s="324" t="e">
        <f>COUNTIFS('[2]ISO Sign-Off 1026'!$L:$L,$A28,'[2]ISO Sign-Off 1026'!$N:$N,"c")</f>
        <v>#VALUE!</v>
      </c>
      <c r="W28" s="324" t="e">
        <f>SUM(Q28-V28)</f>
        <v>#VALUE!</v>
      </c>
      <c r="X28" s="327" t="e">
        <f>SUMIFS('[3]DAY BOARD COUNT OSBL - AL'!$J$5:$J$33,'[3]DAY BOARD COUNT OSBL - AL'!$B$5:$B$33,A28)</f>
        <v>#VALUE!</v>
      </c>
      <c r="Y28" s="327" t="e">
        <f>SUMIFS('[3]DAY BOARD COUNT OSBL - AL'!$K$5:$K$33,'[3]DAY BOARD COUNT OSBL - AL'!$B$5:$B$33,A28)</f>
        <v>#VALUE!</v>
      </c>
      <c r="Z28" s="327" t="e">
        <f>SUMIFS('[3]DAY BOARD COUNT OSBL - AL'!$L$5:$L$33,'[3]DAY BOARD COUNT OSBL - AL'!$B$5:$B$33,A28)</f>
        <v>#VALUE!</v>
      </c>
      <c r="AA28" s="327" t="e">
        <f>SUMIFS('[3]DAY BOARD COUNT OSBL - AL'!$M$5:$M$33,'[3]DAY BOARD COUNT OSBL - AL'!$B$5:$B$33,A28)</f>
        <v>#VALUE!</v>
      </c>
      <c r="AB28" s="459"/>
      <c r="AC28" s="463">
        <f>SUMIF('Pipe Audit'!AK:AK,A28,'Pipe Audit'!BP:BP)</f>
        <v>0</v>
      </c>
      <c r="AD28" s="462" t="e">
        <f>P28/AC28</f>
        <v>#DIV/0!</v>
      </c>
    </row>
    <row r="29" spans="1:30" ht="21" x14ac:dyDescent="0.5">
      <c r="A29" s="413"/>
      <c r="B29" s="414"/>
      <c r="C29" s="415">
        <f t="shared" ref="C29:AC29" si="63">SUM(C30:C34)</f>
        <v>0</v>
      </c>
      <c r="D29" s="415">
        <f t="shared" si="63"/>
        <v>0</v>
      </c>
      <c r="E29" s="415">
        <f t="shared" si="63"/>
        <v>0</v>
      </c>
      <c r="F29" s="415">
        <f t="shared" si="63"/>
        <v>0</v>
      </c>
      <c r="G29" s="415">
        <f t="shared" si="63"/>
        <v>0</v>
      </c>
      <c r="H29" s="415">
        <f t="shared" si="63"/>
        <v>0</v>
      </c>
      <c r="I29" s="415">
        <f t="shared" si="63"/>
        <v>0</v>
      </c>
      <c r="J29" s="415" t="e">
        <f t="shared" si="63"/>
        <v>#DIV/0!</v>
      </c>
      <c r="K29" s="415">
        <f t="shared" si="63"/>
        <v>0</v>
      </c>
      <c r="L29" s="415">
        <f t="shared" si="63"/>
        <v>0</v>
      </c>
      <c r="M29" s="415">
        <f t="shared" si="63"/>
        <v>0</v>
      </c>
      <c r="N29" s="415">
        <f t="shared" si="63"/>
        <v>0</v>
      </c>
      <c r="O29" s="415">
        <f t="shared" si="63"/>
        <v>0</v>
      </c>
      <c r="P29" s="415">
        <f t="shared" si="63"/>
        <v>0</v>
      </c>
      <c r="Q29" s="415" t="e">
        <f t="shared" si="63"/>
        <v>#VALUE!</v>
      </c>
      <c r="R29" s="415" t="e">
        <f t="shared" si="63"/>
        <v>#VALUE!</v>
      </c>
      <c r="S29" s="415" t="e">
        <f t="shared" si="63"/>
        <v>#VALUE!</v>
      </c>
      <c r="T29" s="415" t="e">
        <f t="shared" si="63"/>
        <v>#VALUE!</v>
      </c>
      <c r="U29" s="415" t="e">
        <f t="shared" si="63"/>
        <v>#VALUE!</v>
      </c>
      <c r="V29" s="415" t="e">
        <f t="shared" si="63"/>
        <v>#VALUE!</v>
      </c>
      <c r="W29" s="415" t="e">
        <f t="shared" si="63"/>
        <v>#VALUE!</v>
      </c>
      <c r="X29" s="415" t="e">
        <f t="shared" si="63"/>
        <v>#VALUE!</v>
      </c>
      <c r="Y29" s="415" t="e">
        <f t="shared" si="63"/>
        <v>#VALUE!</v>
      </c>
      <c r="Z29" s="415" t="e">
        <f t="shared" si="63"/>
        <v>#VALUE!</v>
      </c>
      <c r="AA29" s="415" t="e">
        <f t="shared" si="63"/>
        <v>#VALUE!</v>
      </c>
      <c r="AB29" s="415">
        <f t="shared" si="63"/>
        <v>0</v>
      </c>
      <c r="AC29" s="415">
        <f t="shared" si="63"/>
        <v>0</v>
      </c>
      <c r="AD29" s="465" t="e">
        <f>P29/AC29</f>
        <v>#DIV/0!</v>
      </c>
    </row>
    <row r="30" spans="1:30" ht="21" x14ac:dyDescent="0.5">
      <c r="A30" s="330"/>
      <c r="B30" s="341"/>
      <c r="C30" s="324">
        <f>SUMIF('Pipe Audit'!$AK$2:$AK$82,A30,'Pipe Audit'!$L$2:$L$82)</f>
        <v>0</v>
      </c>
      <c r="D30" s="324">
        <f>SUMIF('Pipe Audit'!$AK$2:$AK$82,A30,'Pipe Audit'!$P$2:$P$82)</f>
        <v>0</v>
      </c>
      <c r="E30" s="325">
        <f>SUMIF('Pipe Audit'!$AK$3:$AK$82,A30,'Pipe Audit'!$K$3:$K$82)</f>
        <v>0</v>
      </c>
      <c r="F30" s="324">
        <f>SUMIF('Pipe Audit'!$AK$3:$AK$82,A30,'Pipe Audit'!$O$3:$O$82)</f>
        <v>0</v>
      </c>
      <c r="G30" s="324">
        <f t="shared" ref="G30:G33" si="64">E30-F30</f>
        <v>0</v>
      </c>
      <c r="H30" s="324">
        <f>SUMIF('Pipe Audit'!$AK$3:$AK$82,A30,'Pipe Audit'!$AJ$3:$AJ$82)</f>
        <v>0</v>
      </c>
      <c r="I30" s="324">
        <f>SUMIFS('Pipe Audit'!$AJ$3:$AJ$82,'Pipe Audit'!$AK$3:$AK$82,A30,'Pipe Audit'!$Q$3:$Q$82,"&gt;.25")</f>
        <v>0</v>
      </c>
      <c r="J30" s="326" t="e">
        <f t="shared" ref="J30:J33" si="65">I30/H30</f>
        <v>#DIV/0!</v>
      </c>
      <c r="K30" s="324">
        <f>SUMIFS('Pipe Audit'!$AJ$3:$AJ$82,'Pipe Audit'!$AK$3:$AK$82,A30,'Pipe Audit'!$U$3:$U$82,"&gt;.25")</f>
        <v>0</v>
      </c>
      <c r="L30" s="324">
        <f t="shared" ref="L30:L33" si="66">H30-I30</f>
        <v>0</v>
      </c>
      <c r="M30" s="324">
        <f t="shared" ref="M30:M33" si="67">SUM(H30-K30)</f>
        <v>0</v>
      </c>
      <c r="N30" s="324">
        <f>SUMIF('Pipe Audit'!$AK$3:$AK$82,A30,'Pipe Audit'!$BD$3:$BD$82)</f>
        <v>0</v>
      </c>
      <c r="O30" s="324">
        <f>SUMIF('Pipe Audit'!$AK$3:$AK$82,A30,'Pipe Audit'!$BE$3:$BE$82)</f>
        <v>0</v>
      </c>
      <c r="P30" s="324">
        <f t="shared" ref="P30:P33" si="68">SUM(N30-O30)</f>
        <v>0</v>
      </c>
      <c r="Q30" s="324" t="e">
        <f>COUNTIF('[2]ISO Sign-Off 1026'!$L:$L,A30)</f>
        <v>#VALUE!</v>
      </c>
      <c r="R30" s="324" t="e">
        <f>COUNTIFS('[2]ISO Sign-Off 1026'!$L:$L,$A30,'[2]ISO Sign-Off 1026'!$N:$N,"f")</f>
        <v>#VALUE!</v>
      </c>
      <c r="S30" s="324" t="e">
        <f>COUNTIFS('[2]ISO Sign-Off 1026'!$L:$L,$A30,'[2]ISO Sign-Off 1026'!$N:$N,"q")</f>
        <v>#VALUE!</v>
      </c>
      <c r="T30" s="324" t="e">
        <f>COUNTIFS('[2]ISO Sign-Off 1026'!$L:$L,$A30,'[2]ISO Sign-Off 1026'!$N:$N,"rf")</f>
        <v>#VALUE!</v>
      </c>
      <c r="U30" s="324" t="e">
        <f>COUNTIFS('[2]ISO Sign-Off 1026'!$L:$L,$A30,'[2]ISO Sign-Off 1026'!$N:$N,"o")</f>
        <v>#VALUE!</v>
      </c>
      <c r="V30" s="324" t="e">
        <f>COUNTIFS('[2]ISO Sign-Off 1026'!$L:$L,$A30,'[2]ISO Sign-Off 1026'!$N:$N,"c")</f>
        <v>#VALUE!</v>
      </c>
      <c r="W30" s="324" t="e">
        <f t="shared" ref="W30:W33" si="69">SUM(Q30-V30)</f>
        <v>#VALUE!</v>
      </c>
      <c r="X30" s="327" t="e">
        <f>SUMIFS('[3]DAY BOARD COUNT OSBL - AL'!$J$5:$J$33,'[3]DAY BOARD COUNT OSBL - AL'!$B$5:$B$33,A30)</f>
        <v>#VALUE!</v>
      </c>
      <c r="Y30" s="327" t="e">
        <f>SUMIFS('[3]DAY BOARD COUNT OSBL - AL'!$K$5:$K$33,'[3]DAY BOARD COUNT OSBL - AL'!$B$5:$B$33,A30)</f>
        <v>#VALUE!</v>
      </c>
      <c r="Z30" s="327" t="e">
        <f>SUMIFS('[3]DAY BOARD COUNT OSBL - AL'!$L$5:$L$33,'[3]DAY BOARD COUNT OSBL - AL'!$B$5:$B$33,A30)</f>
        <v>#VALUE!</v>
      </c>
      <c r="AA30" s="327" t="e">
        <f>SUMIFS('[3]DAY BOARD COUNT OSBL - AL'!$M$5:$M$33,'[3]DAY BOARD COUNT OSBL - AL'!$B$5:$B$33,A30)</f>
        <v>#VALUE!</v>
      </c>
      <c r="AB30" s="459"/>
      <c r="AC30" s="463">
        <f>SUMIF('Pipe Audit'!AK:AK,A30,'Pipe Audit'!BP:BP)</f>
        <v>0</v>
      </c>
      <c r="AD30" s="462" t="e">
        <f t="shared" si="19"/>
        <v>#DIV/0!</v>
      </c>
    </row>
    <row r="31" spans="1:30" ht="21" x14ac:dyDescent="0.5">
      <c r="A31" s="306"/>
      <c r="B31" s="339"/>
      <c r="C31" s="324">
        <f>SUMIF('Pipe Audit'!$AK$2:$AK$82,A31,'Pipe Audit'!$L$2:$L$82)</f>
        <v>0</v>
      </c>
      <c r="D31" s="324">
        <f>SUMIF('Pipe Audit'!$AK$2:$AK$82,A31,'Pipe Audit'!$P$2:$P$82)</f>
        <v>0</v>
      </c>
      <c r="E31" s="325">
        <f>SUMIF('Pipe Audit'!$AK$3:$AK$82,A31,'Pipe Audit'!$K$3:$K$82)</f>
        <v>0</v>
      </c>
      <c r="F31" s="324">
        <f>SUMIF('Pipe Audit'!$AK$3:$AK$82,A31,'Pipe Audit'!$O$3:$O$82)</f>
        <v>0</v>
      </c>
      <c r="G31" s="324">
        <f t="shared" ref="G31" si="70">E31-F31</f>
        <v>0</v>
      </c>
      <c r="H31" s="324">
        <f>SUMIF('Pipe Audit'!$AK$3:$AK$82,A31,'Pipe Audit'!$AJ$3:$AJ$82)</f>
        <v>0</v>
      </c>
      <c r="I31" s="324">
        <f>SUMIFS('Pipe Audit'!$AJ$3:$AJ$82,'Pipe Audit'!$AK$3:$AK$82,A31,'Pipe Audit'!$Q$3:$Q$82,"&gt;.25")</f>
        <v>0</v>
      </c>
      <c r="J31" s="326" t="e">
        <f t="shared" ref="J31" si="71">I31/H31</f>
        <v>#DIV/0!</v>
      </c>
      <c r="K31" s="324">
        <f>SUMIFS('Pipe Audit'!$AJ$3:$AJ$82,'Pipe Audit'!$AK$3:$AK$82,A31,'Pipe Audit'!$U$3:$U$82,"&gt;.25")</f>
        <v>0</v>
      </c>
      <c r="L31" s="324">
        <f t="shared" ref="L31" si="72">H31-I31</f>
        <v>0</v>
      </c>
      <c r="M31" s="324">
        <f t="shared" ref="M31" si="73">SUM(H31-K31)</f>
        <v>0</v>
      </c>
      <c r="N31" s="324">
        <f>SUMIF('Pipe Audit'!$AK$3:$AK$82,A31,'Pipe Audit'!$BD$3:$BD$82)</f>
        <v>0</v>
      </c>
      <c r="O31" s="324">
        <f>SUMIF('Pipe Audit'!$AK$3:$AK$82,A31,'Pipe Audit'!$BE$3:$BE$82)</f>
        <v>0</v>
      </c>
      <c r="P31" s="324">
        <f t="shared" ref="P31" si="74">SUM(N31-O31)</f>
        <v>0</v>
      </c>
      <c r="Q31" s="324" t="e">
        <f>COUNTIF('[2]ISO Sign-Off 1026'!$L:$L,A31)</f>
        <v>#VALUE!</v>
      </c>
      <c r="R31" s="324" t="e">
        <f>COUNTIFS('[2]ISO Sign-Off 1026'!$L:$L,$A31,'[2]ISO Sign-Off 1026'!$N:$N,"f")</f>
        <v>#VALUE!</v>
      </c>
      <c r="S31" s="324" t="e">
        <f>COUNTIFS('[2]ISO Sign-Off 1026'!$L:$L,$A31,'[2]ISO Sign-Off 1026'!$N:$N,"q")</f>
        <v>#VALUE!</v>
      </c>
      <c r="T31" s="324" t="e">
        <f>COUNTIFS('[2]ISO Sign-Off 1026'!$L:$L,$A31,'[2]ISO Sign-Off 1026'!$N:$N,"rf")</f>
        <v>#VALUE!</v>
      </c>
      <c r="U31" s="324" t="e">
        <f>COUNTIFS('[2]ISO Sign-Off 1026'!$L:$L,$A31,'[2]ISO Sign-Off 1026'!$N:$N,"o")</f>
        <v>#VALUE!</v>
      </c>
      <c r="V31" s="324" t="e">
        <f>COUNTIFS('[2]ISO Sign-Off 1026'!$L:$L,$A31,'[2]ISO Sign-Off 1026'!$N:$N,"c")</f>
        <v>#VALUE!</v>
      </c>
      <c r="W31" s="324" t="e">
        <f t="shared" ref="W31" si="75">SUM(Q31-V31)</f>
        <v>#VALUE!</v>
      </c>
      <c r="X31" s="327" t="e">
        <f>SUMIFS('[3]DAY BOARD COUNT OSBL - AL'!$J$5:$J$33,'[3]DAY BOARD COUNT OSBL - AL'!$B$5:$B$33,A31)</f>
        <v>#VALUE!</v>
      </c>
      <c r="Y31" s="327" t="e">
        <f>SUMIFS('[3]DAY BOARD COUNT OSBL - AL'!$K$5:$K$33,'[3]DAY BOARD COUNT OSBL - AL'!$B$5:$B$33,A31)</f>
        <v>#VALUE!</v>
      </c>
      <c r="Z31" s="327" t="e">
        <f>SUMIFS('[3]DAY BOARD COUNT OSBL - AL'!$L$5:$L$33,'[3]DAY BOARD COUNT OSBL - AL'!$B$5:$B$33,A31)</f>
        <v>#VALUE!</v>
      </c>
      <c r="AA31" s="327" t="e">
        <f>SUMIFS('[3]DAY BOARD COUNT OSBL - AL'!$M$5:$M$33,'[3]DAY BOARD COUNT OSBL - AL'!$B$5:$B$33,A31)</f>
        <v>#VALUE!</v>
      </c>
      <c r="AB31" s="459" t="s">
        <v>538</v>
      </c>
      <c r="AC31" s="463">
        <f>SUMIF('Pipe Audit'!AK:AK,A31,'Pipe Audit'!BP:BP)</f>
        <v>0</v>
      </c>
      <c r="AD31" s="462" t="e">
        <f t="shared" ref="AD31:AD34" si="76">P31/AC31</f>
        <v>#DIV/0!</v>
      </c>
    </row>
    <row r="32" spans="1:30" ht="21" x14ac:dyDescent="0.5">
      <c r="A32" s="306"/>
      <c r="B32" s="339"/>
      <c r="C32" s="324">
        <f>SUMIF('Pipe Audit'!$AK$2:$AK$82,A32,'Pipe Audit'!$L$2:$L$82)</f>
        <v>0</v>
      </c>
      <c r="D32" s="324">
        <f>SUMIF('Pipe Audit'!$AK$2:$AK$82,A32,'Pipe Audit'!$P$2:$P$82)</f>
        <v>0</v>
      </c>
      <c r="E32" s="325">
        <f>SUMIF('Pipe Audit'!$AK$3:$AK$82,A32,'Pipe Audit'!$K$3:$K$82)</f>
        <v>0</v>
      </c>
      <c r="F32" s="324">
        <f>SUMIF('Pipe Audit'!$AK$3:$AK$82,A32,'Pipe Audit'!$O$3:$O$82)</f>
        <v>0</v>
      </c>
      <c r="G32" s="324">
        <f t="shared" ref="G32" si="77">E32-F32</f>
        <v>0</v>
      </c>
      <c r="H32" s="324">
        <f>SUMIF('Pipe Audit'!$AK$3:$AK$82,A32,'Pipe Audit'!$AJ$3:$AJ$82)</f>
        <v>0</v>
      </c>
      <c r="I32" s="324">
        <f>SUMIFS('Pipe Audit'!$AJ$3:$AJ$82,'Pipe Audit'!$AK$3:$AK$82,A32,'Pipe Audit'!$Q$3:$Q$82,"&gt;.25")</f>
        <v>0</v>
      </c>
      <c r="J32" s="326" t="e">
        <f t="shared" ref="J32" si="78">I32/H32</f>
        <v>#DIV/0!</v>
      </c>
      <c r="K32" s="324">
        <f>SUMIFS('Pipe Audit'!$AJ$3:$AJ$82,'Pipe Audit'!$AK$3:$AK$82,A32,'Pipe Audit'!$U$3:$U$82,"&gt;.25")</f>
        <v>0</v>
      </c>
      <c r="L32" s="324">
        <f t="shared" ref="L32" si="79">H32-I32</f>
        <v>0</v>
      </c>
      <c r="M32" s="324">
        <f t="shared" ref="M32" si="80">SUM(H32-K32)</f>
        <v>0</v>
      </c>
      <c r="N32" s="324">
        <f>SUMIF('Pipe Audit'!$AK$3:$AK$82,A32,'Pipe Audit'!$BD$3:$BD$82)</f>
        <v>0</v>
      </c>
      <c r="O32" s="324">
        <f>SUMIF('Pipe Audit'!$AK$3:$AK$82,A32,'Pipe Audit'!$BE$3:$BE$82)</f>
        <v>0</v>
      </c>
      <c r="P32" s="324">
        <f t="shared" ref="P32" si="81">SUM(N32-O32)</f>
        <v>0</v>
      </c>
      <c r="Q32" s="324" t="e">
        <f>COUNTIF('[2]ISO Sign-Off 1026'!$L:$L,A32)</f>
        <v>#VALUE!</v>
      </c>
      <c r="R32" s="324" t="e">
        <f>COUNTIFS('[2]ISO Sign-Off 1026'!$L:$L,$A32,'[2]ISO Sign-Off 1026'!$N:$N,"f")</f>
        <v>#VALUE!</v>
      </c>
      <c r="S32" s="324" t="e">
        <f>COUNTIFS('[2]ISO Sign-Off 1026'!$L:$L,$A32,'[2]ISO Sign-Off 1026'!$N:$N,"q")</f>
        <v>#VALUE!</v>
      </c>
      <c r="T32" s="324" t="e">
        <f>COUNTIFS('[2]ISO Sign-Off 1026'!$L:$L,$A32,'[2]ISO Sign-Off 1026'!$N:$N,"rf")</f>
        <v>#VALUE!</v>
      </c>
      <c r="U32" s="324" t="e">
        <f>COUNTIFS('[2]ISO Sign-Off 1026'!$L:$L,$A32,'[2]ISO Sign-Off 1026'!$N:$N,"o")</f>
        <v>#VALUE!</v>
      </c>
      <c r="V32" s="324" t="e">
        <f>COUNTIFS('[2]ISO Sign-Off 1026'!$L:$L,$A32,'[2]ISO Sign-Off 1026'!$N:$N,"c")</f>
        <v>#VALUE!</v>
      </c>
      <c r="W32" s="324" t="e">
        <f t="shared" ref="W32" si="82">SUM(Q32-V32)</f>
        <v>#VALUE!</v>
      </c>
      <c r="X32" s="327" t="e">
        <f>SUMIFS('[3]DAY BOARD COUNT OSBL - AL'!$J$5:$J$33,'[3]DAY BOARD COUNT OSBL - AL'!$B$5:$B$33,A32)</f>
        <v>#VALUE!</v>
      </c>
      <c r="Y32" s="327" t="e">
        <f>SUMIFS('[3]DAY BOARD COUNT OSBL - AL'!$K$5:$K$33,'[3]DAY BOARD COUNT OSBL - AL'!$B$5:$B$33,A32)</f>
        <v>#VALUE!</v>
      </c>
      <c r="Z32" s="327" t="e">
        <f>SUMIFS('[3]DAY BOARD COUNT OSBL - AL'!$L$5:$L$33,'[3]DAY BOARD COUNT OSBL - AL'!$B$5:$B$33,A32)</f>
        <v>#VALUE!</v>
      </c>
      <c r="AA32" s="327" t="e">
        <f>SUMIFS('[3]DAY BOARD COUNT OSBL - AL'!$M$5:$M$33,'[3]DAY BOARD COUNT OSBL - AL'!$B$5:$B$33,A32)</f>
        <v>#VALUE!</v>
      </c>
      <c r="AB32" s="459"/>
      <c r="AC32" s="463">
        <f>SUMIF('Pipe Audit'!AK:AK,A32,'Pipe Audit'!BP:BP)</f>
        <v>0</v>
      </c>
      <c r="AD32" s="462" t="e">
        <f t="shared" si="76"/>
        <v>#DIV/0!</v>
      </c>
    </row>
    <row r="33" spans="1:30" ht="21" x14ac:dyDescent="0.5">
      <c r="A33" s="330"/>
      <c r="B33" s="341"/>
      <c r="C33" s="324">
        <f>SUMIF('Pipe Audit'!$AK$2:$AK$82,A33,'Pipe Audit'!$L$2:$L$82)</f>
        <v>0</v>
      </c>
      <c r="D33" s="324">
        <f>SUMIF('Pipe Audit'!$AK$2:$AK$82,A33,'Pipe Audit'!$P$2:$P$82)</f>
        <v>0</v>
      </c>
      <c r="E33" s="325">
        <f>SUMIF('Pipe Audit'!$AK$3:$AK$82,A33,'Pipe Audit'!$K$3:$K$82)</f>
        <v>0</v>
      </c>
      <c r="F33" s="324">
        <f>SUMIF('Pipe Audit'!$AK$3:$AK$82,A33,'Pipe Audit'!$O$3:$O$82)</f>
        <v>0</v>
      </c>
      <c r="G33" s="324">
        <f t="shared" si="64"/>
        <v>0</v>
      </c>
      <c r="H33" s="324">
        <f>SUMIF('Pipe Audit'!$AK$3:$AK$82,A33,'Pipe Audit'!$AJ$3:$AJ$82)</f>
        <v>0</v>
      </c>
      <c r="I33" s="324">
        <f>SUMIFS('Pipe Audit'!$AJ$3:$AJ$82,'Pipe Audit'!$AK$3:$AK$82,A33,'Pipe Audit'!$Q$3:$Q$82,"&gt;.25")</f>
        <v>0</v>
      </c>
      <c r="J33" s="326" t="e">
        <f t="shared" si="65"/>
        <v>#DIV/0!</v>
      </c>
      <c r="K33" s="324">
        <f>SUMIFS('Pipe Audit'!$AJ$3:$AJ$82,'Pipe Audit'!$AK$3:$AK$82,A33,'Pipe Audit'!$U$3:$U$82,"&gt;.25")</f>
        <v>0</v>
      </c>
      <c r="L33" s="324">
        <f t="shared" si="66"/>
        <v>0</v>
      </c>
      <c r="M33" s="324">
        <f t="shared" si="67"/>
        <v>0</v>
      </c>
      <c r="N33" s="324">
        <f>SUMIF('Pipe Audit'!$AK$3:$AK$82,A33,'Pipe Audit'!$BD$3:$BD$82)</f>
        <v>0</v>
      </c>
      <c r="O33" s="324">
        <f>SUMIF('Pipe Audit'!$AK$3:$AK$82,A33,'Pipe Audit'!$BE$3:$BE$82)</f>
        <v>0</v>
      </c>
      <c r="P33" s="324">
        <f t="shared" si="68"/>
        <v>0</v>
      </c>
      <c r="Q33" s="324" t="e">
        <f>COUNTIF('[2]ISO Sign-Off 1026'!$L:$L,A33)</f>
        <v>#VALUE!</v>
      </c>
      <c r="R33" s="324" t="e">
        <f>COUNTIFS('[2]ISO Sign-Off 1026'!$L:$L,$A33,'[2]ISO Sign-Off 1026'!$N:$N,"f")</f>
        <v>#VALUE!</v>
      </c>
      <c r="S33" s="324" t="e">
        <f>COUNTIFS('[2]ISO Sign-Off 1026'!$L:$L,$A33,'[2]ISO Sign-Off 1026'!$N:$N,"q")</f>
        <v>#VALUE!</v>
      </c>
      <c r="T33" s="324" t="e">
        <f>COUNTIFS('[2]ISO Sign-Off 1026'!$L:$L,$A33,'[2]ISO Sign-Off 1026'!$N:$N,"rf")</f>
        <v>#VALUE!</v>
      </c>
      <c r="U33" s="324" t="e">
        <f>COUNTIFS('[2]ISO Sign-Off 1026'!$L:$L,$A33,'[2]ISO Sign-Off 1026'!$N:$N,"o")</f>
        <v>#VALUE!</v>
      </c>
      <c r="V33" s="324" t="e">
        <f>COUNTIFS('[2]ISO Sign-Off 1026'!$L:$L,$A33,'[2]ISO Sign-Off 1026'!$N:$N,"c")</f>
        <v>#VALUE!</v>
      </c>
      <c r="W33" s="324" t="e">
        <f t="shared" si="69"/>
        <v>#VALUE!</v>
      </c>
      <c r="X33" s="327" t="e">
        <f>SUMIFS('[3]DAY BOARD COUNT OSBL - AL'!$J$5:$J$33,'[3]DAY BOARD COUNT OSBL - AL'!$B$5:$B$33,A33)</f>
        <v>#VALUE!</v>
      </c>
      <c r="Y33" s="327" t="e">
        <f>SUMIFS('[3]DAY BOARD COUNT OSBL - AL'!$K$5:$K$33,'[3]DAY BOARD COUNT OSBL - AL'!$B$5:$B$33,A33)</f>
        <v>#VALUE!</v>
      </c>
      <c r="Z33" s="327" t="e">
        <f>SUMIFS('[3]DAY BOARD COUNT OSBL - AL'!$L$5:$L$33,'[3]DAY BOARD COUNT OSBL - AL'!$B$5:$B$33,A33)</f>
        <v>#VALUE!</v>
      </c>
      <c r="AA33" s="327" t="e">
        <f>SUMIFS('[3]DAY BOARD COUNT OSBL - AL'!$M$5:$M$33,'[3]DAY BOARD COUNT OSBL - AL'!$B$5:$B$33,A33)</f>
        <v>#VALUE!</v>
      </c>
      <c r="AB33" s="459"/>
      <c r="AC33" s="463">
        <f>SUMIF('Pipe Audit'!AK:AK,A33,'Pipe Audit'!BP:BP)</f>
        <v>0</v>
      </c>
      <c r="AD33" s="462" t="e">
        <f t="shared" si="76"/>
        <v>#DIV/0!</v>
      </c>
    </row>
    <row r="34" spans="1:30" ht="21" x14ac:dyDescent="0.5">
      <c r="A34" s="330"/>
      <c r="B34" s="341"/>
      <c r="C34" s="324">
        <f>SUMIF('Pipe Audit'!$AK$2:$AK$82,A34,'Pipe Audit'!$L$2:$L$82)</f>
        <v>0</v>
      </c>
      <c r="D34" s="324">
        <f>SUMIF('Pipe Audit'!$AK$2:$AK$82,A34,'Pipe Audit'!$P$2:$P$82)</f>
        <v>0</v>
      </c>
      <c r="E34" s="325">
        <f>SUMIF('Pipe Audit'!$AK$3:$AK$82,A34,'Pipe Audit'!$K$3:$K$82)</f>
        <v>0</v>
      </c>
      <c r="F34" s="324">
        <f>SUMIF('Pipe Audit'!$AK$3:$AK$82,A34,'Pipe Audit'!$O$3:$O$82)</f>
        <v>0</v>
      </c>
      <c r="G34" s="324">
        <f t="shared" ref="G34" si="83">E34-F34</f>
        <v>0</v>
      </c>
      <c r="H34" s="324">
        <f>SUMIF('Pipe Audit'!$AK$3:$AK$82,A34,'Pipe Audit'!$AJ$3:$AJ$82)</f>
        <v>0</v>
      </c>
      <c r="I34" s="324">
        <f>SUMIFS('Pipe Audit'!$AJ$3:$AJ$82,'Pipe Audit'!$AK$3:$AK$82,A34,'Pipe Audit'!$Q$3:$Q$82,"&gt;.25")</f>
        <v>0</v>
      </c>
      <c r="J34" s="326" t="e">
        <f t="shared" ref="J34" si="84">I34/H34</f>
        <v>#DIV/0!</v>
      </c>
      <c r="K34" s="324">
        <f>SUMIFS('Pipe Audit'!$AJ$3:$AJ$82,'Pipe Audit'!$AK$3:$AK$82,A34,'Pipe Audit'!$U$3:$U$82,"&gt;.25")</f>
        <v>0</v>
      </c>
      <c r="L34" s="324">
        <f t="shared" ref="L34" si="85">H34-I34</f>
        <v>0</v>
      </c>
      <c r="M34" s="324">
        <f t="shared" ref="M34" si="86">SUM(H34-K34)</f>
        <v>0</v>
      </c>
      <c r="N34" s="324">
        <f>SUMIF('Pipe Audit'!$AK$3:$AK$82,A34,'Pipe Audit'!$BD$3:$BD$82)</f>
        <v>0</v>
      </c>
      <c r="O34" s="324">
        <f>SUMIF('Pipe Audit'!$AK$3:$AK$82,A34,'Pipe Audit'!$BE$3:$BE$82)</f>
        <v>0</v>
      </c>
      <c r="P34" s="324">
        <f t="shared" ref="P34" si="87">SUM(N34-O34)</f>
        <v>0</v>
      </c>
      <c r="Q34" s="324" t="e">
        <f>COUNTIF('[2]ISO Sign-Off 1026'!$L:$L,A34)</f>
        <v>#VALUE!</v>
      </c>
      <c r="R34" s="324" t="e">
        <f>COUNTIFS('[2]ISO Sign-Off 1026'!$L:$L,$A34,'[2]ISO Sign-Off 1026'!$N:$N,"f")</f>
        <v>#VALUE!</v>
      </c>
      <c r="S34" s="324" t="e">
        <f>COUNTIFS('[2]ISO Sign-Off 1026'!$L:$L,$A34,'[2]ISO Sign-Off 1026'!$N:$N,"q")</f>
        <v>#VALUE!</v>
      </c>
      <c r="T34" s="324" t="e">
        <f>COUNTIFS('[2]ISO Sign-Off 1026'!$L:$L,$A34,'[2]ISO Sign-Off 1026'!$N:$N,"rf")</f>
        <v>#VALUE!</v>
      </c>
      <c r="U34" s="324" t="e">
        <f>COUNTIFS('[2]ISO Sign-Off 1026'!$L:$L,$A34,'[2]ISO Sign-Off 1026'!$N:$N,"o")</f>
        <v>#VALUE!</v>
      </c>
      <c r="V34" s="324" t="e">
        <f>COUNTIFS('[2]ISO Sign-Off 1026'!$L:$L,$A34,'[2]ISO Sign-Off 1026'!$N:$N,"c")</f>
        <v>#VALUE!</v>
      </c>
      <c r="W34" s="324" t="e">
        <f t="shared" ref="W34" si="88">SUM(Q34-V34)</f>
        <v>#VALUE!</v>
      </c>
      <c r="X34" s="327" t="e">
        <f>SUMIFS('[3]DAY BOARD COUNT OSBL - AL'!$J$5:$J$33,'[3]DAY BOARD COUNT OSBL - AL'!$B$5:$B$33,A34)</f>
        <v>#VALUE!</v>
      </c>
      <c r="Y34" s="327" t="e">
        <f>SUMIFS('[3]DAY BOARD COUNT OSBL - AL'!$K$5:$K$33,'[3]DAY BOARD COUNT OSBL - AL'!$B$5:$B$33,A34)</f>
        <v>#VALUE!</v>
      </c>
      <c r="Z34" s="327" t="e">
        <f>SUMIFS('[3]DAY BOARD COUNT OSBL - AL'!$L$5:$L$33,'[3]DAY BOARD COUNT OSBL - AL'!$B$5:$B$33,A34)</f>
        <v>#VALUE!</v>
      </c>
      <c r="AA34" s="327" t="e">
        <f>SUMIFS('[3]DAY BOARD COUNT OSBL - AL'!$M$5:$M$33,'[3]DAY BOARD COUNT OSBL - AL'!$B$5:$B$33,A34)</f>
        <v>#VALUE!</v>
      </c>
      <c r="AB34" s="459"/>
      <c r="AC34" s="463">
        <f>SUMIF('Pipe Audit'!AK:AK,A34,'Pipe Audit'!BP:BP)</f>
        <v>0</v>
      </c>
      <c r="AD34" s="462" t="e">
        <f t="shared" si="76"/>
        <v>#DIV/0!</v>
      </c>
    </row>
    <row r="35" spans="1:30" ht="21" x14ac:dyDescent="0.5">
      <c r="A35" s="329"/>
      <c r="B35" s="340"/>
      <c r="C35" s="337">
        <f>SUM(C37+C40+C44)</f>
        <v>0</v>
      </c>
      <c r="D35" s="337">
        <f t="shared" ref="D35:AA35" si="89">SUM(D37+D40+D44)</f>
        <v>0</v>
      </c>
      <c r="E35" s="337">
        <f t="shared" si="89"/>
        <v>0</v>
      </c>
      <c r="F35" s="337">
        <f t="shared" si="89"/>
        <v>0</v>
      </c>
      <c r="G35" s="337">
        <f t="shared" si="89"/>
        <v>0</v>
      </c>
      <c r="H35" s="337">
        <f t="shared" si="89"/>
        <v>0</v>
      </c>
      <c r="I35" s="337">
        <f t="shared" si="89"/>
        <v>0</v>
      </c>
      <c r="J35" s="337" t="e">
        <f t="shared" si="89"/>
        <v>#DIV/0!</v>
      </c>
      <c r="K35" s="337">
        <f t="shared" si="89"/>
        <v>0</v>
      </c>
      <c r="L35" s="337">
        <f t="shared" si="89"/>
        <v>0</v>
      </c>
      <c r="M35" s="337">
        <f t="shared" si="89"/>
        <v>0</v>
      </c>
      <c r="N35" s="337">
        <f t="shared" si="89"/>
        <v>0</v>
      </c>
      <c r="O35" s="337">
        <f t="shared" si="89"/>
        <v>0</v>
      </c>
      <c r="P35" s="337">
        <f t="shared" si="89"/>
        <v>0</v>
      </c>
      <c r="Q35" s="337" t="e">
        <f t="shared" si="89"/>
        <v>#VALUE!</v>
      </c>
      <c r="R35" s="337" t="e">
        <f t="shared" si="89"/>
        <v>#VALUE!</v>
      </c>
      <c r="S35" s="337" t="e">
        <f t="shared" si="89"/>
        <v>#VALUE!</v>
      </c>
      <c r="T35" s="337" t="e">
        <f t="shared" si="89"/>
        <v>#VALUE!</v>
      </c>
      <c r="U35" s="337" t="e">
        <f t="shared" si="89"/>
        <v>#VALUE!</v>
      </c>
      <c r="V35" s="337" t="e">
        <f t="shared" si="89"/>
        <v>#VALUE!</v>
      </c>
      <c r="W35" s="337" t="e">
        <f t="shared" si="89"/>
        <v>#VALUE!</v>
      </c>
      <c r="X35" s="337" t="e">
        <f t="shared" si="89"/>
        <v>#VALUE!</v>
      </c>
      <c r="Y35" s="337" t="e">
        <f t="shared" si="89"/>
        <v>#VALUE!</v>
      </c>
      <c r="Z35" s="337" t="e">
        <f t="shared" si="89"/>
        <v>#VALUE!</v>
      </c>
      <c r="AA35" s="337" t="e">
        <f t="shared" si="89"/>
        <v>#VALUE!</v>
      </c>
      <c r="AB35" s="337"/>
      <c r="AC35" s="337">
        <f>SUM(AC37+AC40+AC44)</f>
        <v>0</v>
      </c>
      <c r="AD35" s="337" t="e">
        <f>SUM(AD37+AD40+AD44)</f>
        <v>#DIV/0!</v>
      </c>
    </row>
    <row r="36" spans="1:30" ht="21" x14ac:dyDescent="0.5">
      <c r="A36" s="306"/>
      <c r="B36" s="339"/>
      <c r="C36" s="324">
        <f>SUMIF('Pipe Audit'!$AK$2:$AK$82,A36,'Pipe Audit'!$L$2:$L$82)</f>
        <v>0</v>
      </c>
      <c r="D36" s="324">
        <f>SUMIF('Pipe Audit'!$AK$2:$AK$82,A36,'Pipe Audit'!$P$2:$P$82)</f>
        <v>0</v>
      </c>
      <c r="E36" s="325">
        <f>SUMIF('Pipe Audit'!$AK$3:$AK$82,A36,'Pipe Audit'!$K$3:$K$82)</f>
        <v>0</v>
      </c>
      <c r="F36" s="324">
        <f>SUMIF('Pipe Audit'!$AK$3:$AK$82,A36,'Pipe Audit'!$O$3:$O$82)</f>
        <v>0</v>
      </c>
      <c r="G36" s="324">
        <f t="shared" ref="G36" si="90">E36-F36</f>
        <v>0</v>
      </c>
      <c r="H36" s="324">
        <f>SUMIF('Pipe Audit'!$AK$3:$AK$82,A36,'Pipe Audit'!$AJ$3:$AJ$82)</f>
        <v>0</v>
      </c>
      <c r="I36" s="324">
        <f>SUMIFS('Pipe Audit'!$AJ$3:$AJ$82,'Pipe Audit'!$AK$3:$AK$82,A36,'Pipe Audit'!$Q$3:$Q$82,"&gt;.25")</f>
        <v>0</v>
      </c>
      <c r="J36" s="326" t="e">
        <f t="shared" ref="J36" si="91">I36/H36</f>
        <v>#DIV/0!</v>
      </c>
      <c r="K36" s="324">
        <f>SUMIFS('Pipe Audit'!$AJ$3:$AJ$82,'Pipe Audit'!$AK$3:$AK$82,A36,'Pipe Audit'!$U$3:$U$82,"&gt;.25")</f>
        <v>0</v>
      </c>
      <c r="L36" s="324">
        <f>H36-I36</f>
        <v>0</v>
      </c>
      <c r="M36" s="324">
        <f t="shared" ref="M36" si="92">SUM(H36-K36)</f>
        <v>0</v>
      </c>
      <c r="N36" s="324">
        <f>SUMIF('Pipe Audit'!$AK$3:$AK$82,A36,'Pipe Audit'!$BD$3:$BD$82)</f>
        <v>0</v>
      </c>
      <c r="O36" s="324">
        <f>SUMIF('Pipe Audit'!$AK$3:$AK$82,A36,'Pipe Audit'!$BE$3:$BE$82)</f>
        <v>0</v>
      </c>
      <c r="P36" s="324">
        <f t="shared" ref="P36" si="93">SUM(N36-O36)</f>
        <v>0</v>
      </c>
      <c r="Q36" s="324" t="e">
        <f>COUNTIF('[2]ISO Sign-Off 1026'!$L:$L,A36)</f>
        <v>#VALUE!</v>
      </c>
      <c r="R36" s="324" t="e">
        <f>COUNTIFS('[2]ISO Sign-Off 1026'!$L:$L,$A36,'[2]ISO Sign-Off 1026'!$N:$N,"f")</f>
        <v>#VALUE!</v>
      </c>
      <c r="S36" s="324" t="e">
        <f>COUNTIFS('[2]ISO Sign-Off 1026'!$L:$L,$A36,'[2]ISO Sign-Off 1026'!$N:$N,"q")</f>
        <v>#VALUE!</v>
      </c>
      <c r="T36" s="324" t="e">
        <f>COUNTIFS('[2]ISO Sign-Off 1026'!$L:$L,$A36,'[2]ISO Sign-Off 1026'!$N:$N,"rf")</f>
        <v>#VALUE!</v>
      </c>
      <c r="U36" s="324" t="e">
        <f>COUNTIFS('[2]ISO Sign-Off 1026'!$L:$L,$A36,'[2]ISO Sign-Off 1026'!$N:$N,"o")</f>
        <v>#VALUE!</v>
      </c>
      <c r="V36" s="324" t="e">
        <f>COUNTIFS('[2]ISO Sign-Off 1026'!$L:$L,$A36,'[2]ISO Sign-Off 1026'!$N:$N,"c")</f>
        <v>#VALUE!</v>
      </c>
      <c r="W36" s="324" t="e">
        <f t="shared" ref="W36" si="94">SUM(Q36-V36)</f>
        <v>#VALUE!</v>
      </c>
      <c r="X36" s="327" t="e">
        <f>SUMIFS('[3]DAY BOARD COUNT OSBL - AL'!$J$5:$J$33,'[3]DAY BOARD COUNT OSBL - AL'!$B$5:$B$33,A36)</f>
        <v>#VALUE!</v>
      </c>
      <c r="Y36" s="327" t="e">
        <f>SUMIFS('[3]DAY BOARD COUNT OSBL - AL'!$K$5:$K$33,'[3]DAY BOARD COUNT OSBL - AL'!$B$5:$B$33,A36)</f>
        <v>#VALUE!</v>
      </c>
      <c r="Z36" s="327" t="e">
        <f>SUMIFS('[3]DAY BOARD COUNT OSBL - AL'!$L$5:$L$33,'[3]DAY BOARD COUNT OSBL - AL'!$B$5:$B$33,A36)</f>
        <v>#VALUE!</v>
      </c>
      <c r="AA36" s="327" t="e">
        <f>SUMIFS('[3]DAY BOARD COUNT OSBL - AL'!$M$5:$M$33,'[3]DAY BOARD COUNT OSBL - AL'!$B$5:$B$33,A36)</f>
        <v>#VALUE!</v>
      </c>
      <c r="AB36" s="459" t="s">
        <v>531</v>
      </c>
      <c r="AC36" s="463"/>
      <c r="AD36" s="462"/>
    </row>
    <row r="37" spans="1:30" ht="21" x14ac:dyDescent="0.5">
      <c r="A37" s="455"/>
      <c r="B37" s="393"/>
      <c r="C37" s="394">
        <f t="shared" ref="C37:AB37" si="95">SUM(C38:C39)</f>
        <v>0</v>
      </c>
      <c r="D37" s="394">
        <f t="shared" si="95"/>
        <v>0</v>
      </c>
      <c r="E37" s="394">
        <f t="shared" si="95"/>
        <v>0</v>
      </c>
      <c r="F37" s="394">
        <f t="shared" si="95"/>
        <v>0</v>
      </c>
      <c r="G37" s="394">
        <f t="shared" si="95"/>
        <v>0</v>
      </c>
      <c r="H37" s="394">
        <f t="shared" si="95"/>
        <v>0</v>
      </c>
      <c r="I37" s="394">
        <f t="shared" si="95"/>
        <v>0</v>
      </c>
      <c r="J37" s="394" t="e">
        <f t="shared" si="95"/>
        <v>#DIV/0!</v>
      </c>
      <c r="K37" s="394">
        <f t="shared" si="95"/>
        <v>0</v>
      </c>
      <c r="L37" s="394">
        <f t="shared" si="95"/>
        <v>0</v>
      </c>
      <c r="M37" s="394">
        <f t="shared" si="95"/>
        <v>0</v>
      </c>
      <c r="N37" s="394">
        <f t="shared" si="95"/>
        <v>0</v>
      </c>
      <c r="O37" s="394">
        <f t="shared" si="95"/>
        <v>0</v>
      </c>
      <c r="P37" s="394">
        <f t="shared" si="95"/>
        <v>0</v>
      </c>
      <c r="Q37" s="394" t="e">
        <f t="shared" si="95"/>
        <v>#VALUE!</v>
      </c>
      <c r="R37" s="394" t="e">
        <f t="shared" si="95"/>
        <v>#VALUE!</v>
      </c>
      <c r="S37" s="394" t="e">
        <f t="shared" si="95"/>
        <v>#VALUE!</v>
      </c>
      <c r="T37" s="394" t="e">
        <f t="shared" si="95"/>
        <v>#VALUE!</v>
      </c>
      <c r="U37" s="394" t="e">
        <f t="shared" si="95"/>
        <v>#VALUE!</v>
      </c>
      <c r="V37" s="394" t="e">
        <f t="shared" si="95"/>
        <v>#VALUE!</v>
      </c>
      <c r="W37" s="394" t="e">
        <f t="shared" si="95"/>
        <v>#VALUE!</v>
      </c>
      <c r="X37" s="394" t="e">
        <f t="shared" si="95"/>
        <v>#VALUE!</v>
      </c>
      <c r="Y37" s="394" t="e">
        <f t="shared" si="95"/>
        <v>#VALUE!</v>
      </c>
      <c r="Z37" s="394" t="e">
        <f t="shared" si="95"/>
        <v>#VALUE!</v>
      </c>
      <c r="AA37" s="394" t="e">
        <f t="shared" si="95"/>
        <v>#VALUE!</v>
      </c>
      <c r="AB37" s="394">
        <f t="shared" si="95"/>
        <v>0</v>
      </c>
      <c r="AC37" s="394">
        <f>SUM(AC38:AC39)</f>
        <v>0</v>
      </c>
      <c r="AD37" s="465" t="e">
        <f>P37/AC37</f>
        <v>#DIV/0!</v>
      </c>
    </row>
    <row r="38" spans="1:30" ht="21" x14ac:dyDescent="0.5">
      <c r="A38" s="306"/>
      <c r="B38" s="339"/>
      <c r="C38" s="324">
        <f>SUMIF('Pipe Audit'!$AK$2:$AK$82,A38,'Pipe Audit'!$L$2:$L$82)</f>
        <v>0</v>
      </c>
      <c r="D38" s="324">
        <f>SUMIF('Pipe Audit'!$AK$2:$AK$82,A38,'Pipe Audit'!$P$2:$P$82)</f>
        <v>0</v>
      </c>
      <c r="E38" s="325">
        <f>SUMIF('Pipe Audit'!$AK$3:$AK$82,A38,'Pipe Audit'!$K$3:$K$82)</f>
        <v>0</v>
      </c>
      <c r="F38" s="324">
        <f>SUMIF('Pipe Audit'!$AK$3:$AK$82,A38,'Pipe Audit'!$O$3:$O$82)</f>
        <v>0</v>
      </c>
      <c r="G38" s="324">
        <f>E38-F38</f>
        <v>0</v>
      </c>
      <c r="H38" s="324">
        <f>SUMIF('Pipe Audit'!$AK$3:$AK$82,A38,'Pipe Audit'!$AJ$3:$AJ$82)</f>
        <v>0</v>
      </c>
      <c r="I38" s="324">
        <f>SUMIFS('Pipe Audit'!$AJ$3:$AJ$82,'Pipe Audit'!$AK$3:$AK$82,A38,'Pipe Audit'!$Q$3:$Q$82,"&gt;.25")</f>
        <v>0</v>
      </c>
      <c r="J38" s="326" t="e">
        <f>I38/H38</f>
        <v>#DIV/0!</v>
      </c>
      <c r="K38" s="324">
        <f>SUMIFS('Pipe Audit'!$AJ$3:$AJ$82,'Pipe Audit'!$AK$3:$AK$82,A38,'Pipe Audit'!$U$3:$U$82,"&gt;.25")</f>
        <v>0</v>
      </c>
      <c r="L38" s="324">
        <f>H38-I38</f>
        <v>0</v>
      </c>
      <c r="M38" s="324">
        <f>SUM(H38-K38)</f>
        <v>0</v>
      </c>
      <c r="N38" s="324">
        <f>SUMIF('Pipe Audit'!$AK$3:$AK$82,A38,'Pipe Audit'!$BD$3:$BD$82)</f>
        <v>0</v>
      </c>
      <c r="O38" s="324">
        <f>SUMIF('Pipe Audit'!$AK$3:$AK$82,A38,'Pipe Audit'!$BE$3:$BE$82)</f>
        <v>0</v>
      </c>
      <c r="P38" s="324">
        <f>SUM(N38-O38)</f>
        <v>0</v>
      </c>
      <c r="Q38" s="324" t="e">
        <f>COUNTIF('[2]ISO Sign-Off 1026'!$L:$L,A38)</f>
        <v>#VALUE!</v>
      </c>
      <c r="R38" s="324" t="e">
        <f>COUNTIFS('[2]ISO Sign-Off 1026'!$L:$L,$A38,'[2]ISO Sign-Off 1026'!$N:$N,"f")</f>
        <v>#VALUE!</v>
      </c>
      <c r="S38" s="324" t="e">
        <f>COUNTIFS('[2]ISO Sign-Off 1026'!$L:$L,$A38,'[2]ISO Sign-Off 1026'!$N:$N,"q")</f>
        <v>#VALUE!</v>
      </c>
      <c r="T38" s="324" t="e">
        <f>COUNTIFS('[2]ISO Sign-Off 1026'!$L:$L,$A38,'[2]ISO Sign-Off 1026'!$N:$N,"rf")</f>
        <v>#VALUE!</v>
      </c>
      <c r="U38" s="324" t="e">
        <f>COUNTIFS('[2]ISO Sign-Off 1026'!$L:$L,$A38,'[2]ISO Sign-Off 1026'!$N:$N,"o")</f>
        <v>#VALUE!</v>
      </c>
      <c r="V38" s="324" t="e">
        <f>COUNTIFS('[2]ISO Sign-Off 1026'!$L:$L,$A38,'[2]ISO Sign-Off 1026'!$N:$N,"c")</f>
        <v>#VALUE!</v>
      </c>
      <c r="W38" s="324" t="e">
        <f>SUM(Q38-V38)</f>
        <v>#VALUE!</v>
      </c>
      <c r="X38" s="327" t="e">
        <f>SUMIFS('[3]DAY BOARD COUNT OSBL - AL'!$J$5:$J$33,'[3]DAY BOARD COUNT OSBL - AL'!$B$5:$B$33,A38)</f>
        <v>#VALUE!</v>
      </c>
      <c r="Y38" s="327" t="e">
        <f>SUMIFS('[3]DAY BOARD COUNT OSBL - AL'!$K$5:$K$33,'[3]DAY BOARD COUNT OSBL - AL'!$B$5:$B$33,A38)</f>
        <v>#VALUE!</v>
      </c>
      <c r="Z38" s="327" t="e">
        <f>SUMIFS('[3]DAY BOARD COUNT OSBL - AL'!$L$5:$L$33,'[3]DAY BOARD COUNT OSBL - AL'!$B$5:$B$33,A38)</f>
        <v>#VALUE!</v>
      </c>
      <c r="AA38" s="327" t="e">
        <f>SUMIFS('[3]DAY BOARD COUNT OSBL - AL'!$M$5:$M$33,'[3]DAY BOARD COUNT OSBL - AL'!$B$5:$B$33,A38)</f>
        <v>#VALUE!</v>
      </c>
      <c r="AB38" s="459"/>
      <c r="AC38" s="463">
        <f>SUMIF('Pipe Audit'!AK:AK,A38,'Pipe Audit'!BP:BP)</f>
        <v>0</v>
      </c>
      <c r="AD38" s="462" t="e">
        <f t="shared" ref="AD38:AD41" si="96">P38/AC38</f>
        <v>#DIV/0!</v>
      </c>
    </row>
    <row r="39" spans="1:30" ht="21" x14ac:dyDescent="0.5">
      <c r="A39" s="306"/>
      <c r="B39" s="339"/>
      <c r="C39" s="324">
        <f>SUMIF('Pipe Audit'!$AK$2:$AK$82,A39,'Pipe Audit'!$L$2:$L$82)</f>
        <v>0</v>
      </c>
      <c r="D39" s="324">
        <f>SUMIF('Pipe Audit'!$AK$2:$AK$82,A39,'Pipe Audit'!$P$2:$P$82)</f>
        <v>0</v>
      </c>
      <c r="E39" s="325">
        <f>SUMIF('Pipe Audit'!$AK$3:$AK$82,A39,'Pipe Audit'!$K$3:$K$82)</f>
        <v>0</v>
      </c>
      <c r="F39" s="324">
        <f>SUMIF('Pipe Audit'!$AK$3:$AK$82,A39,'Pipe Audit'!$O$3:$O$82)</f>
        <v>0</v>
      </c>
      <c r="G39" s="324">
        <f t="shared" ref="G39" si="97">E39-F39</f>
        <v>0</v>
      </c>
      <c r="H39" s="324">
        <f>SUMIF('Pipe Audit'!$AK$3:$AK$82,A39,'Pipe Audit'!$AJ$3:$AJ$82)</f>
        <v>0</v>
      </c>
      <c r="I39" s="324">
        <f>SUMIFS('Pipe Audit'!$AJ$3:$AJ$82,'Pipe Audit'!$AK$3:$AK$82,A39,'Pipe Audit'!$Q$3:$Q$82,"&gt;.25")</f>
        <v>0</v>
      </c>
      <c r="J39" s="326" t="e">
        <f t="shared" ref="J39" si="98">I39/H39</f>
        <v>#DIV/0!</v>
      </c>
      <c r="K39" s="324">
        <f>SUMIFS('Pipe Audit'!$AJ$3:$AJ$82,'Pipe Audit'!$AK$3:$AK$82,A39,'Pipe Audit'!$U$3:$U$82,"&gt;.25")</f>
        <v>0</v>
      </c>
      <c r="L39" s="324">
        <f>H39-I39</f>
        <v>0</v>
      </c>
      <c r="M39" s="324">
        <f t="shared" ref="M39" si="99">SUM(H39-K39)</f>
        <v>0</v>
      </c>
      <c r="N39" s="324">
        <f>SUMIF('Pipe Audit'!$AK$3:$AK$82,A39,'Pipe Audit'!$BD$3:$BD$82)</f>
        <v>0</v>
      </c>
      <c r="O39" s="324">
        <f>SUMIF('Pipe Audit'!$AK$3:$AK$82,A39,'Pipe Audit'!$BE$3:$BE$82)</f>
        <v>0</v>
      </c>
      <c r="P39" s="324">
        <f t="shared" ref="P39" si="100">SUM(N39-O39)</f>
        <v>0</v>
      </c>
      <c r="Q39" s="324" t="e">
        <f>COUNTIF('[2]ISO Sign-Off 1026'!$L:$L,A39)</f>
        <v>#VALUE!</v>
      </c>
      <c r="R39" s="324" t="e">
        <f>COUNTIFS('[2]ISO Sign-Off 1026'!$L:$L,$A39,'[2]ISO Sign-Off 1026'!$N:$N,"f")</f>
        <v>#VALUE!</v>
      </c>
      <c r="S39" s="324" t="e">
        <f>COUNTIFS('[2]ISO Sign-Off 1026'!$L:$L,$A39,'[2]ISO Sign-Off 1026'!$N:$N,"q")</f>
        <v>#VALUE!</v>
      </c>
      <c r="T39" s="324" t="e">
        <f>COUNTIFS('[2]ISO Sign-Off 1026'!$L:$L,$A39,'[2]ISO Sign-Off 1026'!$N:$N,"rf")</f>
        <v>#VALUE!</v>
      </c>
      <c r="U39" s="324" t="e">
        <f>COUNTIFS('[2]ISO Sign-Off 1026'!$L:$L,$A39,'[2]ISO Sign-Off 1026'!$N:$N,"o")</f>
        <v>#VALUE!</v>
      </c>
      <c r="V39" s="324" t="e">
        <f>COUNTIFS('[2]ISO Sign-Off 1026'!$L:$L,$A39,'[2]ISO Sign-Off 1026'!$N:$N,"c")</f>
        <v>#VALUE!</v>
      </c>
      <c r="W39" s="324" t="e">
        <f t="shared" ref="W39" si="101">SUM(Q39-V39)</f>
        <v>#VALUE!</v>
      </c>
      <c r="X39" s="327" t="e">
        <f>SUMIFS('[3]DAY BOARD COUNT OSBL - AL'!$J$5:$J$33,'[3]DAY BOARD COUNT OSBL - AL'!$B$5:$B$33,A39)</f>
        <v>#VALUE!</v>
      </c>
      <c r="Y39" s="327" t="e">
        <f>SUMIFS('[3]DAY BOARD COUNT OSBL - AL'!$K$5:$K$33,'[3]DAY BOARD COUNT OSBL - AL'!$B$5:$B$33,A39)</f>
        <v>#VALUE!</v>
      </c>
      <c r="Z39" s="327" t="e">
        <f>SUMIFS('[3]DAY BOARD COUNT OSBL - AL'!$L$5:$L$33,'[3]DAY BOARD COUNT OSBL - AL'!$B$5:$B$33,A39)</f>
        <v>#VALUE!</v>
      </c>
      <c r="AA39" s="327" t="e">
        <f>SUMIFS('[3]DAY BOARD COUNT OSBL - AL'!$M$5:$M$33,'[3]DAY BOARD COUNT OSBL - AL'!$B$5:$B$33,A39)</f>
        <v>#VALUE!</v>
      </c>
      <c r="AB39" s="459"/>
      <c r="AC39" s="463">
        <f>SUMIF('Pipe Audit'!AK:AK,A39,'Pipe Audit'!BP:BP)</f>
        <v>0</v>
      </c>
      <c r="AD39" s="462" t="e">
        <f t="shared" si="96"/>
        <v>#DIV/0!</v>
      </c>
    </row>
    <row r="40" spans="1:30" ht="21" x14ac:dyDescent="0.5">
      <c r="A40" s="456"/>
      <c r="B40" s="342"/>
      <c r="C40" s="343">
        <f>SUM(C41:C43)</f>
        <v>0</v>
      </c>
      <c r="D40" s="343">
        <f>SUM(D41:D43)</f>
        <v>0</v>
      </c>
      <c r="E40" s="343">
        <f t="shared" ref="E40:AA40" si="102">SUM(E41:E43)</f>
        <v>0</v>
      </c>
      <c r="F40" s="343">
        <f t="shared" si="102"/>
        <v>0</v>
      </c>
      <c r="G40" s="343">
        <f t="shared" si="102"/>
        <v>0</v>
      </c>
      <c r="H40" s="343">
        <f t="shared" si="102"/>
        <v>0</v>
      </c>
      <c r="I40" s="343">
        <f t="shared" si="102"/>
        <v>0</v>
      </c>
      <c r="J40" s="343" t="e">
        <f t="shared" si="102"/>
        <v>#DIV/0!</v>
      </c>
      <c r="K40" s="343">
        <f t="shared" si="102"/>
        <v>0</v>
      </c>
      <c r="L40" s="343">
        <f t="shared" si="102"/>
        <v>0</v>
      </c>
      <c r="M40" s="343">
        <f t="shared" si="102"/>
        <v>0</v>
      </c>
      <c r="N40" s="343">
        <f t="shared" si="102"/>
        <v>0</v>
      </c>
      <c r="O40" s="343">
        <f t="shared" si="102"/>
        <v>0</v>
      </c>
      <c r="P40" s="343">
        <f t="shared" si="102"/>
        <v>0</v>
      </c>
      <c r="Q40" s="343" t="e">
        <f t="shared" si="102"/>
        <v>#VALUE!</v>
      </c>
      <c r="R40" s="343" t="e">
        <f t="shared" si="102"/>
        <v>#VALUE!</v>
      </c>
      <c r="S40" s="343" t="e">
        <f t="shared" si="102"/>
        <v>#VALUE!</v>
      </c>
      <c r="T40" s="343" t="e">
        <f t="shared" si="102"/>
        <v>#VALUE!</v>
      </c>
      <c r="U40" s="343" t="e">
        <f t="shared" si="102"/>
        <v>#VALUE!</v>
      </c>
      <c r="V40" s="343" t="e">
        <f t="shared" si="102"/>
        <v>#VALUE!</v>
      </c>
      <c r="W40" s="343" t="e">
        <f t="shared" si="102"/>
        <v>#VALUE!</v>
      </c>
      <c r="X40" s="343" t="e">
        <f t="shared" si="102"/>
        <v>#VALUE!</v>
      </c>
      <c r="Y40" s="343" t="e">
        <f t="shared" si="102"/>
        <v>#VALUE!</v>
      </c>
      <c r="Z40" s="343" t="e">
        <f t="shared" si="102"/>
        <v>#VALUE!</v>
      </c>
      <c r="AA40" s="343" t="e">
        <f t="shared" si="102"/>
        <v>#VALUE!</v>
      </c>
      <c r="AB40" s="343">
        <f>SUM(AB41:AB42)</f>
        <v>0</v>
      </c>
      <c r="AC40" s="343">
        <f>SUM(AC41:AC43)</f>
        <v>0</v>
      </c>
      <c r="AD40" s="465" t="e">
        <f>P40/AC40</f>
        <v>#DIV/0!</v>
      </c>
    </row>
    <row r="41" spans="1:30" ht="21" x14ac:dyDescent="0.5">
      <c r="A41" s="306"/>
      <c r="B41" s="339"/>
      <c r="C41" s="324">
        <f>SUMIF('Pipe Audit'!$AK$2:$AK$82,A41,'Pipe Audit'!$L$2:$L$82)</f>
        <v>0</v>
      </c>
      <c r="D41" s="324">
        <f>SUMIF('Pipe Audit'!$AK$2:$AK$82,A41,'Pipe Audit'!$P$2:$P$82)</f>
        <v>0</v>
      </c>
      <c r="E41" s="325">
        <f>SUMIF('Pipe Audit'!$AK$3:$AK$82,A41,'Pipe Audit'!$K$3:$K$82)</f>
        <v>0</v>
      </c>
      <c r="F41" s="324">
        <f>SUMIF('Pipe Audit'!$AK$3:$AK$82,A41,'Pipe Audit'!$O$3:$O$82)</f>
        <v>0</v>
      </c>
      <c r="G41" s="324">
        <f t="shared" ref="G41" si="103">E41-F41</f>
        <v>0</v>
      </c>
      <c r="H41" s="324">
        <f>SUMIF('Pipe Audit'!$AK$3:$AK$82,A41,'Pipe Audit'!$AJ$3:$AJ$82)</f>
        <v>0</v>
      </c>
      <c r="I41" s="324">
        <f>SUMIFS('Pipe Audit'!$AJ$3:$AJ$82,'Pipe Audit'!$AK$3:$AK$82,A41,'Pipe Audit'!$Q$3:$Q$82,"&gt;.25")</f>
        <v>0</v>
      </c>
      <c r="J41" s="326" t="e">
        <f t="shared" ref="J41" si="104">I41/H41</f>
        <v>#DIV/0!</v>
      </c>
      <c r="K41" s="324">
        <f>SUMIFS('Pipe Audit'!$AJ$3:$AJ$82,'Pipe Audit'!$AK$3:$AK$82,A41,'Pipe Audit'!$U$3:$U$82,"&gt;.25")</f>
        <v>0</v>
      </c>
      <c r="L41" s="324">
        <f t="shared" ref="L41" si="105">H41-I41</f>
        <v>0</v>
      </c>
      <c r="M41" s="324">
        <f t="shared" ref="M41" si="106">SUM(H41-K41)</f>
        <v>0</v>
      </c>
      <c r="N41" s="324">
        <f>SUMIF('Pipe Audit'!$AK$3:$AK$82,A41,'Pipe Audit'!$BD$3:$BD$82)</f>
        <v>0</v>
      </c>
      <c r="O41" s="324">
        <f>SUMIF('Pipe Audit'!$AK$3:$AK$82,A41,'Pipe Audit'!$BE$3:$BE$82)</f>
        <v>0</v>
      </c>
      <c r="P41" s="324">
        <f t="shared" ref="P41" si="107">SUM(N41-O41)</f>
        <v>0</v>
      </c>
      <c r="Q41" s="324" t="e">
        <f>COUNTIF('[2]ISO Sign-Off 1026'!$L:$L,A41)</f>
        <v>#VALUE!</v>
      </c>
      <c r="R41" s="324" t="e">
        <f>COUNTIFS('[2]ISO Sign-Off 1026'!$L:$L,$A41,'[2]ISO Sign-Off 1026'!$N:$N,"f")</f>
        <v>#VALUE!</v>
      </c>
      <c r="S41" s="324" t="e">
        <f>COUNTIFS('[2]ISO Sign-Off 1026'!$L:$L,$A41,'[2]ISO Sign-Off 1026'!$N:$N,"q")</f>
        <v>#VALUE!</v>
      </c>
      <c r="T41" s="324" t="e">
        <f>COUNTIFS('[2]ISO Sign-Off 1026'!$L:$L,$A41,'[2]ISO Sign-Off 1026'!$N:$N,"rf")</f>
        <v>#VALUE!</v>
      </c>
      <c r="U41" s="324" t="e">
        <f>COUNTIFS('[2]ISO Sign-Off 1026'!$L:$L,$A41,'[2]ISO Sign-Off 1026'!$N:$N,"o")</f>
        <v>#VALUE!</v>
      </c>
      <c r="V41" s="324" t="e">
        <f>COUNTIFS('[2]ISO Sign-Off 1026'!$L:$L,$A41,'[2]ISO Sign-Off 1026'!$N:$N,"c")</f>
        <v>#VALUE!</v>
      </c>
      <c r="W41" s="324" t="e">
        <f t="shared" ref="W41" si="108">SUM(Q41-V41)</f>
        <v>#VALUE!</v>
      </c>
      <c r="X41" s="327" t="e">
        <f>SUMIFS('[3]DAY BOARD COUNT OSBL - AL'!$J$5:$J$33,'[3]DAY BOARD COUNT OSBL - AL'!$B$5:$B$33,A41)</f>
        <v>#VALUE!</v>
      </c>
      <c r="Y41" s="327" t="e">
        <f>SUMIFS('[3]DAY BOARD COUNT OSBL - AL'!$K$5:$K$33,'[3]DAY BOARD COUNT OSBL - AL'!$B$5:$B$33,A41)</f>
        <v>#VALUE!</v>
      </c>
      <c r="Z41" s="327" t="e">
        <f>SUMIFS('[3]DAY BOARD COUNT OSBL - AL'!$L$5:$L$33,'[3]DAY BOARD COUNT OSBL - AL'!$B$5:$B$33,A41)</f>
        <v>#VALUE!</v>
      </c>
      <c r="AA41" s="327" t="e">
        <f>SUMIFS('[3]DAY BOARD COUNT OSBL - AL'!$M$5:$M$33,'[3]DAY BOARD COUNT OSBL - AL'!$B$5:$B$33,A41)</f>
        <v>#VALUE!</v>
      </c>
      <c r="AB41" s="459"/>
      <c r="AC41" s="463">
        <f>SUMIF('Pipe Audit'!AK:AK,A41,'Pipe Audit'!BP:BP)</f>
        <v>0</v>
      </c>
      <c r="AD41" s="462" t="e">
        <f t="shared" si="96"/>
        <v>#DIV/0!</v>
      </c>
    </row>
    <row r="42" spans="1:30" ht="21" x14ac:dyDescent="0.5">
      <c r="A42" s="306"/>
      <c r="B42" s="339"/>
      <c r="C42" s="324">
        <f>SUMIF('Pipe Audit'!$AK$2:$AK$82,A42,'Pipe Audit'!$L$2:$L$82)</f>
        <v>0</v>
      </c>
      <c r="D42" s="324">
        <f>SUMIF('Pipe Audit'!$AK$2:$AK$82,A42,'Pipe Audit'!$P$2:$P$82)</f>
        <v>0</v>
      </c>
      <c r="E42" s="325">
        <f>SUMIF('Pipe Audit'!$AK$3:$AK$82,A42,'Pipe Audit'!$K$3:$K$82)</f>
        <v>0</v>
      </c>
      <c r="F42" s="324">
        <f>SUMIF('Pipe Audit'!$AK$3:$AK$82,A42,'Pipe Audit'!$O$3:$O$82)</f>
        <v>0</v>
      </c>
      <c r="G42" s="324">
        <f t="shared" ref="G42:G43" si="109">E42-F42</f>
        <v>0</v>
      </c>
      <c r="H42" s="324">
        <f>SUMIF('Pipe Audit'!$AK$3:$AK$82,A42,'Pipe Audit'!$AJ$3:$AJ$82)</f>
        <v>0</v>
      </c>
      <c r="I42" s="324">
        <f>SUMIFS('Pipe Audit'!$AJ$3:$AJ$82,'Pipe Audit'!$AK$3:$AK$82,A42,'Pipe Audit'!$Q$3:$Q$82,"&gt;.25")</f>
        <v>0</v>
      </c>
      <c r="J42" s="326" t="e">
        <f t="shared" ref="J42:J43" si="110">I42/H42</f>
        <v>#DIV/0!</v>
      </c>
      <c r="K42" s="324">
        <f>SUMIFS('Pipe Audit'!$AJ$3:$AJ$82,'Pipe Audit'!$AK$3:$AK$82,A42,'Pipe Audit'!$U$3:$U$82,"&gt;.25")</f>
        <v>0</v>
      </c>
      <c r="L42" s="324">
        <f t="shared" ref="L42" si="111">H42-I42</f>
        <v>0</v>
      </c>
      <c r="M42" s="324">
        <f t="shared" ref="M42:M43" si="112">SUM(H42-K42)</f>
        <v>0</v>
      </c>
      <c r="N42" s="324">
        <f>SUMIF('Pipe Audit'!$AK$3:$AK$82,A42,'Pipe Audit'!$BD$3:$BD$82)</f>
        <v>0</v>
      </c>
      <c r="O42" s="324">
        <f>SUMIF('Pipe Audit'!$AK$3:$AK$82,A42,'Pipe Audit'!$BE$3:$BE$82)</f>
        <v>0</v>
      </c>
      <c r="P42" s="324">
        <f t="shared" ref="P42:P43" si="113">SUM(N42-O42)</f>
        <v>0</v>
      </c>
      <c r="Q42" s="324" t="e">
        <f>COUNTIF('[2]ISO Sign-Off 1026'!$L:$L,A42)</f>
        <v>#VALUE!</v>
      </c>
      <c r="R42" s="324" t="e">
        <f>COUNTIFS('[2]ISO Sign-Off 1026'!$L:$L,$A42,'[2]ISO Sign-Off 1026'!$N:$N,"f")</f>
        <v>#VALUE!</v>
      </c>
      <c r="S42" s="324" t="e">
        <f>COUNTIFS('[2]ISO Sign-Off 1026'!$L:$L,$A42,'[2]ISO Sign-Off 1026'!$N:$N,"q")</f>
        <v>#VALUE!</v>
      </c>
      <c r="T42" s="324" t="e">
        <f>COUNTIFS('[2]ISO Sign-Off 1026'!$L:$L,$A42,'[2]ISO Sign-Off 1026'!$N:$N,"rf")</f>
        <v>#VALUE!</v>
      </c>
      <c r="U42" s="324" t="e">
        <f>COUNTIFS('[2]ISO Sign-Off 1026'!$L:$L,$A42,'[2]ISO Sign-Off 1026'!$N:$N,"o")</f>
        <v>#VALUE!</v>
      </c>
      <c r="V42" s="324" t="e">
        <f>COUNTIFS('[2]ISO Sign-Off 1026'!$L:$L,$A42,'[2]ISO Sign-Off 1026'!$N:$N,"c")</f>
        <v>#VALUE!</v>
      </c>
      <c r="W42" s="324" t="e">
        <f t="shared" ref="W42:W43" si="114">SUM(Q42-V42)</f>
        <v>#VALUE!</v>
      </c>
      <c r="X42" s="327" t="e">
        <f>SUMIFS('[3]DAY BOARD COUNT OSBL - AL'!$J$5:$J$33,'[3]DAY BOARD COUNT OSBL - AL'!$B$5:$B$33,A42)</f>
        <v>#VALUE!</v>
      </c>
      <c r="Y42" s="327" t="e">
        <f>SUMIFS('[3]DAY BOARD COUNT OSBL - AL'!$K$5:$K$33,'[3]DAY BOARD COUNT OSBL - AL'!$B$5:$B$33,A42)</f>
        <v>#VALUE!</v>
      </c>
      <c r="Z42" s="327" t="e">
        <f>SUMIFS('[3]DAY BOARD COUNT OSBL - AL'!$L$5:$L$33,'[3]DAY BOARD COUNT OSBL - AL'!$B$5:$B$33,A42)</f>
        <v>#VALUE!</v>
      </c>
      <c r="AA42" s="327" t="e">
        <f>SUMIFS('[3]DAY BOARD COUNT OSBL - AL'!$M$5:$M$33,'[3]DAY BOARD COUNT OSBL - AL'!$B$5:$B$33,A42)</f>
        <v>#VALUE!</v>
      </c>
      <c r="AB42" s="459"/>
      <c r="AC42" s="463">
        <f>SUMIF('Pipe Audit'!AK:AK,A42,'Pipe Audit'!BP:BP)</f>
        <v>0</v>
      </c>
      <c r="AD42" s="462" t="e">
        <f>P42/AC42</f>
        <v>#DIV/0!</v>
      </c>
    </row>
    <row r="43" spans="1:30" ht="21" x14ac:dyDescent="0.5">
      <c r="A43" s="306"/>
      <c r="B43" s="339"/>
      <c r="C43" s="324">
        <f>SUMIF('Pipe Audit'!$AK$2:$AK$82,A43,'Pipe Audit'!$L$2:$L$82)</f>
        <v>0</v>
      </c>
      <c r="D43" s="324">
        <f>SUMIF('Pipe Audit'!$AK$2:$AK$82,A43,'Pipe Audit'!$P$2:$P$82)</f>
        <v>0</v>
      </c>
      <c r="E43" s="325">
        <f>SUMIF('Pipe Audit'!$AK$3:$AK$82,A43,'Pipe Audit'!$K$3:$K$82)</f>
        <v>0</v>
      </c>
      <c r="F43" s="324">
        <f>SUMIF('Pipe Audit'!$AK$3:$AK$82,A43,'Pipe Audit'!$O$3:$O$82)</f>
        <v>0</v>
      </c>
      <c r="G43" s="324">
        <f t="shared" si="109"/>
        <v>0</v>
      </c>
      <c r="H43" s="324">
        <f>SUMIF('Pipe Audit'!$AK$3:$AK$82,A43,'Pipe Audit'!$AJ$3:$AJ$82)</f>
        <v>0</v>
      </c>
      <c r="I43" s="324">
        <f>SUMIFS('Pipe Audit'!$AJ$3:$AJ$82,'Pipe Audit'!$AK$3:$AK$82,A43,'Pipe Audit'!$Q$3:$Q$82,"&gt;.25")</f>
        <v>0</v>
      </c>
      <c r="J43" s="326" t="e">
        <f t="shared" si="110"/>
        <v>#DIV/0!</v>
      </c>
      <c r="K43" s="324">
        <f>SUMIFS('Pipe Audit'!$AJ$3:$AJ$82,'Pipe Audit'!$AK$3:$AK$82,A43,'Pipe Audit'!$U$3:$U$82,"&gt;.25")</f>
        <v>0</v>
      </c>
      <c r="L43" s="324">
        <f>H43-I43</f>
        <v>0</v>
      </c>
      <c r="M43" s="324">
        <f t="shared" si="112"/>
        <v>0</v>
      </c>
      <c r="N43" s="324">
        <f>SUMIF('Pipe Audit'!$AK$3:$AK$82,A43,'Pipe Audit'!$BD$3:$BD$82)</f>
        <v>0</v>
      </c>
      <c r="O43" s="324">
        <f>SUMIF('Pipe Audit'!$AK$3:$AK$82,A43,'Pipe Audit'!$BE$3:$BE$82)</f>
        <v>0</v>
      </c>
      <c r="P43" s="324">
        <f t="shared" si="113"/>
        <v>0</v>
      </c>
      <c r="Q43" s="324" t="e">
        <f>COUNTIF('[2]ISO Sign-Off 1026'!$L:$L,A43)</f>
        <v>#VALUE!</v>
      </c>
      <c r="R43" s="324" t="e">
        <f>COUNTIFS('[2]ISO Sign-Off 1026'!$L:$L,$A43,'[2]ISO Sign-Off 1026'!$N:$N,"f")</f>
        <v>#VALUE!</v>
      </c>
      <c r="S43" s="324" t="e">
        <f>COUNTIFS('[2]ISO Sign-Off 1026'!$L:$L,$A43,'[2]ISO Sign-Off 1026'!$N:$N,"q")</f>
        <v>#VALUE!</v>
      </c>
      <c r="T43" s="324" t="e">
        <f>COUNTIFS('[2]ISO Sign-Off 1026'!$L:$L,$A43,'[2]ISO Sign-Off 1026'!$N:$N,"rf")</f>
        <v>#VALUE!</v>
      </c>
      <c r="U43" s="324" t="e">
        <f>COUNTIFS('[2]ISO Sign-Off 1026'!$L:$L,$A43,'[2]ISO Sign-Off 1026'!$N:$N,"o")</f>
        <v>#VALUE!</v>
      </c>
      <c r="V43" s="324" t="e">
        <f>COUNTIFS('[2]ISO Sign-Off 1026'!$L:$L,$A43,'[2]ISO Sign-Off 1026'!$N:$N,"c")</f>
        <v>#VALUE!</v>
      </c>
      <c r="W43" s="324" t="e">
        <f t="shared" si="114"/>
        <v>#VALUE!</v>
      </c>
      <c r="X43" s="327" t="e">
        <f>SUMIFS('[3]DAY BOARD COUNT OSBL - AL'!$J$5:$J$33,'[3]DAY BOARD COUNT OSBL - AL'!$B$5:$B$33,A43)</f>
        <v>#VALUE!</v>
      </c>
      <c r="Y43" s="327" t="e">
        <f>SUMIFS('[3]DAY BOARD COUNT OSBL - AL'!$K$5:$K$33,'[3]DAY BOARD COUNT OSBL - AL'!$B$5:$B$33,A43)</f>
        <v>#VALUE!</v>
      </c>
      <c r="Z43" s="327" t="e">
        <f>SUMIFS('[3]DAY BOARD COUNT OSBL - AL'!$L$5:$L$33,'[3]DAY BOARD COUNT OSBL - AL'!$B$5:$B$33,A43)</f>
        <v>#VALUE!</v>
      </c>
      <c r="AA43" s="327" t="e">
        <f>SUMIFS('[3]DAY BOARD COUNT OSBL - AL'!$M$5:$M$33,'[3]DAY BOARD COUNT OSBL - AL'!$B$5:$B$33,A43)</f>
        <v>#VALUE!</v>
      </c>
      <c r="AB43" s="459" t="s">
        <v>531</v>
      </c>
      <c r="AC43" s="463">
        <f>SUMIF('Pipe Audit'!AK:AK,A43,'Pipe Audit'!BP:BP)</f>
        <v>0</v>
      </c>
      <c r="AD43" s="462" t="e">
        <f t="shared" ref="AD43" si="115">P43/AC43</f>
        <v>#DIV/0!</v>
      </c>
    </row>
    <row r="44" spans="1:30" ht="21" x14ac:dyDescent="0.5">
      <c r="A44" s="456"/>
      <c r="B44" s="342"/>
      <c r="C44" s="343">
        <f>SUM(C45:C46)</f>
        <v>0</v>
      </c>
      <c r="D44" s="343">
        <f>SUM(D45:D46)</f>
        <v>0</v>
      </c>
      <c r="E44" s="343">
        <f t="shared" ref="E44:AA44" si="116">SUM(E45:E46)</f>
        <v>0</v>
      </c>
      <c r="F44" s="343">
        <f t="shared" si="116"/>
        <v>0</v>
      </c>
      <c r="G44" s="343">
        <f t="shared" si="116"/>
        <v>0</v>
      </c>
      <c r="H44" s="343">
        <f t="shared" si="116"/>
        <v>0</v>
      </c>
      <c r="I44" s="343">
        <f t="shared" si="116"/>
        <v>0</v>
      </c>
      <c r="J44" s="343" t="e">
        <f t="shared" si="116"/>
        <v>#DIV/0!</v>
      </c>
      <c r="K44" s="343">
        <f t="shared" si="116"/>
        <v>0</v>
      </c>
      <c r="L44" s="343">
        <f t="shared" si="116"/>
        <v>0</v>
      </c>
      <c r="M44" s="343">
        <f t="shared" si="116"/>
        <v>0</v>
      </c>
      <c r="N44" s="343">
        <f t="shared" si="116"/>
        <v>0</v>
      </c>
      <c r="O44" s="343">
        <f t="shared" si="116"/>
        <v>0</v>
      </c>
      <c r="P44" s="343">
        <f t="shared" si="116"/>
        <v>0</v>
      </c>
      <c r="Q44" s="343" t="e">
        <f t="shared" si="116"/>
        <v>#VALUE!</v>
      </c>
      <c r="R44" s="343" t="e">
        <f t="shared" si="116"/>
        <v>#VALUE!</v>
      </c>
      <c r="S44" s="343" t="e">
        <f t="shared" si="116"/>
        <v>#VALUE!</v>
      </c>
      <c r="T44" s="343" t="e">
        <f t="shared" si="116"/>
        <v>#VALUE!</v>
      </c>
      <c r="U44" s="343" t="e">
        <f t="shared" si="116"/>
        <v>#VALUE!</v>
      </c>
      <c r="V44" s="343" t="e">
        <f t="shared" si="116"/>
        <v>#VALUE!</v>
      </c>
      <c r="W44" s="343" t="e">
        <f t="shared" si="116"/>
        <v>#VALUE!</v>
      </c>
      <c r="X44" s="343" t="e">
        <f t="shared" si="116"/>
        <v>#VALUE!</v>
      </c>
      <c r="Y44" s="343" t="e">
        <f t="shared" si="116"/>
        <v>#VALUE!</v>
      </c>
      <c r="Z44" s="343" t="e">
        <f t="shared" si="116"/>
        <v>#VALUE!</v>
      </c>
      <c r="AA44" s="343" t="e">
        <f t="shared" si="116"/>
        <v>#VALUE!</v>
      </c>
      <c r="AB44" s="343"/>
      <c r="AC44" s="343">
        <f>SUM(AC45:AC46)</f>
        <v>0</v>
      </c>
      <c r="AD44" s="465" t="e">
        <f>P44/AC44</f>
        <v>#DIV/0!</v>
      </c>
    </row>
    <row r="45" spans="1:30" ht="21" x14ac:dyDescent="0.5">
      <c r="A45" s="306"/>
      <c r="B45" s="339"/>
      <c r="C45" s="324">
        <f>SUMIF('Pipe Audit'!$AK$2:$AK$82,A45,'Pipe Audit'!$L$2:$L$82)</f>
        <v>0</v>
      </c>
      <c r="D45" s="324">
        <f>SUMIF('Pipe Audit'!$AK$2:$AK$82,A45,'Pipe Audit'!$P$2:$P$82)</f>
        <v>0</v>
      </c>
      <c r="E45" s="325">
        <f>SUMIF('Pipe Audit'!$AK$3:$AK$82,A45,'Pipe Audit'!$K$3:$K$82)</f>
        <v>0</v>
      </c>
      <c r="F45" s="324">
        <f>SUMIF('Pipe Audit'!$AK$3:$AK$82,A45,'Pipe Audit'!$O$3:$O$82)</f>
        <v>0</v>
      </c>
      <c r="G45" s="324">
        <f t="shared" ref="G45" si="117">E45-F45</f>
        <v>0</v>
      </c>
      <c r="H45" s="324">
        <f>SUMIF('Pipe Audit'!$AK$3:$AK$82,A45,'Pipe Audit'!$AJ$3:$AJ$82)</f>
        <v>0</v>
      </c>
      <c r="I45" s="324">
        <f>SUMIFS('Pipe Audit'!$AJ$3:$AJ$82,'Pipe Audit'!$AK$3:$AK$82,A45,'Pipe Audit'!$Q$3:$Q$82,"&gt;.25")</f>
        <v>0</v>
      </c>
      <c r="J45" s="326" t="e">
        <f t="shared" ref="J45" si="118">I45/H45</f>
        <v>#DIV/0!</v>
      </c>
      <c r="K45" s="324">
        <f>SUMIFS('Pipe Audit'!$AJ$3:$AJ$82,'Pipe Audit'!$AK$3:$AK$82,A45,'Pipe Audit'!$U$3:$U$82,"&gt;.25")</f>
        <v>0</v>
      </c>
      <c r="L45" s="324">
        <f>H45-I45</f>
        <v>0</v>
      </c>
      <c r="M45" s="324">
        <f t="shared" ref="M45" si="119">SUM(H45-K45)</f>
        <v>0</v>
      </c>
      <c r="N45" s="324">
        <f>SUMIF('Pipe Audit'!$AK$3:$AK$82,A45,'Pipe Audit'!$BD$3:$BD$82)</f>
        <v>0</v>
      </c>
      <c r="O45" s="324">
        <f>SUMIF('Pipe Audit'!$AK$3:$AK$82,A45,'Pipe Audit'!$BE$3:$BE$82)</f>
        <v>0</v>
      </c>
      <c r="P45" s="324">
        <f t="shared" ref="P45" si="120">SUM(N45-O45)</f>
        <v>0</v>
      </c>
      <c r="Q45" s="324" t="e">
        <f>COUNTIF('[2]ISO Sign-Off 1026'!$L:$L,A45)</f>
        <v>#VALUE!</v>
      </c>
      <c r="R45" s="324" t="e">
        <f>COUNTIFS('[2]ISO Sign-Off 1026'!$L:$L,$A45,'[2]ISO Sign-Off 1026'!$N:$N,"f")</f>
        <v>#VALUE!</v>
      </c>
      <c r="S45" s="324" t="e">
        <f>COUNTIFS('[2]ISO Sign-Off 1026'!$L:$L,$A45,'[2]ISO Sign-Off 1026'!$N:$N,"q")</f>
        <v>#VALUE!</v>
      </c>
      <c r="T45" s="324" t="e">
        <f>COUNTIFS('[2]ISO Sign-Off 1026'!$L:$L,$A45,'[2]ISO Sign-Off 1026'!$N:$N,"rf")</f>
        <v>#VALUE!</v>
      </c>
      <c r="U45" s="324" t="e">
        <f>COUNTIFS('[2]ISO Sign-Off 1026'!$L:$L,$A45,'[2]ISO Sign-Off 1026'!$N:$N,"o")</f>
        <v>#VALUE!</v>
      </c>
      <c r="V45" s="324" t="e">
        <f>COUNTIFS('[2]ISO Sign-Off 1026'!$L:$L,$A45,'[2]ISO Sign-Off 1026'!$N:$N,"c")</f>
        <v>#VALUE!</v>
      </c>
      <c r="W45" s="324" t="e">
        <f t="shared" ref="W45" si="121">SUM(Q45-V45)</f>
        <v>#VALUE!</v>
      </c>
      <c r="X45" s="327" t="e">
        <f>SUMIFS('[3]DAY BOARD COUNT OSBL - AL'!$J$5:$J$33,'[3]DAY BOARD COUNT OSBL - AL'!$B$5:$B$33,A45)</f>
        <v>#VALUE!</v>
      </c>
      <c r="Y45" s="327" t="e">
        <f>SUMIFS('[3]DAY BOARD COUNT OSBL - AL'!$K$5:$K$33,'[3]DAY BOARD COUNT OSBL - AL'!$B$5:$B$33,A45)</f>
        <v>#VALUE!</v>
      </c>
      <c r="Z45" s="327" t="e">
        <f>SUMIFS('[3]DAY BOARD COUNT OSBL - AL'!$L$5:$L$33,'[3]DAY BOARD COUNT OSBL - AL'!$B$5:$B$33,A45)</f>
        <v>#VALUE!</v>
      </c>
      <c r="AA45" s="327" t="e">
        <f>SUMIFS('[3]DAY BOARD COUNT OSBL - AL'!$M$5:$M$33,'[3]DAY BOARD COUNT OSBL - AL'!$B$5:$B$33,A45)</f>
        <v>#VALUE!</v>
      </c>
      <c r="AB45" s="459"/>
      <c r="AC45" s="463">
        <f>SUMIF('Pipe Audit'!AK:AK,A45,'Pipe Audit'!BP:BP)</f>
        <v>0</v>
      </c>
      <c r="AD45" s="462" t="e">
        <f t="shared" ref="AD45:AD46" si="122">P45/AC45</f>
        <v>#DIV/0!</v>
      </c>
    </row>
    <row r="46" spans="1:30" ht="21" x14ac:dyDescent="0.5">
      <c r="A46" s="306"/>
      <c r="B46" s="339"/>
      <c r="C46" s="324">
        <f>SUMIF('Pipe Audit'!$AK$2:$AK$82,A46,'Pipe Audit'!$L$2:$L$82)</f>
        <v>0</v>
      </c>
      <c r="D46" s="324">
        <f>SUMIF('Pipe Audit'!$AK$2:$AK$82,A46,'Pipe Audit'!$P$2:$P$82)</f>
        <v>0</v>
      </c>
      <c r="E46" s="325">
        <f>SUMIF('Pipe Audit'!$AK$3:$AK$82,A46,'Pipe Audit'!$K$3:$K$82)</f>
        <v>0</v>
      </c>
      <c r="F46" s="324">
        <f>SUMIF('Pipe Audit'!$AK$3:$AK$82,A46,'Pipe Audit'!$O$3:$O$82)</f>
        <v>0</v>
      </c>
      <c r="G46" s="324">
        <f>E46-F46</f>
        <v>0</v>
      </c>
      <c r="H46" s="324">
        <f>SUMIF('Pipe Audit'!$AK$3:$AK$82,A46,'Pipe Audit'!$AJ$3:$AJ$82)</f>
        <v>0</v>
      </c>
      <c r="I46" s="324">
        <f>SUMIFS('Pipe Audit'!$AJ$3:$AJ$82,'Pipe Audit'!$AK$3:$AK$82,A46,'Pipe Audit'!$Q$3:$Q$82,"&gt;.25")</f>
        <v>0</v>
      </c>
      <c r="J46" s="326" t="e">
        <f>I46/H46</f>
        <v>#DIV/0!</v>
      </c>
      <c r="K46" s="324">
        <f>SUMIFS('Pipe Audit'!$AJ$3:$AJ$82,'Pipe Audit'!$AK$3:$AK$82,A46,'Pipe Audit'!$U$3:$U$82,"&gt;.25")</f>
        <v>0</v>
      </c>
      <c r="L46" s="324">
        <f>H46-I46</f>
        <v>0</v>
      </c>
      <c r="M46" s="324">
        <f>SUM(H46-K46)</f>
        <v>0</v>
      </c>
      <c r="N46" s="324">
        <f>SUMIF('Pipe Audit'!$AK$3:$AK$82,A46,'Pipe Audit'!$BD$3:$BD$82)</f>
        <v>0</v>
      </c>
      <c r="O46" s="324">
        <f>SUMIF('Pipe Audit'!$AK$3:$AK$82,A46,'Pipe Audit'!$BE$3:$BE$82)</f>
        <v>0</v>
      </c>
      <c r="P46" s="324">
        <f>SUM(N46-O46)</f>
        <v>0</v>
      </c>
      <c r="Q46" s="324" t="e">
        <f>COUNTIF('[2]ISO Sign-Off 1026'!$L:$L,A46)</f>
        <v>#VALUE!</v>
      </c>
      <c r="R46" s="324" t="e">
        <f>COUNTIFS('[2]ISO Sign-Off 1026'!$L:$L,$A46,'[2]ISO Sign-Off 1026'!$N:$N,"f")</f>
        <v>#VALUE!</v>
      </c>
      <c r="S46" s="324" t="e">
        <f>COUNTIFS('[2]ISO Sign-Off 1026'!$L:$L,$A46,'[2]ISO Sign-Off 1026'!$N:$N,"q")</f>
        <v>#VALUE!</v>
      </c>
      <c r="T46" s="324" t="e">
        <f>COUNTIFS('[2]ISO Sign-Off 1026'!$L:$L,$A46,'[2]ISO Sign-Off 1026'!$N:$N,"rf")</f>
        <v>#VALUE!</v>
      </c>
      <c r="U46" s="324" t="e">
        <f>COUNTIFS('[2]ISO Sign-Off 1026'!$L:$L,$A46,'[2]ISO Sign-Off 1026'!$N:$N,"o")</f>
        <v>#VALUE!</v>
      </c>
      <c r="V46" s="324" t="e">
        <f>COUNTIFS('[2]ISO Sign-Off 1026'!$L:$L,$A46,'[2]ISO Sign-Off 1026'!$N:$N,"c")</f>
        <v>#VALUE!</v>
      </c>
      <c r="W46" s="324" t="e">
        <f>SUM(Q46-V46)</f>
        <v>#VALUE!</v>
      </c>
      <c r="X46" s="327" t="e">
        <f>SUMIFS('[3]DAY BOARD COUNT OSBL - AL'!$J$5:$J$33,'[3]DAY BOARD COUNT OSBL - AL'!$B$5:$B$33,A46)</f>
        <v>#VALUE!</v>
      </c>
      <c r="Y46" s="327" t="e">
        <f>SUMIFS('[3]DAY BOARD COUNT OSBL - AL'!$K$5:$K$33,'[3]DAY BOARD COUNT OSBL - AL'!$B$5:$B$33,A46)</f>
        <v>#VALUE!</v>
      </c>
      <c r="Z46" s="327" t="e">
        <f>SUMIFS('[3]DAY BOARD COUNT OSBL - AL'!$L$5:$L$33,'[3]DAY BOARD COUNT OSBL - AL'!$B$5:$B$33,A46)</f>
        <v>#VALUE!</v>
      </c>
      <c r="AA46" s="327" t="e">
        <f>SUMIFS('[3]DAY BOARD COUNT OSBL - AL'!$M$5:$M$33,'[3]DAY BOARD COUNT OSBL - AL'!$B$5:$B$33,A46)</f>
        <v>#VALUE!</v>
      </c>
      <c r="AB46" s="459"/>
      <c r="AC46" s="463">
        <f>SUMIF('Pipe Audit'!AK:AK,A46,'Pipe Audit'!BP:BP)</f>
        <v>0</v>
      </c>
      <c r="AD46" s="462" t="e">
        <f t="shared" si="122"/>
        <v>#DIV/0!</v>
      </c>
    </row>
    <row r="47" spans="1:30" ht="21" x14ac:dyDescent="0.5">
      <c r="A47" s="329"/>
      <c r="B47" s="340"/>
      <c r="C47" s="337">
        <f>SUM(C49+C48)</f>
        <v>0</v>
      </c>
      <c r="D47" s="337">
        <f t="shared" ref="D47:AA47" si="123">SUM(D49+D48)</f>
        <v>0</v>
      </c>
      <c r="E47" s="337">
        <f>SUM(E49+E48)</f>
        <v>0</v>
      </c>
      <c r="F47" s="337">
        <f t="shared" si="123"/>
        <v>0</v>
      </c>
      <c r="G47" s="337">
        <f t="shared" si="123"/>
        <v>0</v>
      </c>
      <c r="H47" s="337">
        <f t="shared" si="123"/>
        <v>0</v>
      </c>
      <c r="I47" s="337">
        <f t="shared" si="123"/>
        <v>0</v>
      </c>
      <c r="J47" s="337" t="e">
        <f t="shared" si="123"/>
        <v>#DIV/0!</v>
      </c>
      <c r="K47" s="337">
        <f t="shared" si="123"/>
        <v>0</v>
      </c>
      <c r="L47" s="337">
        <f t="shared" si="123"/>
        <v>0</v>
      </c>
      <c r="M47" s="337">
        <f t="shared" si="123"/>
        <v>0</v>
      </c>
      <c r="N47" s="337">
        <f t="shared" si="123"/>
        <v>0</v>
      </c>
      <c r="O47" s="337">
        <f t="shared" si="123"/>
        <v>0</v>
      </c>
      <c r="P47" s="337">
        <f t="shared" si="123"/>
        <v>0</v>
      </c>
      <c r="Q47" s="337" t="e">
        <f t="shared" si="123"/>
        <v>#VALUE!</v>
      </c>
      <c r="R47" s="337" t="e">
        <f t="shared" si="123"/>
        <v>#VALUE!</v>
      </c>
      <c r="S47" s="337" t="e">
        <f t="shared" si="123"/>
        <v>#VALUE!</v>
      </c>
      <c r="T47" s="337" t="e">
        <f t="shared" si="123"/>
        <v>#VALUE!</v>
      </c>
      <c r="U47" s="337" t="e">
        <f t="shared" si="123"/>
        <v>#VALUE!</v>
      </c>
      <c r="V47" s="337" t="e">
        <f t="shared" si="123"/>
        <v>#VALUE!</v>
      </c>
      <c r="W47" s="337" t="e">
        <f t="shared" si="123"/>
        <v>#VALUE!</v>
      </c>
      <c r="X47" s="337" t="e">
        <f t="shared" si="123"/>
        <v>#VALUE!</v>
      </c>
      <c r="Y47" s="337" t="e">
        <f t="shared" si="123"/>
        <v>#VALUE!</v>
      </c>
      <c r="Z47" s="337" t="e">
        <f t="shared" si="123"/>
        <v>#VALUE!</v>
      </c>
      <c r="AA47" s="337" t="e">
        <f t="shared" si="123"/>
        <v>#VALUE!</v>
      </c>
      <c r="AB47" s="337"/>
      <c r="AC47" s="337">
        <f>SUM(AC49)</f>
        <v>0</v>
      </c>
      <c r="AD47" s="337" t="e">
        <f>SUM(AD49)</f>
        <v>#DIV/0!</v>
      </c>
    </row>
    <row r="48" spans="1:30" ht="21" x14ac:dyDescent="0.5">
      <c r="A48" s="306"/>
      <c r="B48" s="339"/>
      <c r="C48" s="324">
        <f>SUMIF('Pipe Audit'!$AK$2:$AK$82,A48,'Pipe Audit'!$L$2:$L$82)</f>
        <v>0</v>
      </c>
      <c r="D48" s="324">
        <f>SUMIF('Pipe Audit'!$AK$2:$AK$82,A48,'Pipe Audit'!$P$2:$P$82)</f>
        <v>0</v>
      </c>
      <c r="E48" s="325">
        <f>SUMIF('Pipe Audit'!$AK$3:$AK$82,A48,'Pipe Audit'!$K$3:$K$82)</f>
        <v>0</v>
      </c>
      <c r="F48" s="324">
        <f>SUMIF('Pipe Audit'!$AK$3:$AK$82,A48,'Pipe Audit'!$O$3:$O$82)</f>
        <v>0</v>
      </c>
      <c r="G48" s="324">
        <f t="shared" ref="G48" si="124">E48-F48</f>
        <v>0</v>
      </c>
      <c r="H48" s="324">
        <f>SUMIF('Pipe Audit'!$AK$3:$AK$82,A48,'Pipe Audit'!$AJ$3:$AJ$82)</f>
        <v>0</v>
      </c>
      <c r="I48" s="324">
        <f>SUMIFS('Pipe Audit'!$AJ$3:$AJ$82,'Pipe Audit'!$AK$3:$AK$82,A48,'Pipe Audit'!$Q$3:$Q$82,"&gt;.25")</f>
        <v>0</v>
      </c>
      <c r="J48" s="326" t="e">
        <f t="shared" ref="J48" si="125">I48/H48</f>
        <v>#DIV/0!</v>
      </c>
      <c r="K48" s="324">
        <f>SUMIFS('Pipe Audit'!$AJ$3:$AJ$82,'Pipe Audit'!$AK$3:$AK$82,A48,'Pipe Audit'!$U$3:$U$82,"&gt;.25")</f>
        <v>0</v>
      </c>
      <c r="L48" s="324">
        <f>H48-I48</f>
        <v>0</v>
      </c>
      <c r="M48" s="324">
        <f t="shared" ref="M48" si="126">SUM(H48-K48)</f>
        <v>0</v>
      </c>
      <c r="N48" s="324">
        <f>SUMIF('Pipe Audit'!$AK$3:$AK$82,A48,'Pipe Audit'!$BD$3:$BD$82)</f>
        <v>0</v>
      </c>
      <c r="O48" s="324">
        <f>SUMIF('Pipe Audit'!$AK$3:$AK$82,A48,'Pipe Audit'!$BE$3:$BE$82)</f>
        <v>0</v>
      </c>
      <c r="P48" s="324">
        <f t="shared" ref="P48" si="127">SUM(N48-O48)</f>
        <v>0</v>
      </c>
      <c r="Q48" s="324" t="e">
        <f>COUNTIF('[2]ISO Sign-Off 1026'!$L:$L,A48)</f>
        <v>#VALUE!</v>
      </c>
      <c r="R48" s="324" t="e">
        <f>COUNTIFS('[2]ISO Sign-Off 1026'!$L:$L,$A48,'[2]ISO Sign-Off 1026'!$N:$N,"f")</f>
        <v>#VALUE!</v>
      </c>
      <c r="S48" s="324" t="e">
        <f>COUNTIFS('[2]ISO Sign-Off 1026'!$L:$L,$A48,'[2]ISO Sign-Off 1026'!$N:$N,"q")</f>
        <v>#VALUE!</v>
      </c>
      <c r="T48" s="324" t="e">
        <f>COUNTIFS('[2]ISO Sign-Off 1026'!$L:$L,$A48,'[2]ISO Sign-Off 1026'!$N:$N,"rf")</f>
        <v>#VALUE!</v>
      </c>
      <c r="U48" s="324" t="e">
        <f>COUNTIFS('[2]ISO Sign-Off 1026'!$L:$L,$A48,'[2]ISO Sign-Off 1026'!$N:$N,"o")</f>
        <v>#VALUE!</v>
      </c>
      <c r="V48" s="324" t="e">
        <f>COUNTIFS('[2]ISO Sign-Off 1026'!$L:$L,$A48,'[2]ISO Sign-Off 1026'!$N:$N,"c")</f>
        <v>#VALUE!</v>
      </c>
      <c r="W48" s="324" t="e">
        <f t="shared" ref="W48" si="128">SUM(Q48-V48)</f>
        <v>#VALUE!</v>
      </c>
      <c r="X48" s="327" t="e">
        <f>SUMIFS('[3]DAY BOARD COUNT OSBL - AL'!$J$5:$J$33,'[3]DAY BOARD COUNT OSBL - AL'!$B$5:$B$33,A48)</f>
        <v>#VALUE!</v>
      </c>
      <c r="Y48" s="327" t="e">
        <f>SUMIFS('[3]DAY BOARD COUNT OSBL - AL'!$K$5:$K$33,'[3]DAY BOARD COUNT OSBL - AL'!$B$5:$B$33,A48)</f>
        <v>#VALUE!</v>
      </c>
      <c r="Z48" s="327" t="e">
        <f>SUMIFS('[3]DAY BOARD COUNT OSBL - AL'!$L$5:$L$33,'[3]DAY BOARD COUNT OSBL - AL'!$B$5:$B$33,A48)</f>
        <v>#VALUE!</v>
      </c>
      <c r="AA48" s="327" t="e">
        <f>SUMIFS('[3]DAY BOARD COUNT OSBL - AL'!$M$5:$M$33,'[3]DAY BOARD COUNT OSBL - AL'!$B$5:$B$33,A48)</f>
        <v>#VALUE!</v>
      </c>
      <c r="AB48" s="459" t="s">
        <v>531</v>
      </c>
      <c r="AC48" s="463">
        <f>SUMIF('Pipe Audit'!AK:AK,A48,'Pipe Audit'!BP:BP)</f>
        <v>0</v>
      </c>
      <c r="AD48" s="462" t="e">
        <f t="shared" si="19"/>
        <v>#DIV/0!</v>
      </c>
    </row>
    <row r="49" spans="1:30" ht="21" x14ac:dyDescent="0.5">
      <c r="A49" s="456"/>
      <c r="B49" s="342"/>
      <c r="C49" s="343">
        <f>SUM(C50:C51)</f>
        <v>0</v>
      </c>
      <c r="D49" s="343">
        <f>SUM(D50:D51)</f>
        <v>0</v>
      </c>
      <c r="E49" s="343">
        <f>SUM(E50:E51)</f>
        <v>0</v>
      </c>
      <c r="F49" s="343">
        <f>SUM(F50:F51)</f>
        <v>0</v>
      </c>
      <c r="G49" s="343">
        <f t="shared" ref="G49:AB49" si="129">SUM(G50:G51)</f>
        <v>0</v>
      </c>
      <c r="H49" s="343">
        <f t="shared" si="129"/>
        <v>0</v>
      </c>
      <c r="I49" s="343">
        <f t="shared" si="129"/>
        <v>0</v>
      </c>
      <c r="J49" s="343" t="e">
        <f t="shared" si="129"/>
        <v>#DIV/0!</v>
      </c>
      <c r="K49" s="343">
        <f t="shared" si="129"/>
        <v>0</v>
      </c>
      <c r="L49" s="343">
        <f t="shared" si="129"/>
        <v>0</v>
      </c>
      <c r="M49" s="343">
        <f t="shared" si="129"/>
        <v>0</v>
      </c>
      <c r="N49" s="343">
        <f t="shared" si="129"/>
        <v>0</v>
      </c>
      <c r="O49" s="343">
        <f t="shared" si="129"/>
        <v>0</v>
      </c>
      <c r="P49" s="343">
        <f t="shared" si="129"/>
        <v>0</v>
      </c>
      <c r="Q49" s="343" t="e">
        <f t="shared" si="129"/>
        <v>#VALUE!</v>
      </c>
      <c r="R49" s="343" t="e">
        <f t="shared" si="129"/>
        <v>#VALUE!</v>
      </c>
      <c r="S49" s="343" t="e">
        <f t="shared" si="129"/>
        <v>#VALUE!</v>
      </c>
      <c r="T49" s="343" t="e">
        <f t="shared" si="129"/>
        <v>#VALUE!</v>
      </c>
      <c r="U49" s="343" t="e">
        <f t="shared" si="129"/>
        <v>#VALUE!</v>
      </c>
      <c r="V49" s="343" t="e">
        <f t="shared" si="129"/>
        <v>#VALUE!</v>
      </c>
      <c r="W49" s="343" t="e">
        <f t="shared" si="129"/>
        <v>#VALUE!</v>
      </c>
      <c r="X49" s="343" t="e">
        <f t="shared" si="129"/>
        <v>#VALUE!</v>
      </c>
      <c r="Y49" s="343" t="e">
        <f t="shared" si="129"/>
        <v>#VALUE!</v>
      </c>
      <c r="Z49" s="343" t="e">
        <f t="shared" si="129"/>
        <v>#VALUE!</v>
      </c>
      <c r="AA49" s="343" t="e">
        <f t="shared" si="129"/>
        <v>#VALUE!</v>
      </c>
      <c r="AB49" s="343">
        <f t="shared" si="129"/>
        <v>0</v>
      </c>
      <c r="AC49" s="343">
        <f>SUM(AC50:AC51)</f>
        <v>0</v>
      </c>
      <c r="AD49" s="465" t="e">
        <f>P49/AC49</f>
        <v>#DIV/0!</v>
      </c>
    </row>
    <row r="50" spans="1:30" ht="21" x14ac:dyDescent="0.5">
      <c r="A50" s="306"/>
      <c r="B50" s="339"/>
      <c r="C50" s="324">
        <f>SUMIF('Pipe Audit'!$AK$2:$AK$82,A50,'Pipe Audit'!$L$2:$L$82)</f>
        <v>0</v>
      </c>
      <c r="D50" s="324">
        <f>SUMIF('Pipe Audit'!$AK$2:$AK$82,A50,'Pipe Audit'!$P$2:$P$82)</f>
        <v>0</v>
      </c>
      <c r="E50" s="325">
        <f>SUMIF('Pipe Audit'!$AK$3:$AK$82,A50,'Pipe Audit'!$K$3:$K$82)</f>
        <v>0</v>
      </c>
      <c r="F50" s="324">
        <f>SUMIF('Pipe Audit'!$AK$3:$AK$82,A50,'Pipe Audit'!$O$3:$O$82)</f>
        <v>0</v>
      </c>
      <c r="G50" s="324">
        <f t="shared" ref="G50:G57" si="130">E50-F50</f>
        <v>0</v>
      </c>
      <c r="H50" s="324">
        <f>SUMIF('Pipe Audit'!$AK$3:$AK$82,A50,'Pipe Audit'!$AJ$3:$AJ$82)</f>
        <v>0</v>
      </c>
      <c r="I50" s="324">
        <f>SUMIFS('Pipe Audit'!$AJ$3:$AJ$82,'Pipe Audit'!$AK$3:$AK$82,A50,'Pipe Audit'!$Q$3:$Q$82,"&gt;.25")</f>
        <v>0</v>
      </c>
      <c r="J50" s="326" t="e">
        <f t="shared" ref="J50:J57" si="131">I50/H50</f>
        <v>#DIV/0!</v>
      </c>
      <c r="K50" s="324">
        <f>SUMIFS('Pipe Audit'!$AJ$3:$AJ$82,'Pipe Audit'!$AK$3:$AK$82,A50,'Pipe Audit'!$U$3:$U$82,"&gt;.25")</f>
        <v>0</v>
      </c>
      <c r="L50" s="324">
        <f t="shared" ref="L50:L57" si="132">H50-I50</f>
        <v>0</v>
      </c>
      <c r="M50" s="324">
        <f t="shared" ref="M50:M57" si="133">SUM(H50-K50)</f>
        <v>0</v>
      </c>
      <c r="N50" s="324">
        <f>SUMIF('Pipe Audit'!$AK$3:$AK$82,A50,'Pipe Audit'!$BD$3:$BD$82)</f>
        <v>0</v>
      </c>
      <c r="O50" s="324">
        <f>SUMIF('Pipe Audit'!$AK$3:$AK$82,A50,'Pipe Audit'!$BE$3:$BE$82)</f>
        <v>0</v>
      </c>
      <c r="P50" s="324">
        <f t="shared" ref="P50:P57" si="134">SUM(N50-O50)</f>
        <v>0</v>
      </c>
      <c r="Q50" s="324" t="e">
        <f>COUNTIF('[2]ISO Sign-Off 1026'!$L:$L,A50)</f>
        <v>#VALUE!</v>
      </c>
      <c r="R50" s="324" t="e">
        <f>COUNTIFS('[2]ISO Sign-Off 1026'!$L:$L,$A50,'[2]ISO Sign-Off 1026'!$N:$N,"f")</f>
        <v>#VALUE!</v>
      </c>
      <c r="S50" s="324" t="e">
        <f>COUNTIFS('[2]ISO Sign-Off 1026'!$L:$L,$A50,'[2]ISO Sign-Off 1026'!$N:$N,"q")</f>
        <v>#VALUE!</v>
      </c>
      <c r="T50" s="324" t="e">
        <f>COUNTIFS('[2]ISO Sign-Off 1026'!$L:$L,$A50,'[2]ISO Sign-Off 1026'!$N:$N,"rf")</f>
        <v>#VALUE!</v>
      </c>
      <c r="U50" s="324" t="e">
        <f>COUNTIFS('[2]ISO Sign-Off 1026'!$L:$L,$A50,'[2]ISO Sign-Off 1026'!$N:$N,"o")</f>
        <v>#VALUE!</v>
      </c>
      <c r="V50" s="324" t="e">
        <f>COUNTIFS('[2]ISO Sign-Off 1026'!$L:$L,$A50,'[2]ISO Sign-Off 1026'!$N:$N,"c")</f>
        <v>#VALUE!</v>
      </c>
      <c r="W50" s="324" t="e">
        <f t="shared" ref="W50:W57" si="135">SUM(Q50-V50)</f>
        <v>#VALUE!</v>
      </c>
      <c r="X50" s="327" t="e">
        <f>SUMIFS('[3]DAY BOARD COUNT OSBL - AL'!$J$5:$J$33,'[3]DAY BOARD COUNT OSBL - AL'!$B$5:$B$33,A50)</f>
        <v>#VALUE!</v>
      </c>
      <c r="Y50" s="327" t="e">
        <f>SUMIFS('[3]DAY BOARD COUNT OSBL - AL'!$K$5:$K$33,'[3]DAY BOARD COUNT OSBL - AL'!$B$5:$B$33,A50)</f>
        <v>#VALUE!</v>
      </c>
      <c r="Z50" s="327" t="e">
        <f>SUMIFS('[3]DAY BOARD COUNT OSBL - AL'!$L$5:$L$33,'[3]DAY BOARD COUNT OSBL - AL'!$B$5:$B$33,A50)</f>
        <v>#VALUE!</v>
      </c>
      <c r="AA50" s="327" t="e">
        <f>SUMIFS('[3]DAY BOARD COUNT OSBL - AL'!$M$5:$M$33,'[3]DAY BOARD COUNT OSBL - AL'!$B$5:$B$33,A50)</f>
        <v>#VALUE!</v>
      </c>
      <c r="AB50" s="459"/>
      <c r="AC50" s="463">
        <f>SUMIF('Pipe Audit'!AK:AK,A50,'Pipe Audit'!BP:BP)</f>
        <v>0</v>
      </c>
      <c r="AD50" s="462" t="e">
        <f t="shared" si="19"/>
        <v>#DIV/0!</v>
      </c>
    </row>
    <row r="51" spans="1:30" ht="21" x14ac:dyDescent="0.5">
      <c r="A51" s="452"/>
      <c r="B51" s="339"/>
      <c r="C51" s="324">
        <f>SUMIF('Pipe Audit'!$AK$2:$AK$82,A51,'Pipe Audit'!$L$2:$L$82)</f>
        <v>0</v>
      </c>
      <c r="D51" s="324">
        <f>SUMIF('Pipe Audit'!$AK$2:$AK$82,A51,'Pipe Audit'!$P$2:$P$82)</f>
        <v>0</v>
      </c>
      <c r="E51" s="325">
        <f>SUMIF('Pipe Audit'!$AK$3:$AK$82,A51,'Pipe Audit'!$K$3:$K$82)</f>
        <v>0</v>
      </c>
      <c r="F51" s="324">
        <f>SUMIF('Pipe Audit'!$AK$3:$AK$82,A51,'Pipe Audit'!$O$3:$O$82)</f>
        <v>0</v>
      </c>
      <c r="G51" s="324">
        <f t="shared" si="130"/>
        <v>0</v>
      </c>
      <c r="H51" s="324">
        <f>SUMIF('Pipe Audit'!$AK$3:$AK$82,A51,'Pipe Audit'!$AJ$3:$AJ$82)</f>
        <v>0</v>
      </c>
      <c r="I51" s="324">
        <f>SUMIFS('Pipe Audit'!$AJ$3:$AJ$82,'Pipe Audit'!$AK$3:$AK$82,A51,'Pipe Audit'!$Q$3:$Q$82,"&gt;.25")</f>
        <v>0</v>
      </c>
      <c r="J51" s="326" t="e">
        <f t="shared" si="131"/>
        <v>#DIV/0!</v>
      </c>
      <c r="K51" s="324">
        <f>SUMIFS('Pipe Audit'!$AJ$3:$AJ$82,'Pipe Audit'!$AK$3:$AK$82,A51,'Pipe Audit'!$U$3:$U$82,"&gt;.25")</f>
        <v>0</v>
      </c>
      <c r="L51" s="324">
        <f t="shared" si="132"/>
        <v>0</v>
      </c>
      <c r="M51" s="324">
        <f t="shared" si="133"/>
        <v>0</v>
      </c>
      <c r="N51" s="324">
        <f>SUMIF('Pipe Audit'!$AK$3:$AK$82,A51,'Pipe Audit'!$BD$3:$BD$82)</f>
        <v>0</v>
      </c>
      <c r="O51" s="324">
        <f>SUMIF('Pipe Audit'!$AK$3:$AK$82,A51,'Pipe Audit'!$BE$3:$BE$82)</f>
        <v>0</v>
      </c>
      <c r="P51" s="324">
        <f t="shared" si="134"/>
        <v>0</v>
      </c>
      <c r="Q51" s="324" t="e">
        <f>COUNTIF('[2]ISO Sign-Off 1026'!$L:$L,A51)</f>
        <v>#VALUE!</v>
      </c>
      <c r="R51" s="324" t="e">
        <f>COUNTIFS('[2]ISO Sign-Off 1026'!$L:$L,$A51,'[2]ISO Sign-Off 1026'!$N:$N,"f")</f>
        <v>#VALUE!</v>
      </c>
      <c r="S51" s="324" t="e">
        <f>COUNTIFS('[2]ISO Sign-Off 1026'!$L:$L,$A51,'[2]ISO Sign-Off 1026'!$N:$N,"q")</f>
        <v>#VALUE!</v>
      </c>
      <c r="T51" s="324" t="e">
        <f>COUNTIFS('[2]ISO Sign-Off 1026'!$L:$L,$A51,'[2]ISO Sign-Off 1026'!$N:$N,"rf")</f>
        <v>#VALUE!</v>
      </c>
      <c r="U51" s="324" t="e">
        <f>COUNTIFS('[2]ISO Sign-Off 1026'!$L:$L,$A51,'[2]ISO Sign-Off 1026'!$N:$N,"o")</f>
        <v>#VALUE!</v>
      </c>
      <c r="V51" s="324" t="e">
        <f>COUNTIFS('[2]ISO Sign-Off 1026'!$L:$L,$A51,'[2]ISO Sign-Off 1026'!$N:$N,"c")</f>
        <v>#VALUE!</v>
      </c>
      <c r="W51" s="324" t="e">
        <f t="shared" si="135"/>
        <v>#VALUE!</v>
      </c>
      <c r="X51" s="327" t="e">
        <f>SUMIFS('[3]DAY BOARD COUNT OSBL - AL'!$J$5:$J$33,'[3]DAY BOARD COUNT OSBL - AL'!$B$5:$B$33,A51)</f>
        <v>#VALUE!</v>
      </c>
      <c r="Y51" s="327" t="e">
        <f>SUMIFS('[3]DAY BOARD COUNT OSBL - AL'!$K$5:$K$33,'[3]DAY BOARD COUNT OSBL - AL'!$B$5:$B$33,A51)</f>
        <v>#VALUE!</v>
      </c>
      <c r="Z51" s="327" t="e">
        <f>SUMIFS('[3]DAY BOARD COUNT OSBL - AL'!$L$5:$L$33,'[3]DAY BOARD COUNT OSBL - AL'!$B$5:$B$33,A51)</f>
        <v>#VALUE!</v>
      </c>
      <c r="AA51" s="327" t="e">
        <f>SUMIFS('[3]DAY BOARD COUNT OSBL - AL'!$M$5:$M$33,'[3]DAY BOARD COUNT OSBL - AL'!$B$5:$B$33,A51)</f>
        <v>#VALUE!</v>
      </c>
      <c r="AB51" s="459"/>
      <c r="AC51" s="463">
        <f>SUMIF('Pipe Audit'!AK:AK,A51,'Pipe Audit'!BP:BP)</f>
        <v>0</v>
      </c>
      <c r="AD51" s="462" t="e">
        <f t="shared" si="19"/>
        <v>#DIV/0!</v>
      </c>
    </row>
    <row r="52" spans="1:30" ht="21" x14ac:dyDescent="0.5">
      <c r="A52" s="306"/>
      <c r="B52" s="339"/>
      <c r="C52" s="324">
        <f>SUMIF('Pipe Audit'!$AK$2:$AK$82,A52,'Pipe Audit'!$L$2:$L$82)</f>
        <v>0</v>
      </c>
      <c r="D52" s="324">
        <f>SUMIF('Pipe Audit'!$AK$2:$AK$82,A52,'Pipe Audit'!$P$2:$P$82)</f>
        <v>0</v>
      </c>
      <c r="E52" s="325">
        <f>SUMIF('Pipe Audit'!$AK$3:$AK$82,A52,'Pipe Audit'!$K$3:$K$82)</f>
        <v>0</v>
      </c>
      <c r="F52" s="324">
        <f>SUMIF('Pipe Audit'!$AK$3:$AK$82,A52,'Pipe Audit'!$O$3:$O$82)</f>
        <v>0</v>
      </c>
      <c r="G52" s="324">
        <f t="shared" si="130"/>
        <v>0</v>
      </c>
      <c r="H52" s="324">
        <f>SUMIF('Pipe Audit'!$AK$3:$AK$82,A52,'Pipe Audit'!$AJ$3:$AJ$82)</f>
        <v>0</v>
      </c>
      <c r="I52" s="324">
        <f>SUMIFS('Pipe Audit'!$AJ$3:$AJ$82,'Pipe Audit'!$AK$3:$AK$82,A52,'Pipe Audit'!$Q$3:$Q$82,"&gt;.25")</f>
        <v>0</v>
      </c>
      <c r="J52" s="326" t="e">
        <f t="shared" si="131"/>
        <v>#DIV/0!</v>
      </c>
      <c r="K52" s="324">
        <f>SUMIFS('Pipe Audit'!$AJ$3:$AJ$82,'Pipe Audit'!$AK$3:$AK$82,A52,'Pipe Audit'!$U$3:$U$82,"&gt;.25")</f>
        <v>0</v>
      </c>
      <c r="L52" s="324">
        <f t="shared" si="132"/>
        <v>0</v>
      </c>
      <c r="M52" s="324">
        <f t="shared" si="133"/>
        <v>0</v>
      </c>
      <c r="N52" s="324">
        <f>SUMIF('Pipe Audit'!$AK$3:$AK$82,A52,'Pipe Audit'!$BD$3:$BD$82)</f>
        <v>0</v>
      </c>
      <c r="O52" s="324">
        <f>SUMIF('Pipe Audit'!$AK$3:$AK$82,A52,'Pipe Audit'!$BE$3:$BE$82)</f>
        <v>0</v>
      </c>
      <c r="P52" s="324">
        <f t="shared" si="134"/>
        <v>0</v>
      </c>
      <c r="Q52" s="324" t="e">
        <f>COUNTIF('[2]ISO Sign-Off 1026'!$L:$L,A52)</f>
        <v>#VALUE!</v>
      </c>
      <c r="R52" s="324" t="e">
        <f>COUNTIFS('[2]ISO Sign-Off 1026'!$L:$L,$A52,'[2]ISO Sign-Off 1026'!$N:$N,"f")</f>
        <v>#VALUE!</v>
      </c>
      <c r="S52" s="324" t="e">
        <f>COUNTIFS('[2]ISO Sign-Off 1026'!$L:$L,$A52,'[2]ISO Sign-Off 1026'!$N:$N,"q")</f>
        <v>#VALUE!</v>
      </c>
      <c r="T52" s="324" t="e">
        <f>COUNTIFS('[2]ISO Sign-Off 1026'!$L:$L,$A52,'[2]ISO Sign-Off 1026'!$N:$N,"rf")</f>
        <v>#VALUE!</v>
      </c>
      <c r="U52" s="324" t="e">
        <f>COUNTIFS('[2]ISO Sign-Off 1026'!$L:$L,$A52,'[2]ISO Sign-Off 1026'!$N:$N,"o")</f>
        <v>#VALUE!</v>
      </c>
      <c r="V52" s="324" t="e">
        <f>COUNTIFS('[2]ISO Sign-Off 1026'!$L:$L,$A52,'[2]ISO Sign-Off 1026'!$N:$N,"c")</f>
        <v>#VALUE!</v>
      </c>
      <c r="W52" s="324" t="e">
        <f t="shared" si="135"/>
        <v>#VALUE!</v>
      </c>
      <c r="X52" s="327" t="e">
        <f>SUMIFS('[3]DAY BOARD COUNT OSBL - AL'!$J$5:$J$33,'[3]DAY BOARD COUNT OSBL - AL'!$B$5:$B$33,A52)</f>
        <v>#VALUE!</v>
      </c>
      <c r="Y52" s="327" t="e">
        <f>SUMIFS('[3]DAY BOARD COUNT OSBL - AL'!$K$5:$K$33,'[3]DAY BOARD COUNT OSBL - AL'!$B$5:$B$33,A52)</f>
        <v>#VALUE!</v>
      </c>
      <c r="Z52" s="327" t="e">
        <f>SUMIFS('[3]DAY BOARD COUNT OSBL - AL'!$L$5:$L$33,'[3]DAY BOARD COUNT OSBL - AL'!$B$5:$B$33,A52)</f>
        <v>#VALUE!</v>
      </c>
      <c r="AA52" s="327" t="e">
        <f>SUMIFS('[3]DAY BOARD COUNT OSBL - AL'!$M$5:$M$33,'[3]DAY BOARD COUNT OSBL - AL'!$B$5:$B$33,A52)</f>
        <v>#VALUE!</v>
      </c>
      <c r="AB52" s="459"/>
      <c r="AC52" s="463">
        <f>SUMIF('Pipe Audit'!AK:AK,A52,'Pipe Audit'!BP:BP)</f>
        <v>0</v>
      </c>
      <c r="AD52" s="462"/>
    </row>
    <row r="53" spans="1:30" ht="21" x14ac:dyDescent="0.5">
      <c r="A53" s="306"/>
      <c r="B53" s="339"/>
      <c r="C53" s="324">
        <f>SUMIF('Pipe Audit'!$AK$2:$AK$82,A53,'Pipe Audit'!$L$2:$L$82)</f>
        <v>0</v>
      </c>
      <c r="D53" s="324">
        <f>SUMIF('Pipe Audit'!$AK$2:$AK$82,A53,'Pipe Audit'!$P$2:$P$82)</f>
        <v>0</v>
      </c>
      <c r="E53" s="325">
        <f>SUMIF('Pipe Audit'!$AK$3:$AK$82,A53,'Pipe Audit'!$K$3:$K$82)</f>
        <v>0</v>
      </c>
      <c r="F53" s="324">
        <f>SUMIF('Pipe Audit'!$AK$3:$AK$82,A53,'Pipe Audit'!$O$3:$O$82)</f>
        <v>0</v>
      </c>
      <c r="G53" s="324">
        <f t="shared" si="130"/>
        <v>0</v>
      </c>
      <c r="H53" s="324">
        <f>SUMIF('Pipe Audit'!$AK$3:$AK$82,A53,'Pipe Audit'!$AJ$3:$AJ$82)</f>
        <v>0</v>
      </c>
      <c r="I53" s="324">
        <f>SUMIFS('Pipe Audit'!$AJ$3:$AJ$82,'Pipe Audit'!$AK$3:$AK$82,A53,'Pipe Audit'!$Q$3:$Q$82,"&gt;.25")</f>
        <v>0</v>
      </c>
      <c r="J53" s="326" t="e">
        <f t="shared" si="131"/>
        <v>#DIV/0!</v>
      </c>
      <c r="K53" s="324">
        <f>SUMIFS('Pipe Audit'!$AJ$3:$AJ$82,'Pipe Audit'!$AK$3:$AK$82,A53,'Pipe Audit'!$U$3:$U$82,"&gt;.25")</f>
        <v>0</v>
      </c>
      <c r="L53" s="324">
        <f t="shared" si="132"/>
        <v>0</v>
      </c>
      <c r="M53" s="324">
        <f t="shared" si="133"/>
        <v>0</v>
      </c>
      <c r="N53" s="324">
        <f>SUMIF('Pipe Audit'!$AK$3:$AK$82,A53,'Pipe Audit'!$BD$3:$BD$82)</f>
        <v>0</v>
      </c>
      <c r="O53" s="324">
        <f>SUMIF('Pipe Audit'!$AK$3:$AK$82,A53,'Pipe Audit'!$BE$3:$BE$82)</f>
        <v>0</v>
      </c>
      <c r="P53" s="324">
        <f t="shared" si="134"/>
        <v>0</v>
      </c>
      <c r="Q53" s="324" t="e">
        <f>COUNTIF('[2]ISO Sign-Off 1026'!$L:$L,A53)</f>
        <v>#VALUE!</v>
      </c>
      <c r="R53" s="324" t="e">
        <f>COUNTIFS('[2]ISO Sign-Off 1026'!$L:$L,$A53,'[2]ISO Sign-Off 1026'!$N:$N,"f")</f>
        <v>#VALUE!</v>
      </c>
      <c r="S53" s="324" t="e">
        <f>COUNTIFS('[2]ISO Sign-Off 1026'!$L:$L,$A53,'[2]ISO Sign-Off 1026'!$N:$N,"q")</f>
        <v>#VALUE!</v>
      </c>
      <c r="T53" s="324" t="e">
        <f>COUNTIFS('[2]ISO Sign-Off 1026'!$L:$L,$A53,'[2]ISO Sign-Off 1026'!$N:$N,"rf")</f>
        <v>#VALUE!</v>
      </c>
      <c r="U53" s="324" t="e">
        <f>COUNTIFS('[2]ISO Sign-Off 1026'!$L:$L,$A53,'[2]ISO Sign-Off 1026'!$N:$N,"o")</f>
        <v>#VALUE!</v>
      </c>
      <c r="V53" s="324" t="e">
        <f>COUNTIFS('[2]ISO Sign-Off 1026'!$L:$L,$A53,'[2]ISO Sign-Off 1026'!$N:$N,"c")</f>
        <v>#VALUE!</v>
      </c>
      <c r="W53" s="324" t="e">
        <f t="shared" si="135"/>
        <v>#VALUE!</v>
      </c>
      <c r="X53" s="327" t="e">
        <f>SUMIFS('[3]DAY BOARD COUNT OSBL - AL'!$J$5:$J$33,'[3]DAY BOARD COUNT OSBL - AL'!$B$5:$B$33,A53)</f>
        <v>#VALUE!</v>
      </c>
      <c r="Y53" s="327" t="e">
        <f>SUMIFS('[3]DAY BOARD COUNT OSBL - AL'!$K$5:$K$33,'[3]DAY BOARD COUNT OSBL - AL'!$B$5:$B$33,A53)</f>
        <v>#VALUE!</v>
      </c>
      <c r="Z53" s="327" t="e">
        <f>SUMIFS('[3]DAY BOARD COUNT OSBL - AL'!$L$5:$L$33,'[3]DAY BOARD COUNT OSBL - AL'!$B$5:$B$33,A53)</f>
        <v>#VALUE!</v>
      </c>
      <c r="AA53" s="327" t="e">
        <f>SUMIFS('[3]DAY BOARD COUNT OSBL - AL'!$M$5:$M$33,'[3]DAY BOARD COUNT OSBL - AL'!$B$5:$B$33,A53)</f>
        <v>#VALUE!</v>
      </c>
      <c r="AB53" s="459"/>
      <c r="AC53" s="463">
        <f>SUMIF('Pipe Audit'!AK:AK,A53,'Pipe Audit'!BP:BP)</f>
        <v>0</v>
      </c>
      <c r="AD53" s="462"/>
    </row>
    <row r="54" spans="1:30" ht="21" x14ac:dyDescent="0.5">
      <c r="A54" s="306"/>
      <c r="B54" s="339"/>
      <c r="C54" s="324">
        <f>SUMIF('Pipe Audit'!$AK$2:$AK$82,A54,'Pipe Audit'!$L$2:$L$82)</f>
        <v>0</v>
      </c>
      <c r="D54" s="324">
        <f>SUMIF('Pipe Audit'!$AK$2:$AK$82,A54,'Pipe Audit'!$P$2:$P$82)</f>
        <v>0</v>
      </c>
      <c r="E54" s="325">
        <f>SUMIF('Pipe Audit'!$AK$3:$AK$82,A54,'Pipe Audit'!$K$3:$K$82)</f>
        <v>0</v>
      </c>
      <c r="F54" s="324">
        <f>SUMIF('Pipe Audit'!$AK$3:$AK$82,A54,'Pipe Audit'!$O$3:$O$82)</f>
        <v>0</v>
      </c>
      <c r="G54" s="324">
        <f t="shared" si="130"/>
        <v>0</v>
      </c>
      <c r="H54" s="324">
        <f>SUMIF('Pipe Audit'!$AK$3:$AK$82,A54,'Pipe Audit'!$AJ$3:$AJ$82)</f>
        <v>0</v>
      </c>
      <c r="I54" s="324">
        <f>SUMIFS('Pipe Audit'!$AJ$3:$AJ$82,'Pipe Audit'!$AK$3:$AK$82,A54,'Pipe Audit'!$Q$3:$Q$82,"&gt;.25")</f>
        <v>0</v>
      </c>
      <c r="J54" s="326" t="e">
        <f t="shared" si="131"/>
        <v>#DIV/0!</v>
      </c>
      <c r="K54" s="324">
        <f>SUMIFS('Pipe Audit'!$AJ$3:$AJ$82,'Pipe Audit'!$AK$3:$AK$82,A54,'Pipe Audit'!$U$3:$U$82,"&gt;.25")</f>
        <v>0</v>
      </c>
      <c r="L54" s="324">
        <f t="shared" si="132"/>
        <v>0</v>
      </c>
      <c r="M54" s="324">
        <f t="shared" si="133"/>
        <v>0</v>
      </c>
      <c r="N54" s="324">
        <f>SUMIF('Pipe Audit'!$AK$3:$AK$82,A54,'Pipe Audit'!$BD$3:$BD$82)</f>
        <v>0</v>
      </c>
      <c r="O54" s="324">
        <f>SUMIF('Pipe Audit'!$AK$3:$AK$82,A54,'Pipe Audit'!$BE$3:$BE$82)</f>
        <v>0</v>
      </c>
      <c r="P54" s="324">
        <f t="shared" si="134"/>
        <v>0</v>
      </c>
      <c r="Q54" s="324" t="e">
        <f>COUNTIF('[2]ISO Sign-Off 1026'!$L:$L,A54)</f>
        <v>#VALUE!</v>
      </c>
      <c r="R54" s="324" t="e">
        <f>COUNTIFS('[2]ISO Sign-Off 1026'!$L:$L,$A54,'[2]ISO Sign-Off 1026'!$N:$N,"f")</f>
        <v>#VALUE!</v>
      </c>
      <c r="S54" s="324" t="e">
        <f>COUNTIFS('[2]ISO Sign-Off 1026'!$L:$L,$A54,'[2]ISO Sign-Off 1026'!$N:$N,"q")</f>
        <v>#VALUE!</v>
      </c>
      <c r="T54" s="324" t="e">
        <f>COUNTIFS('[2]ISO Sign-Off 1026'!$L:$L,$A54,'[2]ISO Sign-Off 1026'!$N:$N,"rf")</f>
        <v>#VALUE!</v>
      </c>
      <c r="U54" s="324" t="e">
        <f>COUNTIFS('[2]ISO Sign-Off 1026'!$L:$L,$A54,'[2]ISO Sign-Off 1026'!$N:$N,"o")</f>
        <v>#VALUE!</v>
      </c>
      <c r="V54" s="324" t="e">
        <f>COUNTIFS('[2]ISO Sign-Off 1026'!$L:$L,$A54,'[2]ISO Sign-Off 1026'!$N:$N,"c")</f>
        <v>#VALUE!</v>
      </c>
      <c r="W54" s="324" t="e">
        <f t="shared" si="135"/>
        <v>#VALUE!</v>
      </c>
      <c r="X54" s="327" t="e">
        <f>SUMIFS('[3]DAY BOARD COUNT OSBL - AL'!$J$5:$J$33,'[3]DAY BOARD COUNT OSBL - AL'!$B$5:$B$33,A54)</f>
        <v>#VALUE!</v>
      </c>
      <c r="Y54" s="327" t="e">
        <f>SUMIFS('[3]DAY BOARD COUNT OSBL - AL'!$K$5:$K$33,'[3]DAY BOARD COUNT OSBL - AL'!$B$5:$B$33,A54)</f>
        <v>#VALUE!</v>
      </c>
      <c r="Z54" s="327" t="e">
        <f>SUMIFS('[3]DAY BOARD COUNT OSBL - AL'!$L$5:$L$33,'[3]DAY BOARD COUNT OSBL - AL'!$B$5:$B$33,A54)</f>
        <v>#VALUE!</v>
      </c>
      <c r="AA54" s="327" t="e">
        <f>SUMIFS('[3]DAY BOARD COUNT OSBL - AL'!$M$5:$M$33,'[3]DAY BOARD COUNT OSBL - AL'!$B$5:$B$33,A54)</f>
        <v>#VALUE!</v>
      </c>
      <c r="AB54" s="459"/>
      <c r="AC54" s="463">
        <f>SUMIF('Pipe Audit'!AK:AK,A54,'Pipe Audit'!BP:BP)</f>
        <v>0</v>
      </c>
      <c r="AD54" s="462"/>
    </row>
    <row r="55" spans="1:30" ht="21" x14ac:dyDescent="0.5">
      <c r="A55" s="330"/>
      <c r="B55" s="341"/>
      <c r="C55" s="324">
        <f>SUMIF('Pipe Audit'!$AK$2:$AK$82,A55,'Pipe Audit'!$L$2:$L$82)</f>
        <v>0</v>
      </c>
      <c r="D55" s="324">
        <f>SUMIF('Pipe Audit'!$AK$2:$AK$82,A55,'Pipe Audit'!$P$2:$P$82)</f>
        <v>0</v>
      </c>
      <c r="E55" s="325">
        <f>SUMIF('Pipe Audit'!$AK$3:$AK$82,A55,'Pipe Audit'!$K$3:$K$82)</f>
        <v>0</v>
      </c>
      <c r="F55" s="324">
        <f>SUMIF('Pipe Audit'!$AK$3:$AK$82,A55,'Pipe Audit'!$O$3:$O$82)</f>
        <v>0</v>
      </c>
      <c r="G55" s="324">
        <f t="shared" si="130"/>
        <v>0</v>
      </c>
      <c r="H55" s="324">
        <f>SUMIF('Pipe Audit'!$AK$3:$AK$82,A55,'Pipe Audit'!$AJ$3:$AJ$82)</f>
        <v>0</v>
      </c>
      <c r="I55" s="324">
        <f>SUMIFS('Pipe Audit'!$AJ$3:$AJ$82,'Pipe Audit'!$AK$3:$AK$82,A55,'Pipe Audit'!$Q$3:$Q$82,"&gt;.25")</f>
        <v>0</v>
      </c>
      <c r="J55" s="326" t="e">
        <f t="shared" si="131"/>
        <v>#DIV/0!</v>
      </c>
      <c r="K55" s="324">
        <f>SUMIFS('Pipe Audit'!$AJ$3:$AJ$82,'Pipe Audit'!$AK$3:$AK$82,A55,'Pipe Audit'!$U$3:$U$82,"&gt;.25")</f>
        <v>0</v>
      </c>
      <c r="L55" s="324">
        <f t="shared" si="132"/>
        <v>0</v>
      </c>
      <c r="M55" s="324">
        <f t="shared" si="133"/>
        <v>0</v>
      </c>
      <c r="N55" s="324">
        <f>SUMIF('Pipe Audit'!$AK$3:$AK$82,A55,'Pipe Audit'!$BD$3:$BD$82)</f>
        <v>0</v>
      </c>
      <c r="O55" s="324">
        <f>SUMIF('Pipe Audit'!$AK$3:$AK$82,A55,'Pipe Audit'!$BE$3:$BE$82)</f>
        <v>0</v>
      </c>
      <c r="P55" s="324">
        <f t="shared" si="134"/>
        <v>0</v>
      </c>
      <c r="Q55" s="324" t="e">
        <f>COUNTIF('[2]ISO Sign-Off 1026'!$L:$L,A55)</f>
        <v>#VALUE!</v>
      </c>
      <c r="R55" s="324" t="e">
        <f>COUNTIFS('[2]ISO Sign-Off 1026'!$L:$L,$A55,'[2]ISO Sign-Off 1026'!$N:$N,"f")</f>
        <v>#VALUE!</v>
      </c>
      <c r="S55" s="324" t="e">
        <f>COUNTIFS('[2]ISO Sign-Off 1026'!$L:$L,$A55,'[2]ISO Sign-Off 1026'!$N:$N,"q")</f>
        <v>#VALUE!</v>
      </c>
      <c r="T55" s="324" t="e">
        <f>COUNTIFS('[2]ISO Sign-Off 1026'!$L:$L,$A55,'[2]ISO Sign-Off 1026'!$N:$N,"rf")</f>
        <v>#VALUE!</v>
      </c>
      <c r="U55" s="324" t="e">
        <f>COUNTIFS('[2]ISO Sign-Off 1026'!$L:$L,$A55,'[2]ISO Sign-Off 1026'!$N:$N,"o")</f>
        <v>#VALUE!</v>
      </c>
      <c r="V55" s="324" t="e">
        <f>COUNTIFS('[2]ISO Sign-Off 1026'!$L:$L,$A55,'[2]ISO Sign-Off 1026'!$N:$N,"c")</f>
        <v>#VALUE!</v>
      </c>
      <c r="W55" s="324" t="e">
        <f t="shared" si="135"/>
        <v>#VALUE!</v>
      </c>
      <c r="X55" s="327" t="e">
        <f>SUMIFS('[3]DAY BOARD COUNT OSBL - AL'!$J$5:$J$33,'[3]DAY BOARD COUNT OSBL - AL'!$B$5:$B$33,A55)</f>
        <v>#VALUE!</v>
      </c>
      <c r="Y55" s="327" t="e">
        <f>SUMIFS('[3]DAY BOARD COUNT OSBL - AL'!$K$5:$K$33,'[3]DAY BOARD COUNT OSBL - AL'!$B$5:$B$33,A55)</f>
        <v>#VALUE!</v>
      </c>
      <c r="Z55" s="327" t="e">
        <f>SUMIFS('[3]DAY BOARD COUNT OSBL - AL'!$L$5:$L$33,'[3]DAY BOARD COUNT OSBL - AL'!$B$5:$B$33,A55)</f>
        <v>#VALUE!</v>
      </c>
      <c r="AA55" s="327" t="e">
        <f>SUMIFS('[3]DAY BOARD COUNT OSBL - AL'!$M$5:$M$33,'[3]DAY BOARD COUNT OSBL - AL'!$B$5:$B$33,A55)</f>
        <v>#VALUE!</v>
      </c>
      <c r="AB55" s="459"/>
      <c r="AC55" s="463">
        <f>SUMIF('Pipe Audit'!AK:AK,A55,'Pipe Audit'!BP:BP)</f>
        <v>0</v>
      </c>
      <c r="AD55" s="462"/>
    </row>
    <row r="56" spans="1:30" ht="21" x14ac:dyDescent="0.5">
      <c r="A56" s="330"/>
      <c r="B56" s="341"/>
      <c r="C56" s="324">
        <f>SUMIF('Pipe Audit'!$AK$2:$AK$82,A56,'Pipe Audit'!$L$2:$L$82)</f>
        <v>0</v>
      </c>
      <c r="D56" s="324">
        <f>SUMIF('Pipe Audit'!$AK$2:$AK$82,A56,'Pipe Audit'!$P$2:$P$82)</f>
        <v>0</v>
      </c>
      <c r="E56" s="325">
        <f>SUMIF('Pipe Audit'!$AK$3:$AK$82,A56,'Pipe Audit'!$K$3:$K$82)</f>
        <v>0</v>
      </c>
      <c r="F56" s="324">
        <f>SUMIF('Pipe Audit'!$AK$3:$AK$82,A56,'Pipe Audit'!$O$3:$O$82)</f>
        <v>0</v>
      </c>
      <c r="G56" s="324">
        <f t="shared" si="130"/>
        <v>0</v>
      </c>
      <c r="H56" s="324">
        <f>SUMIF('Pipe Audit'!$AK$3:$AK$82,A56,'Pipe Audit'!$AJ$3:$AJ$82)</f>
        <v>0</v>
      </c>
      <c r="I56" s="324">
        <f>SUMIFS('Pipe Audit'!$AJ$3:$AJ$82,'Pipe Audit'!$AK$3:$AK$82,A56,'Pipe Audit'!$Q$3:$Q$82,"&gt;.25")</f>
        <v>0</v>
      </c>
      <c r="J56" s="326" t="e">
        <f t="shared" si="131"/>
        <v>#DIV/0!</v>
      </c>
      <c r="K56" s="324">
        <f>SUMIFS('Pipe Audit'!$AJ$3:$AJ$82,'Pipe Audit'!$AK$3:$AK$82,A56,'Pipe Audit'!$U$3:$U$82,"&gt;.25")</f>
        <v>0</v>
      </c>
      <c r="L56" s="324">
        <f t="shared" si="132"/>
        <v>0</v>
      </c>
      <c r="M56" s="324">
        <f t="shared" si="133"/>
        <v>0</v>
      </c>
      <c r="N56" s="324">
        <f>SUMIF('Pipe Audit'!$AK$3:$AK$82,A56,'Pipe Audit'!$BD$3:$BD$82)</f>
        <v>0</v>
      </c>
      <c r="O56" s="324">
        <f>SUMIF('Pipe Audit'!$AK$3:$AK$82,A56,'Pipe Audit'!$BE$3:$BE$82)</f>
        <v>0</v>
      </c>
      <c r="P56" s="324">
        <f t="shared" si="134"/>
        <v>0</v>
      </c>
      <c r="Q56" s="324" t="e">
        <f>COUNTIF('[2]ISO Sign-Off 1026'!$L:$L,A56)</f>
        <v>#VALUE!</v>
      </c>
      <c r="R56" s="324" t="e">
        <f>COUNTIFS('[2]ISO Sign-Off 1026'!$L:$L,$A56,'[2]ISO Sign-Off 1026'!$N:$N,"f")</f>
        <v>#VALUE!</v>
      </c>
      <c r="S56" s="324" t="e">
        <f>COUNTIFS('[2]ISO Sign-Off 1026'!$L:$L,$A56,'[2]ISO Sign-Off 1026'!$N:$N,"q")</f>
        <v>#VALUE!</v>
      </c>
      <c r="T56" s="324" t="e">
        <f>COUNTIFS('[2]ISO Sign-Off 1026'!$L:$L,$A56,'[2]ISO Sign-Off 1026'!$N:$N,"rf")</f>
        <v>#VALUE!</v>
      </c>
      <c r="U56" s="324" t="e">
        <f>COUNTIFS('[2]ISO Sign-Off 1026'!$L:$L,$A56,'[2]ISO Sign-Off 1026'!$N:$N,"o")</f>
        <v>#VALUE!</v>
      </c>
      <c r="V56" s="324" t="e">
        <f>COUNTIFS('[2]ISO Sign-Off 1026'!$L:$L,$A56,'[2]ISO Sign-Off 1026'!$N:$N,"c")</f>
        <v>#VALUE!</v>
      </c>
      <c r="W56" s="324" t="e">
        <f t="shared" si="135"/>
        <v>#VALUE!</v>
      </c>
      <c r="X56" s="327" t="e">
        <f>SUMIFS('[3]DAY BOARD COUNT OSBL - AL'!$J$5:$J$33,'[3]DAY BOARD COUNT OSBL - AL'!$B$5:$B$33,A56)</f>
        <v>#VALUE!</v>
      </c>
      <c r="Y56" s="327" t="e">
        <f>SUMIFS('[3]DAY BOARD COUNT OSBL - AL'!$K$5:$K$33,'[3]DAY BOARD COUNT OSBL - AL'!$B$5:$B$33,A56)</f>
        <v>#VALUE!</v>
      </c>
      <c r="Z56" s="327" t="e">
        <f>SUMIFS('[3]DAY BOARD COUNT OSBL - AL'!$L$5:$L$33,'[3]DAY BOARD COUNT OSBL - AL'!$B$5:$B$33,A56)</f>
        <v>#VALUE!</v>
      </c>
      <c r="AA56" s="327" t="e">
        <f>SUMIFS('[3]DAY BOARD COUNT OSBL - AL'!$M$5:$M$33,'[3]DAY BOARD COUNT OSBL - AL'!$B$5:$B$33,A56)</f>
        <v>#VALUE!</v>
      </c>
      <c r="AB56" s="459"/>
      <c r="AC56" s="463">
        <f>SUMIF('Pipe Audit'!AK:AK,A56,'Pipe Audit'!BP:BP)</f>
        <v>0</v>
      </c>
      <c r="AD56" s="462"/>
    </row>
    <row r="57" spans="1:30" ht="21" x14ac:dyDescent="0.5">
      <c r="A57" s="330"/>
      <c r="B57" s="341"/>
      <c r="C57" s="324">
        <f>SUMIF('Pipe Audit'!$AK$2:$AK$82,A57,'Pipe Audit'!$L$2:$L$82)</f>
        <v>0</v>
      </c>
      <c r="D57" s="324">
        <f>SUMIF('Pipe Audit'!$AK$2:$AK$82,A57,'Pipe Audit'!$P$2:$P$82)</f>
        <v>0</v>
      </c>
      <c r="E57" s="325">
        <f>SUMIF('Pipe Audit'!$AK$3:$AK$82,A57,'Pipe Audit'!$K$3:$K$82)</f>
        <v>0</v>
      </c>
      <c r="F57" s="324">
        <f>SUMIF('Pipe Audit'!$AK$3:$AK$82,A57,'Pipe Audit'!$O$3:$O$82)</f>
        <v>0</v>
      </c>
      <c r="G57" s="324">
        <f t="shared" si="130"/>
        <v>0</v>
      </c>
      <c r="H57" s="324">
        <f>SUMIF('Pipe Audit'!$AK$3:$AK$82,A57,'Pipe Audit'!$AJ$3:$AJ$82)</f>
        <v>0</v>
      </c>
      <c r="I57" s="324">
        <f>SUMIFS('Pipe Audit'!$AJ$3:$AJ$82,'Pipe Audit'!$AK$3:$AK$82,A57,'Pipe Audit'!$Q$3:$Q$82,"&gt;.25")</f>
        <v>0</v>
      </c>
      <c r="J57" s="326" t="e">
        <f t="shared" si="131"/>
        <v>#DIV/0!</v>
      </c>
      <c r="K57" s="324">
        <f>SUMIFS('Pipe Audit'!$AJ$3:$AJ$82,'Pipe Audit'!$AK$3:$AK$82,A57,'Pipe Audit'!$U$3:$U$82,"&gt;.25")</f>
        <v>0</v>
      </c>
      <c r="L57" s="324">
        <f t="shared" si="132"/>
        <v>0</v>
      </c>
      <c r="M57" s="324">
        <f t="shared" si="133"/>
        <v>0</v>
      </c>
      <c r="N57" s="324">
        <f>SUMIF('Pipe Audit'!$AK$3:$AK$82,A57,'Pipe Audit'!$BD$3:$BD$82)</f>
        <v>0</v>
      </c>
      <c r="O57" s="324">
        <f>SUMIF('Pipe Audit'!$AK$3:$AK$82,A57,'Pipe Audit'!$BE$3:$BE$82)</f>
        <v>0</v>
      </c>
      <c r="P57" s="324">
        <f t="shared" si="134"/>
        <v>0</v>
      </c>
      <c r="Q57" s="324" t="e">
        <f>COUNTIF('[2]ISO Sign-Off 1026'!$L:$L,A57)</f>
        <v>#VALUE!</v>
      </c>
      <c r="R57" s="324" t="e">
        <f>COUNTIFS('[2]ISO Sign-Off 1026'!$L:$L,$A57,'[2]ISO Sign-Off 1026'!$N:$N,"f")</f>
        <v>#VALUE!</v>
      </c>
      <c r="S57" s="324" t="e">
        <f>COUNTIFS('[2]ISO Sign-Off 1026'!$L:$L,$A57,'[2]ISO Sign-Off 1026'!$N:$N,"q")</f>
        <v>#VALUE!</v>
      </c>
      <c r="T57" s="324" t="e">
        <f>COUNTIFS('[2]ISO Sign-Off 1026'!$L:$L,$A57,'[2]ISO Sign-Off 1026'!$N:$N,"rf")</f>
        <v>#VALUE!</v>
      </c>
      <c r="U57" s="324" t="e">
        <f>COUNTIFS('[2]ISO Sign-Off 1026'!$L:$L,$A57,'[2]ISO Sign-Off 1026'!$N:$N,"o")</f>
        <v>#VALUE!</v>
      </c>
      <c r="V57" s="324" t="e">
        <f>COUNTIFS('[2]ISO Sign-Off 1026'!$L:$L,$A57,'[2]ISO Sign-Off 1026'!$N:$N,"c")</f>
        <v>#VALUE!</v>
      </c>
      <c r="W57" s="324" t="e">
        <f t="shared" si="135"/>
        <v>#VALUE!</v>
      </c>
      <c r="X57" s="327" t="e">
        <f>SUMIFS('[3]DAY BOARD COUNT OSBL - AL'!$J$5:$J$33,'[3]DAY BOARD COUNT OSBL - AL'!$B$5:$B$33,A57)</f>
        <v>#VALUE!</v>
      </c>
      <c r="Y57" s="327" t="e">
        <f>SUMIFS('[3]DAY BOARD COUNT OSBL - AL'!$K$5:$K$33,'[3]DAY BOARD COUNT OSBL - AL'!$B$5:$B$33,A57)</f>
        <v>#VALUE!</v>
      </c>
      <c r="Z57" s="327" t="e">
        <f>SUMIFS('[3]DAY BOARD COUNT OSBL - AL'!$L$5:$L$33,'[3]DAY BOARD COUNT OSBL - AL'!$B$5:$B$33,A57)</f>
        <v>#VALUE!</v>
      </c>
      <c r="AA57" s="327" t="e">
        <f>SUMIFS('[3]DAY BOARD COUNT OSBL - AL'!$M$5:$M$33,'[3]DAY BOARD COUNT OSBL - AL'!$B$5:$B$33,A57)</f>
        <v>#VALUE!</v>
      </c>
      <c r="AB57" s="459"/>
      <c r="AC57" s="463">
        <f>SUMIF('Pipe Audit'!AK:AK,A57,'Pipe Audit'!BP:BP)</f>
        <v>0</v>
      </c>
      <c r="AD57" s="462"/>
    </row>
    <row r="58" spans="1:30" ht="25.5" thickBot="1" x14ac:dyDescent="0.55000000000000004">
      <c r="A58" s="331" t="s">
        <v>14</v>
      </c>
      <c r="B58" s="332"/>
      <c r="C58" s="333">
        <f t="shared" ref="C58:AA58" si="136">SUM(C3,C35,C54,C29,C17+C47)</f>
        <v>0</v>
      </c>
      <c r="D58" s="333">
        <f t="shared" si="136"/>
        <v>0</v>
      </c>
      <c r="E58" s="333">
        <f t="shared" si="136"/>
        <v>0</v>
      </c>
      <c r="F58" s="333">
        <f t="shared" si="136"/>
        <v>0</v>
      </c>
      <c r="G58" s="333">
        <f t="shared" si="136"/>
        <v>0</v>
      </c>
      <c r="H58" s="333">
        <f t="shared" si="136"/>
        <v>0</v>
      </c>
      <c r="I58" s="333">
        <f t="shared" si="136"/>
        <v>0</v>
      </c>
      <c r="J58" s="333" t="e">
        <f t="shared" si="136"/>
        <v>#DIV/0!</v>
      </c>
      <c r="K58" s="333">
        <f t="shared" si="136"/>
        <v>0</v>
      </c>
      <c r="L58" s="333">
        <f t="shared" si="136"/>
        <v>0</v>
      </c>
      <c r="M58" s="333">
        <f t="shared" si="136"/>
        <v>0</v>
      </c>
      <c r="N58" s="333">
        <f t="shared" si="136"/>
        <v>0</v>
      </c>
      <c r="O58" s="333">
        <f t="shared" si="136"/>
        <v>0</v>
      </c>
      <c r="P58" s="333">
        <f t="shared" si="136"/>
        <v>0</v>
      </c>
      <c r="Q58" s="333" t="e">
        <f t="shared" si="136"/>
        <v>#VALUE!</v>
      </c>
      <c r="R58" s="333" t="e">
        <f t="shared" si="136"/>
        <v>#VALUE!</v>
      </c>
      <c r="S58" s="333" t="e">
        <f t="shared" si="136"/>
        <v>#VALUE!</v>
      </c>
      <c r="T58" s="333" t="e">
        <f t="shared" si="136"/>
        <v>#VALUE!</v>
      </c>
      <c r="U58" s="333" t="e">
        <f t="shared" si="136"/>
        <v>#VALUE!</v>
      </c>
      <c r="V58" s="333" t="e">
        <f t="shared" si="136"/>
        <v>#VALUE!</v>
      </c>
      <c r="W58" s="333" t="e">
        <f t="shared" si="136"/>
        <v>#VALUE!</v>
      </c>
      <c r="X58" s="333" t="e">
        <f t="shared" si="136"/>
        <v>#VALUE!</v>
      </c>
      <c r="Y58" s="333" t="e">
        <f t="shared" si="136"/>
        <v>#VALUE!</v>
      </c>
      <c r="Z58" s="333" t="e">
        <f t="shared" si="136"/>
        <v>#VALUE!</v>
      </c>
      <c r="AA58" s="333" t="e">
        <f t="shared" si="136"/>
        <v>#VALUE!</v>
      </c>
      <c r="AB58" s="333">
        <f>SUM(AB3,AB35,AB54,AB29,AB17)</f>
        <v>0</v>
      </c>
      <c r="AC58" s="333">
        <f>SUM(AC3,AC35,AC54,AC29,AC17,AC47)</f>
        <v>0</v>
      </c>
      <c r="AD58" s="464" t="e">
        <f>P58/AC58</f>
        <v>#DIV/0!</v>
      </c>
    </row>
  </sheetData>
  <autoFilter ref="A2:AD2" xr:uid="{94BB6F29-3966-4B27-8BF5-2B2C404DB298}"/>
  <phoneticPr fontId="52" type="noConversion"/>
  <pageMargins left="0.7" right="0.7" top="0.75" bottom="0.75" header="0.3" footer="0.3"/>
  <pageSetup paperSize="1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249977111117893"/>
  </sheetPr>
  <dimension ref="A1:AB33"/>
  <sheetViews>
    <sheetView showZeros="0" zoomScale="70" zoomScaleNormal="70" workbookViewId="0">
      <pane xSplit="1" ySplit="2" topLeftCell="L3" activePane="bottomRight" state="frozen"/>
      <selection pane="topRight" activeCell="B1" sqref="B1"/>
      <selection pane="bottomLeft" activeCell="A3" sqref="A3"/>
      <selection pane="bottomRight" activeCell="Y10" sqref="Y10"/>
    </sheetView>
  </sheetViews>
  <sheetFormatPr defaultColWidth="9.08984375" defaultRowHeight="15.5" x14ac:dyDescent="0.35"/>
  <cols>
    <col min="1" max="1" width="17.08984375" style="83" bestFit="1" customWidth="1"/>
    <col min="2" max="4" width="19" style="83" bestFit="1" customWidth="1"/>
    <col min="5" max="5" width="17.08984375" style="83" bestFit="1" customWidth="1"/>
    <col min="6" max="6" width="22" style="83" bestFit="1" customWidth="1"/>
    <col min="7" max="7" width="19" style="83" bestFit="1" customWidth="1"/>
    <col min="8" max="8" width="22" style="83" bestFit="1" customWidth="1"/>
    <col min="9" max="9" width="17.08984375" style="83" bestFit="1" customWidth="1"/>
    <col min="10" max="10" width="22" style="83" bestFit="1" customWidth="1"/>
    <col min="11" max="11" width="19" style="83" bestFit="1" customWidth="1"/>
    <col min="12" max="12" width="22" style="83" bestFit="1" customWidth="1"/>
    <col min="13" max="13" width="17.08984375" style="83" bestFit="1" customWidth="1"/>
    <col min="14" max="15" width="15.90625" style="83" bestFit="1" customWidth="1"/>
    <col min="16" max="16" width="16.90625" style="83" customWidth="1"/>
    <col min="17" max="17" width="17.08984375" style="83" bestFit="1" customWidth="1"/>
    <col min="18" max="19" width="19" style="83" bestFit="1" customWidth="1"/>
    <col min="20" max="20" width="15.90625" style="83" bestFit="1" customWidth="1"/>
    <col min="21" max="21" width="19" style="83" bestFit="1" customWidth="1"/>
    <col min="22" max="22" width="15.90625" style="83" bestFit="1" customWidth="1"/>
    <col min="23" max="23" width="17.08984375" style="83" bestFit="1" customWidth="1"/>
    <col min="24" max="24" width="13" style="83" customWidth="1"/>
    <col min="25" max="27" width="9.08984375" style="83"/>
    <col min="28" max="28" width="14.08984375" style="83" bestFit="1" customWidth="1"/>
    <col min="29" max="16384" width="9.08984375" style="83"/>
  </cols>
  <sheetData>
    <row r="1" spans="1:28" ht="47.5" thickTop="1" thickBot="1" x14ac:dyDescent="0.4">
      <c r="A1" s="84" t="s">
        <v>104</v>
      </c>
      <c r="B1" s="85" t="s">
        <v>80</v>
      </c>
      <c r="C1" s="85" t="s">
        <v>58</v>
      </c>
      <c r="D1" s="85" t="s">
        <v>23</v>
      </c>
      <c r="E1" s="86" t="s">
        <v>100</v>
      </c>
      <c r="F1" s="87" t="s">
        <v>106</v>
      </c>
      <c r="G1" s="87" t="s">
        <v>107</v>
      </c>
      <c r="H1" s="87" t="s">
        <v>108</v>
      </c>
      <c r="I1" s="88" t="s">
        <v>109</v>
      </c>
      <c r="J1" s="89" t="s">
        <v>81</v>
      </c>
      <c r="K1" s="89" t="s">
        <v>82</v>
      </c>
      <c r="L1" s="89" t="s">
        <v>83</v>
      </c>
      <c r="M1" s="90" t="s">
        <v>39</v>
      </c>
      <c r="N1" s="91" t="s">
        <v>36</v>
      </c>
      <c r="O1" s="92" t="s">
        <v>54</v>
      </c>
      <c r="P1" s="92" t="s">
        <v>19</v>
      </c>
      <c r="Q1" s="93" t="s">
        <v>5</v>
      </c>
      <c r="R1" s="91" t="s">
        <v>68</v>
      </c>
      <c r="S1" s="91" t="s">
        <v>69</v>
      </c>
      <c r="T1" s="91" t="s">
        <v>70</v>
      </c>
      <c r="U1" s="94" t="s">
        <v>71</v>
      </c>
      <c r="V1" s="94" t="s">
        <v>75</v>
      </c>
      <c r="W1" s="95" t="s">
        <v>96</v>
      </c>
      <c r="X1" s="516" t="s">
        <v>66</v>
      </c>
      <c r="Y1" s="517"/>
      <c r="Z1" s="518"/>
      <c r="AA1" s="517"/>
      <c r="AB1" s="519"/>
    </row>
    <row r="2" spans="1:28" ht="63" thickTop="1" thickBot="1" x14ac:dyDescent="0.4">
      <c r="A2" s="96"/>
      <c r="B2" s="97"/>
      <c r="C2" s="97"/>
      <c r="D2" s="97"/>
      <c r="E2" s="98"/>
      <c r="F2" s="99"/>
      <c r="G2" s="99"/>
      <c r="H2" s="99"/>
      <c r="I2" s="98"/>
      <c r="J2" s="99"/>
      <c r="K2" s="99"/>
      <c r="L2" s="99"/>
      <c r="M2" s="98"/>
      <c r="N2" s="100"/>
      <c r="O2" s="100"/>
      <c r="P2" s="100"/>
      <c r="Q2" s="101"/>
      <c r="R2" s="100"/>
      <c r="S2" s="100"/>
      <c r="T2" s="100"/>
      <c r="U2" s="102"/>
      <c r="V2" s="102"/>
      <c r="W2" s="103"/>
      <c r="X2" s="34" t="s">
        <v>63</v>
      </c>
      <c r="Y2" s="34" t="s">
        <v>97</v>
      </c>
      <c r="Z2" s="56" t="s">
        <v>12</v>
      </c>
      <c r="AA2" s="34" t="s">
        <v>13</v>
      </c>
      <c r="AB2" s="36" t="s">
        <v>4</v>
      </c>
    </row>
    <row r="3" spans="1:28" ht="20.25" customHeight="1" x14ac:dyDescent="0.35">
      <c r="A3" s="104">
        <v>0.5</v>
      </c>
      <c r="B3" s="105">
        <f>SUMIF('Pipe Audit'!$J$3:$J$82,$A3,'Pipe Audit'!$K$3:$K$82)</f>
        <v>0</v>
      </c>
      <c r="C3" s="105" t="e">
        <f>SUMIF('Pipe Audit'!#REF!,A3,'Pipe Audit'!$P$3:$P$82)</f>
        <v>#REF!</v>
      </c>
      <c r="D3" s="105" t="e">
        <f>B3-C3</f>
        <v>#REF!</v>
      </c>
      <c r="E3" s="106" t="e">
        <f>C3/B3</f>
        <v>#REF!</v>
      </c>
      <c r="F3" s="105">
        <f>SUMIF('Pipe Audit'!$J$3:$J$82,$A3,'Pipe Audit'!$L$3:$L$82)</f>
        <v>0</v>
      </c>
      <c r="G3" s="105">
        <f>SUMIF('Pipe Audit'!$J$3:$J$82,A3,'Pipe Audit'!$Q$3:$Q$82)</f>
        <v>0</v>
      </c>
      <c r="H3" s="105">
        <f>F3-G3</f>
        <v>0</v>
      </c>
      <c r="I3" s="107" t="e">
        <f>G3/F3</f>
        <v>#DIV/0!</v>
      </c>
      <c r="J3" s="105">
        <f>SUM(F3)*0.7</f>
        <v>0</v>
      </c>
      <c r="K3" s="105">
        <f>SUMIF('Pipe Audit'!$J$3:$J$82,A3,'Pipe Audit'!$BE$3:$BE$82)</f>
        <v>0</v>
      </c>
      <c r="L3" s="105">
        <f>J3-K3</f>
        <v>0</v>
      </c>
      <c r="M3" s="107" t="e">
        <f>K3/J3</f>
        <v>#DIV/0!</v>
      </c>
      <c r="N3" s="105">
        <f>SUMIF('Pipe Audit'!$J$3:$J$82,$A3,'Pipe Audit'!$BA$3:$BA$82)</f>
        <v>0</v>
      </c>
      <c r="O3" s="108">
        <f t="array" ref="O3">SUM(IF('Pipe Audit'!$J$3:$J$82=$A3,IF('Pipe Audit'!$S$3:$S$82=1,'Pipe Audit'!$BA$3:$BA$82)))</f>
        <v>0</v>
      </c>
      <c r="P3" s="108">
        <f>N3-O3</f>
        <v>0</v>
      </c>
      <c r="Q3" s="109" t="e">
        <f>O3/N3</f>
        <v>#DIV/0!</v>
      </c>
      <c r="R3" s="110" t="e">
        <f t="array" ref="R3">SUM(IF('Pipe Audit'!#REF!=$A3,IF('Pipe Audit'!$BA$3:$BA$82=1,'Pipe Audit'!$K$3:$K$82)))</f>
        <v>#REF!</v>
      </c>
      <c r="S3" s="110" t="e">
        <f t="array" ref="S3">SUM(IF('Pipe Audit'!#REF!=$A3,IF('Pipe Audit'!$S$3:$S$82=1,'Pipe Audit'!$K$3:$K$82)))</f>
        <v>#REF!</v>
      </c>
      <c r="T3" s="110" t="e">
        <f t="array" ref="T3">SUM(IF('Pipe Audit'!#REF!=$A3,IF('Pipe Audit'!$AA$3:$AA$82&gt;0,'Pipe Audit'!$BA$3:$BA$82)))</f>
        <v>#REF!</v>
      </c>
      <c r="U3" s="110" t="e">
        <f t="array" ref="U3">SUM(IF('Pipe Audit'!#REF!=$A3,IF('Pipe Audit'!$AA$3:$AA$82&gt;0,'Pipe Audit'!$K$3:$K$82)))</f>
        <v>#REF!</v>
      </c>
      <c r="V3" s="111" t="e">
        <f>SUM(N3-T3)</f>
        <v>#REF!</v>
      </c>
      <c r="W3" s="112" t="e">
        <f>SUM(T3/N3)</f>
        <v>#REF!</v>
      </c>
      <c r="X3" s="80" t="e">
        <f>COUNTIF('[4]CURRENT_ISO SIGN-OFF LOG'!$J$1598:$J$4948,A3)</f>
        <v>#VALUE!</v>
      </c>
      <c r="Y3" s="80" t="e">
        <f t="array" ref="Y3">SUM(IF('[4]CURRENT_ISO SIGN-OFF LOG'!#REF!=$A3,IF('[4]CURRENT_ISO SIGN-OFF LOG'!#REF!="Q",'[4]CURRENT_ISO SIGN-OFF LOG'!#REF!)))</f>
        <v>#REF!</v>
      </c>
      <c r="Z3" s="80" t="e">
        <f t="array" ref="Z3">SUM(IF('[4]CURRENT_ISO SIGN-OFF LOG'!#REF!=$A3,IF('[4]CURRENT_ISO SIGN-OFF LOG'!#REF!="C",'[4]CURRENT_ISO SIGN-OFF LOG'!#REF!)))</f>
        <v>#REF!</v>
      </c>
      <c r="AA3" s="81" t="e">
        <f>X3-Z3</f>
        <v>#VALUE!</v>
      </c>
      <c r="AB3" s="82" t="e">
        <f>Z3/AA3</f>
        <v>#REF!</v>
      </c>
    </row>
    <row r="4" spans="1:28" ht="20.25" customHeight="1" x14ac:dyDescent="0.35">
      <c r="A4" s="104">
        <v>0.75</v>
      </c>
      <c r="B4" s="105">
        <f>SUMIF('Pipe Audit'!$J$3:$J$82,$A4,'Pipe Audit'!$K$3:$K$82)</f>
        <v>0</v>
      </c>
      <c r="C4" s="105" t="e">
        <f>SUMIF('Pipe Audit'!#REF!,A4,'Pipe Audit'!$P$3:$P$82)</f>
        <v>#REF!</v>
      </c>
      <c r="D4" s="105" t="e">
        <f t="shared" ref="D4:D32" si="0">B4-C4</f>
        <v>#REF!</v>
      </c>
      <c r="E4" s="106" t="e">
        <f t="shared" ref="E4:E32" si="1">C4/B4</f>
        <v>#REF!</v>
      </c>
      <c r="F4" s="105">
        <f>SUMIF('Pipe Audit'!$J$3:$J$82,$A4,'Pipe Audit'!$L$3:$L$82)</f>
        <v>0</v>
      </c>
      <c r="G4" s="105">
        <f>SUMIF('Pipe Audit'!$J$3:$J$82,A4,'Pipe Audit'!$Q$3:$Q$82)</f>
        <v>0</v>
      </c>
      <c r="H4" s="105">
        <f t="shared" ref="H4:H32" si="2">F4-G4</f>
        <v>0</v>
      </c>
      <c r="I4" s="107" t="e">
        <f t="shared" ref="I4:I32" si="3">G4/F4</f>
        <v>#DIV/0!</v>
      </c>
      <c r="J4" s="105">
        <f t="shared" ref="J4:J32" si="4">SUM(F4)*0.7</f>
        <v>0</v>
      </c>
      <c r="K4" s="105">
        <f>SUMIF('Pipe Audit'!$J$3:$J$82,A4,'Pipe Audit'!$BE$3:$BE$82)</f>
        <v>0</v>
      </c>
      <c r="L4" s="105">
        <f t="shared" ref="L4:L32" si="5">J4-K4</f>
        <v>0</v>
      </c>
      <c r="M4" s="107" t="e">
        <f t="shared" ref="M4:M32" si="6">K4/J4</f>
        <v>#DIV/0!</v>
      </c>
      <c r="N4" s="105">
        <f>SUMIF('Pipe Audit'!$J$3:$J$82,$A4,'Pipe Audit'!$BA$3:$BA$82)</f>
        <v>0</v>
      </c>
      <c r="O4" s="108">
        <f t="array" ref="O4">SUM(IF('Pipe Audit'!$J$3:$J$82=$A4,IF('Pipe Audit'!$S$3:$S$82=1,'Pipe Audit'!$BA$3:$BA$82)))</f>
        <v>0</v>
      </c>
      <c r="P4" s="108">
        <f t="shared" ref="P4:P32" si="7">N4-O4</f>
        <v>0</v>
      </c>
      <c r="Q4" s="109" t="e">
        <f t="shared" ref="Q4:Q32" si="8">O4/N4</f>
        <v>#DIV/0!</v>
      </c>
      <c r="R4" s="110" t="e">
        <f t="array" ref="R4">SUM(IF('Pipe Audit'!#REF!=$A4,IF('Pipe Audit'!$BA$3:$BA$82=1,'Pipe Audit'!$K$3:$K$82)))</f>
        <v>#REF!</v>
      </c>
      <c r="S4" s="110" t="e">
        <f t="array" ref="S4">SUM(IF('Pipe Audit'!#REF!=$A4,IF('Pipe Audit'!$S$3:$S$82=1,'Pipe Audit'!$K$3:$K$82)))</f>
        <v>#REF!</v>
      </c>
      <c r="T4" s="110" t="e">
        <f t="array" ref="T4">SUM(IF('Pipe Audit'!#REF!=$A4,IF('Pipe Audit'!$AA$3:$AA$82&gt;0,'Pipe Audit'!$BA$3:$BA$82)))</f>
        <v>#REF!</v>
      </c>
      <c r="U4" s="110" t="e">
        <f t="array" ref="U4">SUM(IF('Pipe Audit'!#REF!=$A4,IF('Pipe Audit'!$AA$3:$AA$82&gt;0,'Pipe Audit'!$K$3:$K$82)))</f>
        <v>#REF!</v>
      </c>
      <c r="V4" s="111" t="e">
        <f t="shared" ref="V4:V32" si="9">SUM(N4-T4)</f>
        <v>#REF!</v>
      </c>
      <c r="W4" s="112" t="e">
        <f t="shared" ref="W4:W32" si="10">SUM(T4/N4)</f>
        <v>#REF!</v>
      </c>
      <c r="X4" s="80" t="e">
        <f>COUNTIF('[4]CURRENT_ISO SIGN-OFF LOG'!$J$1598:$J$4948,A4)</f>
        <v>#VALUE!</v>
      </c>
      <c r="Y4" s="80" t="e">
        <f t="array" ref="Y4">SUM(IF('[4]CURRENT_ISO SIGN-OFF LOG'!#REF!=$A4,IF('[4]CURRENT_ISO SIGN-OFF LOG'!#REF!="Q",'[4]CURRENT_ISO SIGN-OFF LOG'!#REF!)))</f>
        <v>#REF!</v>
      </c>
      <c r="Z4" s="80" t="e">
        <f t="array" ref="Z4">SUM(IF('[4]CURRENT_ISO SIGN-OFF LOG'!#REF!=$A4,IF('[4]CURRENT_ISO SIGN-OFF LOG'!#REF!="C",'[4]CURRENT_ISO SIGN-OFF LOG'!#REF!)))</f>
        <v>#REF!</v>
      </c>
      <c r="AA4" s="81" t="e">
        <f>X4-Z4</f>
        <v>#VALUE!</v>
      </c>
      <c r="AB4" s="82" t="e">
        <f>Z4/AA4</f>
        <v>#REF!</v>
      </c>
    </row>
    <row r="5" spans="1:28" ht="20.25" customHeight="1" x14ac:dyDescent="0.35">
      <c r="A5" s="104">
        <v>1</v>
      </c>
      <c r="B5" s="105">
        <f>SUMIF('Pipe Audit'!$J$3:$J$82,$A5,'Pipe Audit'!$K$3:$K$82)</f>
        <v>1009</v>
      </c>
      <c r="C5" s="105" t="e">
        <f>SUMIF('Pipe Audit'!#REF!,A5,'Pipe Audit'!$P$3:$P$82)</f>
        <v>#REF!</v>
      </c>
      <c r="D5" s="105" t="e">
        <f t="shared" si="0"/>
        <v>#REF!</v>
      </c>
      <c r="E5" s="106" t="e">
        <f t="shared" si="1"/>
        <v>#REF!</v>
      </c>
      <c r="F5" s="105">
        <f>SUMIF('Pipe Audit'!$J$3:$J$82,$A5,'Pipe Audit'!$L$3:$L$82)</f>
        <v>0</v>
      </c>
      <c r="G5" s="105">
        <f>SUMIF('Pipe Audit'!$J$3:$J$82,A5,'Pipe Audit'!$Q$3:$Q$82)</f>
        <v>0</v>
      </c>
      <c r="H5" s="105">
        <f t="shared" si="2"/>
        <v>0</v>
      </c>
      <c r="I5" s="107" t="e">
        <f t="shared" si="3"/>
        <v>#DIV/0!</v>
      </c>
      <c r="J5" s="105">
        <f t="shared" si="4"/>
        <v>0</v>
      </c>
      <c r="K5" s="105" t="e">
        <f>SUMIF('Pipe Audit'!$J$3:$J$82,A5,'Pipe Audit'!$BE$3:$BE$82)</f>
        <v>#REF!</v>
      </c>
      <c r="L5" s="105" t="e">
        <f t="shared" si="5"/>
        <v>#REF!</v>
      </c>
      <c r="M5" s="107" t="e">
        <f t="shared" si="6"/>
        <v>#REF!</v>
      </c>
      <c r="N5" s="105">
        <f>SUMIF('Pipe Audit'!$J$3:$J$82,$A5,'Pipe Audit'!$BA$3:$BA$82)</f>
        <v>0</v>
      </c>
      <c r="O5" s="108">
        <f t="array" ref="O5">SUM(IF('Pipe Audit'!$J$3:$J$82=$A5,IF('Pipe Audit'!$S$3:$S$82=1,'Pipe Audit'!$BA$3:$BA$82)))</f>
        <v>0</v>
      </c>
      <c r="P5" s="108">
        <f t="shared" si="7"/>
        <v>0</v>
      </c>
      <c r="Q5" s="109" t="e">
        <f t="shared" si="8"/>
        <v>#DIV/0!</v>
      </c>
      <c r="R5" s="110" t="e">
        <f t="array" ref="R5">SUM(IF('Pipe Audit'!#REF!=$A5,IF('Pipe Audit'!$BA$3:$BA$82=1,'Pipe Audit'!$K$3:$K$82)))</f>
        <v>#REF!</v>
      </c>
      <c r="S5" s="110" t="e">
        <f t="array" ref="S5">SUM(IF('Pipe Audit'!#REF!=$A5,IF('Pipe Audit'!$S$3:$S$82=1,'Pipe Audit'!$K$3:$K$82)))</f>
        <v>#REF!</v>
      </c>
      <c r="T5" s="110" t="e">
        <f t="array" ref="T5">SUM(IF('Pipe Audit'!#REF!=$A5,IF('Pipe Audit'!$AA$3:$AA$82&gt;0,'Pipe Audit'!$BA$3:$BA$82)))</f>
        <v>#REF!</v>
      </c>
      <c r="U5" s="110" t="e">
        <f t="array" ref="U5">SUM(IF('Pipe Audit'!#REF!=$A5,IF('Pipe Audit'!$AA$3:$AA$82&gt;0,'Pipe Audit'!$K$3:$K$82)))</f>
        <v>#REF!</v>
      </c>
      <c r="V5" s="111" t="e">
        <f t="shared" si="9"/>
        <v>#REF!</v>
      </c>
      <c r="W5" s="112" t="e">
        <f t="shared" si="10"/>
        <v>#REF!</v>
      </c>
      <c r="X5" s="80" t="e">
        <f>COUNTIF('[4]CURRENT_ISO SIGN-OFF LOG'!$J$1598:$J$4948,A5)</f>
        <v>#VALUE!</v>
      </c>
      <c r="Y5" s="80" t="e">
        <f t="array" ref="Y5">SUM(IF('[4]CURRENT_ISO SIGN-OFF LOG'!#REF!=$A5,IF('[4]CURRENT_ISO SIGN-OFF LOG'!#REF!="Q",'[4]CURRENT_ISO SIGN-OFF LOG'!#REF!)))</f>
        <v>#REF!</v>
      </c>
      <c r="Z5" s="80" t="e">
        <f t="array" ref="Z5">SUM(IF('[4]CURRENT_ISO SIGN-OFF LOG'!#REF!=$A5,IF('[4]CURRENT_ISO SIGN-OFF LOG'!#REF!="C",'[4]CURRENT_ISO SIGN-OFF LOG'!#REF!)))</f>
        <v>#REF!</v>
      </c>
      <c r="AA5" s="81" t="e">
        <f t="shared" ref="AA5:AA24" si="11">X5-Z5</f>
        <v>#VALUE!</v>
      </c>
      <c r="AB5" s="82" t="e">
        <f t="shared" ref="AB5:AB24" si="12">Z5/AA5</f>
        <v>#REF!</v>
      </c>
    </row>
    <row r="6" spans="1:28" ht="20.25" customHeight="1" x14ac:dyDescent="0.35">
      <c r="A6" s="104">
        <v>1.5</v>
      </c>
      <c r="B6" s="105">
        <f>SUMIF('Pipe Audit'!$J$3:$J$82,$A6,'Pipe Audit'!$K$3:$K$82)</f>
        <v>830</v>
      </c>
      <c r="C6" s="105" t="e">
        <f>SUMIF('Pipe Audit'!#REF!,A6,'Pipe Audit'!$P$3:$P$82)</f>
        <v>#REF!</v>
      </c>
      <c r="D6" s="105" t="e">
        <f t="shared" si="0"/>
        <v>#REF!</v>
      </c>
      <c r="E6" s="106" t="e">
        <f t="shared" si="1"/>
        <v>#REF!</v>
      </c>
      <c r="F6" s="105">
        <f>SUMIF('Pipe Audit'!$J$3:$J$82,$A6,'Pipe Audit'!$L$3:$L$82)</f>
        <v>0</v>
      </c>
      <c r="G6" s="105">
        <f>SUMIF('Pipe Audit'!$J$3:$J$82,A6,'Pipe Audit'!$Q$3:$Q$82)</f>
        <v>0</v>
      </c>
      <c r="H6" s="105">
        <f t="shared" si="2"/>
        <v>0</v>
      </c>
      <c r="I6" s="107" t="e">
        <f t="shared" si="3"/>
        <v>#DIV/0!</v>
      </c>
      <c r="J6" s="105">
        <f t="shared" si="4"/>
        <v>0</v>
      </c>
      <c r="K6" s="105" t="e">
        <f>SUMIF('Pipe Audit'!$J$3:$J$82,A6,'Pipe Audit'!$BE$3:$BE$82)</f>
        <v>#REF!</v>
      </c>
      <c r="L6" s="105" t="e">
        <f t="shared" si="5"/>
        <v>#REF!</v>
      </c>
      <c r="M6" s="107" t="e">
        <f t="shared" si="6"/>
        <v>#REF!</v>
      </c>
      <c r="N6" s="105">
        <f>SUMIF('Pipe Audit'!$J$3:$J$82,$A6,'Pipe Audit'!$BA$3:$BA$82)</f>
        <v>0</v>
      </c>
      <c r="O6" s="108">
        <f t="array" ref="O6">SUM(IF('Pipe Audit'!$J$3:$J$82=$A6,IF('Pipe Audit'!$S$3:$S$82=1,'Pipe Audit'!$BA$3:$BA$82)))</f>
        <v>0</v>
      </c>
      <c r="P6" s="108">
        <f t="shared" si="7"/>
        <v>0</v>
      </c>
      <c r="Q6" s="109" t="e">
        <f t="shared" si="8"/>
        <v>#DIV/0!</v>
      </c>
      <c r="R6" s="110" t="e">
        <f t="array" ref="R6">SUM(IF('Pipe Audit'!#REF!=$A6,IF('Pipe Audit'!$BA$3:$BA$82=1,'Pipe Audit'!$K$3:$K$82)))</f>
        <v>#REF!</v>
      </c>
      <c r="S6" s="110" t="e">
        <f t="array" ref="S6">SUM(IF('Pipe Audit'!#REF!=$A6,IF('Pipe Audit'!$S$3:$S$82=1,'Pipe Audit'!$K$3:$K$82)))</f>
        <v>#REF!</v>
      </c>
      <c r="T6" s="110" t="e">
        <f t="array" ref="T6">SUM(IF('Pipe Audit'!#REF!=$A6,IF('Pipe Audit'!$AA$3:$AA$82&gt;0,'Pipe Audit'!$BA$3:$BA$82)))</f>
        <v>#REF!</v>
      </c>
      <c r="U6" s="110" t="e">
        <f t="array" ref="U6">SUM(IF('Pipe Audit'!#REF!=$A6,IF('Pipe Audit'!$AA$3:$AA$82&gt;0,'Pipe Audit'!$K$3:$K$82)))</f>
        <v>#REF!</v>
      </c>
      <c r="V6" s="111" t="e">
        <f t="shared" si="9"/>
        <v>#REF!</v>
      </c>
      <c r="W6" s="112" t="e">
        <f t="shared" si="10"/>
        <v>#REF!</v>
      </c>
      <c r="X6" s="80" t="e">
        <f>COUNTIF('[4]CURRENT_ISO SIGN-OFF LOG'!$J$1598:$J$4948,A6)</f>
        <v>#VALUE!</v>
      </c>
      <c r="Y6" s="80" t="e">
        <f t="array" ref="Y6">SUM(IF('[4]CURRENT_ISO SIGN-OFF LOG'!#REF!=$A6,IF('[4]CURRENT_ISO SIGN-OFF LOG'!#REF!="Q",'[4]CURRENT_ISO SIGN-OFF LOG'!#REF!)))</f>
        <v>#REF!</v>
      </c>
      <c r="Z6" s="80" t="e">
        <f t="array" ref="Z6">SUM(IF('[4]CURRENT_ISO SIGN-OFF LOG'!#REF!=$A6,IF('[4]CURRENT_ISO SIGN-OFF LOG'!#REF!="C",'[4]CURRENT_ISO SIGN-OFF LOG'!#REF!)))</f>
        <v>#REF!</v>
      </c>
      <c r="AA6" s="81" t="e">
        <f t="shared" si="11"/>
        <v>#VALUE!</v>
      </c>
      <c r="AB6" s="82" t="e">
        <f t="shared" si="12"/>
        <v>#REF!</v>
      </c>
    </row>
    <row r="7" spans="1:28" ht="20.25" customHeight="1" x14ac:dyDescent="0.35">
      <c r="A7" s="104">
        <v>2</v>
      </c>
      <c r="B7" s="105">
        <f>SUMIF('Pipe Audit'!$J$3:$J$82,$A7,'Pipe Audit'!$K$3:$K$82)</f>
        <v>2332</v>
      </c>
      <c r="C7" s="105" t="e">
        <f>SUMIF('Pipe Audit'!#REF!,A7,'Pipe Audit'!$P$3:$P$82)</f>
        <v>#REF!</v>
      </c>
      <c r="D7" s="105" t="e">
        <f t="shared" si="0"/>
        <v>#REF!</v>
      </c>
      <c r="E7" s="106" t="e">
        <f t="shared" si="1"/>
        <v>#REF!</v>
      </c>
      <c r="F7" s="105">
        <f>SUMIF('Pipe Audit'!$J$3:$J$82,$A7,'Pipe Audit'!$L$3:$L$82)</f>
        <v>5.0599999999999996</v>
      </c>
      <c r="G7" s="105">
        <f>SUMIF('Pipe Audit'!$J$3:$J$82,A7,'Pipe Audit'!$Q$3:$Q$82)</f>
        <v>100</v>
      </c>
      <c r="H7" s="105">
        <f t="shared" si="2"/>
        <v>-94.94</v>
      </c>
      <c r="I7" s="107">
        <f t="shared" si="3"/>
        <v>19.762845849802375</v>
      </c>
      <c r="J7" s="105">
        <f t="shared" si="4"/>
        <v>3.5419999999999994</v>
      </c>
      <c r="K7" s="105" t="e">
        <f>SUMIF('Pipe Audit'!$J$3:$J$82,A7,'Pipe Audit'!$BE$3:$BE$82)</f>
        <v>#REF!</v>
      </c>
      <c r="L7" s="105" t="e">
        <f t="shared" si="5"/>
        <v>#REF!</v>
      </c>
      <c r="M7" s="107" t="e">
        <f t="shared" si="6"/>
        <v>#REF!</v>
      </c>
      <c r="N7" s="105">
        <f>SUMIF('Pipe Audit'!$J$3:$J$82,$A7,'Pipe Audit'!$BA$3:$BA$82)</f>
        <v>0</v>
      </c>
      <c r="O7" s="108">
        <f t="array" ref="O7">SUM(IF('Pipe Audit'!$J$3:$J$82=$A7,IF('Pipe Audit'!$S$3:$S$82=1,'Pipe Audit'!$BA$3:$BA$82)))</f>
        <v>0</v>
      </c>
      <c r="P7" s="108">
        <f t="shared" si="7"/>
        <v>0</v>
      </c>
      <c r="Q7" s="109" t="e">
        <f t="shared" si="8"/>
        <v>#DIV/0!</v>
      </c>
      <c r="R7" s="110" t="e">
        <f t="array" ref="R7">SUM(IF('Pipe Audit'!#REF!=$A7,IF('Pipe Audit'!$BA$3:$BA$82=1,'Pipe Audit'!$K$3:$K$82)))</f>
        <v>#REF!</v>
      </c>
      <c r="S7" s="110" t="e">
        <f t="array" ref="S7">SUM(IF('Pipe Audit'!#REF!=$A7,IF('Pipe Audit'!$S$3:$S$82=1,'Pipe Audit'!$K$3:$K$82)))</f>
        <v>#REF!</v>
      </c>
      <c r="T7" s="110" t="e">
        <f t="array" ref="T7">SUM(IF('Pipe Audit'!#REF!=$A7,IF('Pipe Audit'!$AA$3:$AA$82&gt;0,'Pipe Audit'!$BA$3:$BA$82)))</f>
        <v>#REF!</v>
      </c>
      <c r="U7" s="110" t="e">
        <f t="array" ref="U7">SUM(IF('Pipe Audit'!#REF!=$A7,IF('Pipe Audit'!$AA$3:$AA$82&gt;0,'Pipe Audit'!$K$3:$K$82)))</f>
        <v>#REF!</v>
      </c>
      <c r="V7" s="111" t="e">
        <f t="shared" si="9"/>
        <v>#REF!</v>
      </c>
      <c r="W7" s="112" t="e">
        <f t="shared" si="10"/>
        <v>#REF!</v>
      </c>
      <c r="X7" s="80" t="e">
        <f>COUNTIF('[4]CURRENT_ISO SIGN-OFF LOG'!$J$1598:$J$4948,A7)</f>
        <v>#VALUE!</v>
      </c>
      <c r="Y7" s="80" t="e">
        <f t="array" ref="Y7">SUM(IF('[4]CURRENT_ISO SIGN-OFF LOG'!#REF!=$A7,IF('[4]CURRENT_ISO SIGN-OFF LOG'!#REF!="Q",'[4]CURRENT_ISO SIGN-OFF LOG'!#REF!)))</f>
        <v>#REF!</v>
      </c>
      <c r="Z7" s="80" t="e">
        <f t="array" ref="Z7">SUM(IF('[4]CURRENT_ISO SIGN-OFF LOG'!#REF!=$A7,IF('[4]CURRENT_ISO SIGN-OFF LOG'!#REF!="C",'[4]CURRENT_ISO SIGN-OFF LOG'!#REF!)))</f>
        <v>#REF!</v>
      </c>
      <c r="AA7" s="81" t="e">
        <f t="shared" si="11"/>
        <v>#VALUE!</v>
      </c>
      <c r="AB7" s="82" t="e">
        <f t="shared" si="12"/>
        <v>#REF!</v>
      </c>
    </row>
    <row r="8" spans="1:28" ht="20.25" customHeight="1" x14ac:dyDescent="0.35">
      <c r="A8" s="104">
        <v>3</v>
      </c>
      <c r="B8" s="105">
        <f>SUMIF('Pipe Audit'!$J$3:$J$82,$A8,'Pipe Audit'!$K$3:$K$82)</f>
        <v>855</v>
      </c>
      <c r="C8" s="105" t="e">
        <f>SUMIF('Pipe Audit'!#REF!,A8,'Pipe Audit'!$P$3:$P$82)</f>
        <v>#REF!</v>
      </c>
      <c r="D8" s="105" t="e">
        <f t="shared" si="0"/>
        <v>#REF!</v>
      </c>
      <c r="E8" s="106" t="e">
        <f t="shared" si="1"/>
        <v>#REF!</v>
      </c>
      <c r="F8" s="105">
        <f>SUMIF('Pipe Audit'!$J$3:$J$82,$A8,'Pipe Audit'!$L$3:$L$82)</f>
        <v>0</v>
      </c>
      <c r="G8" s="105">
        <f>SUMIF('Pipe Audit'!$J$3:$J$82,A8,'Pipe Audit'!$Q$3:$Q$82)</f>
        <v>0</v>
      </c>
      <c r="H8" s="105">
        <f t="shared" si="2"/>
        <v>0</v>
      </c>
      <c r="I8" s="107" t="e">
        <f t="shared" si="3"/>
        <v>#DIV/0!</v>
      </c>
      <c r="J8" s="105">
        <f t="shared" si="4"/>
        <v>0</v>
      </c>
      <c r="K8" s="105" t="e">
        <f>SUMIF('Pipe Audit'!$J$3:$J$82,A8,'Pipe Audit'!$BE$3:$BE$82)</f>
        <v>#REF!</v>
      </c>
      <c r="L8" s="105" t="e">
        <f t="shared" si="5"/>
        <v>#REF!</v>
      </c>
      <c r="M8" s="107" t="e">
        <f t="shared" si="6"/>
        <v>#REF!</v>
      </c>
      <c r="N8" s="105">
        <f>SUMIF('Pipe Audit'!$J$3:$J$82,$A8,'Pipe Audit'!$BA$3:$BA$82)</f>
        <v>0</v>
      </c>
      <c r="O8" s="108">
        <f t="array" ref="O8">SUM(IF('Pipe Audit'!$J$3:$J$82=$A8,IF('Pipe Audit'!$S$3:$S$82=1,'Pipe Audit'!$BA$3:$BA$82)))</f>
        <v>0</v>
      </c>
      <c r="P8" s="108">
        <f t="shared" si="7"/>
        <v>0</v>
      </c>
      <c r="Q8" s="109" t="e">
        <f t="shared" si="8"/>
        <v>#DIV/0!</v>
      </c>
      <c r="R8" s="110" t="e">
        <f t="array" ref="R8">SUM(IF('Pipe Audit'!#REF!=$A8,IF('Pipe Audit'!$BA$3:$BA$82=1,'Pipe Audit'!$K$3:$K$82)))</f>
        <v>#REF!</v>
      </c>
      <c r="S8" s="110" t="e">
        <f t="array" ref="S8">SUM(IF('Pipe Audit'!#REF!=$A8,IF('Pipe Audit'!$S$3:$S$82=1,'Pipe Audit'!$K$3:$K$82)))</f>
        <v>#REF!</v>
      </c>
      <c r="T8" s="110" t="e">
        <f t="array" ref="T8">SUM(IF('Pipe Audit'!#REF!=$A8,IF('Pipe Audit'!$AA$3:$AA$82&gt;0,'Pipe Audit'!$BA$3:$BA$82)))</f>
        <v>#REF!</v>
      </c>
      <c r="U8" s="110" t="e">
        <f t="array" ref="U8">SUM(IF('Pipe Audit'!#REF!=$A8,IF('Pipe Audit'!$AA$3:$AA$82&gt;0,'Pipe Audit'!$K$3:$K$82)))</f>
        <v>#REF!</v>
      </c>
      <c r="V8" s="111" t="e">
        <f t="shared" si="9"/>
        <v>#REF!</v>
      </c>
      <c r="W8" s="112" t="e">
        <f t="shared" si="10"/>
        <v>#REF!</v>
      </c>
      <c r="X8" s="80" t="e">
        <f>COUNTIF('[4]CURRENT_ISO SIGN-OFF LOG'!$J$1598:$J$4948,A8)</f>
        <v>#VALUE!</v>
      </c>
      <c r="Y8" s="80" t="e">
        <f t="array" ref="Y8">SUM(IF('[4]CURRENT_ISO SIGN-OFF LOG'!#REF!=$A8,IF('[4]CURRENT_ISO SIGN-OFF LOG'!#REF!="Q",'[4]CURRENT_ISO SIGN-OFF LOG'!#REF!)))</f>
        <v>#REF!</v>
      </c>
      <c r="Z8" s="80" t="e">
        <f t="array" ref="Z8">SUM(IF('[4]CURRENT_ISO SIGN-OFF LOG'!#REF!=$A8,IF('[4]CURRENT_ISO SIGN-OFF LOG'!#REF!="C",'[4]CURRENT_ISO SIGN-OFF LOG'!#REF!)))</f>
        <v>#REF!</v>
      </c>
      <c r="AA8" s="81" t="e">
        <f t="shared" si="11"/>
        <v>#VALUE!</v>
      </c>
      <c r="AB8" s="82" t="e">
        <f t="shared" si="12"/>
        <v>#REF!</v>
      </c>
    </row>
    <row r="9" spans="1:28" ht="20.25" customHeight="1" x14ac:dyDescent="0.35">
      <c r="A9" s="104">
        <v>4</v>
      </c>
      <c r="B9" s="105">
        <f>SUMIF('Pipe Audit'!$J$3:$J$82,$A9,'Pipe Audit'!$K$3:$K$82)</f>
        <v>0</v>
      </c>
      <c r="C9" s="105" t="e">
        <f>SUMIF('Pipe Audit'!#REF!,A9,'Pipe Audit'!$P$3:$P$82)</f>
        <v>#REF!</v>
      </c>
      <c r="D9" s="105" t="e">
        <f t="shared" si="0"/>
        <v>#REF!</v>
      </c>
      <c r="E9" s="106" t="e">
        <f t="shared" si="1"/>
        <v>#REF!</v>
      </c>
      <c r="F9" s="105">
        <f>SUMIF('Pipe Audit'!$J$3:$J$82,$A9,'Pipe Audit'!$L$3:$L$82)</f>
        <v>0</v>
      </c>
      <c r="G9" s="105">
        <f>SUMIF('Pipe Audit'!$J$3:$J$82,A9,'Pipe Audit'!$Q$3:$Q$82)</f>
        <v>0</v>
      </c>
      <c r="H9" s="105">
        <f t="shared" si="2"/>
        <v>0</v>
      </c>
      <c r="I9" s="107" t="e">
        <f t="shared" si="3"/>
        <v>#DIV/0!</v>
      </c>
      <c r="J9" s="105">
        <f t="shared" si="4"/>
        <v>0</v>
      </c>
      <c r="K9" s="105">
        <f>SUMIF('Pipe Audit'!$J$3:$J$82,A9,'Pipe Audit'!$BE$3:$BE$82)</f>
        <v>0</v>
      </c>
      <c r="L9" s="105">
        <f t="shared" si="5"/>
        <v>0</v>
      </c>
      <c r="M9" s="107" t="e">
        <f t="shared" si="6"/>
        <v>#DIV/0!</v>
      </c>
      <c r="N9" s="105">
        <f>SUMIF('Pipe Audit'!$J$3:$J$82,$A9,'Pipe Audit'!$BA$3:$BA$82)</f>
        <v>0</v>
      </c>
      <c r="O9" s="108">
        <f t="array" ref="O9">SUM(IF('Pipe Audit'!$J$3:$J$82=$A9,IF('Pipe Audit'!$S$3:$S$82=1,'Pipe Audit'!$BA$3:$BA$82)))</f>
        <v>0</v>
      </c>
      <c r="P9" s="108">
        <f t="shared" si="7"/>
        <v>0</v>
      </c>
      <c r="Q9" s="109" t="e">
        <f t="shared" si="8"/>
        <v>#DIV/0!</v>
      </c>
      <c r="R9" s="110" t="e">
        <f t="array" ref="R9">SUM(IF('Pipe Audit'!#REF!=$A9,IF('Pipe Audit'!$BA$3:$BA$82=1,'Pipe Audit'!$K$3:$K$82)))</f>
        <v>#REF!</v>
      </c>
      <c r="S9" s="110" t="e">
        <f t="array" ref="S9">SUM(IF('Pipe Audit'!#REF!=$A9,IF('Pipe Audit'!$S$3:$S$82=1,'Pipe Audit'!$K$3:$K$82)))</f>
        <v>#REF!</v>
      </c>
      <c r="T9" s="110" t="e">
        <f t="array" ref="T9">SUM(IF('Pipe Audit'!#REF!=$A9,IF('Pipe Audit'!$AA$3:$AA$82&gt;0,'Pipe Audit'!$BA$3:$BA$82)))</f>
        <v>#REF!</v>
      </c>
      <c r="U9" s="110" t="e">
        <f t="array" ref="U9">SUM(IF('Pipe Audit'!#REF!=$A9,IF('Pipe Audit'!$AA$3:$AA$82&gt;0,'Pipe Audit'!$K$3:$K$82)))</f>
        <v>#REF!</v>
      </c>
      <c r="V9" s="111" t="e">
        <f t="shared" si="9"/>
        <v>#REF!</v>
      </c>
      <c r="W9" s="112" t="e">
        <f t="shared" si="10"/>
        <v>#REF!</v>
      </c>
      <c r="X9" s="80" t="e">
        <f>COUNTIF('[4]CURRENT_ISO SIGN-OFF LOG'!$J$1598:$J$4948,A9)</f>
        <v>#VALUE!</v>
      </c>
      <c r="Y9" s="80" t="e">
        <f t="array" ref="Y9">SUM(IF('[4]CURRENT_ISO SIGN-OFF LOG'!#REF!=$A9,IF('[4]CURRENT_ISO SIGN-OFF LOG'!#REF!="Q",'[4]CURRENT_ISO SIGN-OFF LOG'!#REF!)))</f>
        <v>#REF!</v>
      </c>
      <c r="Z9" s="80" t="e">
        <f t="array" ref="Z9">SUM(IF('[4]CURRENT_ISO SIGN-OFF LOG'!#REF!=$A9,IF('[4]CURRENT_ISO SIGN-OFF LOG'!#REF!="C",'[4]CURRENT_ISO SIGN-OFF LOG'!#REF!)))</f>
        <v>#REF!</v>
      </c>
      <c r="AA9" s="81" t="e">
        <f t="shared" si="11"/>
        <v>#VALUE!</v>
      </c>
      <c r="AB9" s="82" t="e">
        <f t="shared" si="12"/>
        <v>#REF!</v>
      </c>
    </row>
    <row r="10" spans="1:28" ht="20.25" customHeight="1" x14ac:dyDescent="0.35">
      <c r="A10" s="104">
        <v>6</v>
      </c>
      <c r="B10" s="105">
        <f>SUMIF('Pipe Audit'!$J$3:$J$82,$A10,'Pipe Audit'!$K$3:$K$82)</f>
        <v>927</v>
      </c>
      <c r="C10" s="105" t="e">
        <f>SUMIF('Pipe Audit'!#REF!,A10,'Pipe Audit'!$P$3:$P$82)</f>
        <v>#REF!</v>
      </c>
      <c r="D10" s="105" t="e">
        <f t="shared" si="0"/>
        <v>#REF!</v>
      </c>
      <c r="E10" s="106" t="e">
        <f t="shared" si="1"/>
        <v>#REF!</v>
      </c>
      <c r="F10" s="105">
        <f>SUMIF('Pipe Audit'!$J$3:$J$82,$A10,'Pipe Audit'!$L$3:$L$82)</f>
        <v>0</v>
      </c>
      <c r="G10" s="105">
        <f>SUMIF('Pipe Audit'!$J$3:$J$82,A10,'Pipe Audit'!$Q$3:$Q$82)</f>
        <v>0</v>
      </c>
      <c r="H10" s="105">
        <f t="shared" si="2"/>
        <v>0</v>
      </c>
      <c r="I10" s="107" t="e">
        <f t="shared" si="3"/>
        <v>#DIV/0!</v>
      </c>
      <c r="J10" s="105">
        <f t="shared" si="4"/>
        <v>0</v>
      </c>
      <c r="K10" s="105" t="e">
        <f>SUMIF('Pipe Audit'!$J$3:$J$82,A10,'Pipe Audit'!$BE$3:$BE$82)</f>
        <v>#REF!</v>
      </c>
      <c r="L10" s="105" t="e">
        <f t="shared" si="5"/>
        <v>#REF!</v>
      </c>
      <c r="M10" s="107" t="e">
        <f t="shared" si="6"/>
        <v>#REF!</v>
      </c>
      <c r="N10" s="105">
        <f>SUMIF('Pipe Audit'!$J$3:$J$82,$A10,'Pipe Audit'!$BA$3:$BA$82)</f>
        <v>0</v>
      </c>
      <c r="O10" s="108">
        <f t="array" ref="O10">SUM(IF('Pipe Audit'!$J$3:$J$82=$A10,IF('Pipe Audit'!$S$3:$S$82=1,'Pipe Audit'!$BA$3:$BA$82)))</f>
        <v>0</v>
      </c>
      <c r="P10" s="108">
        <f t="shared" si="7"/>
        <v>0</v>
      </c>
      <c r="Q10" s="109" t="e">
        <f t="shared" si="8"/>
        <v>#DIV/0!</v>
      </c>
      <c r="R10" s="110" t="e">
        <f t="array" ref="R10">SUM(IF('Pipe Audit'!#REF!=$A10,IF('Pipe Audit'!$BA$3:$BA$82=1,'Pipe Audit'!$K$3:$K$82)))</f>
        <v>#REF!</v>
      </c>
      <c r="S10" s="110" t="e">
        <f t="array" ref="S10">SUM(IF('Pipe Audit'!#REF!=$A10,IF('Pipe Audit'!$S$3:$S$82=1,'Pipe Audit'!$K$3:$K$82)))</f>
        <v>#REF!</v>
      </c>
      <c r="T10" s="110" t="e">
        <f t="array" ref="T10">SUM(IF('Pipe Audit'!#REF!=$A10,IF('Pipe Audit'!$AA$3:$AA$82&gt;0,'Pipe Audit'!$BA$3:$BA$82)))</f>
        <v>#REF!</v>
      </c>
      <c r="U10" s="110" t="e">
        <f t="array" ref="U10">SUM(IF('Pipe Audit'!#REF!=$A10,IF('Pipe Audit'!$AA$3:$AA$82&gt;0,'Pipe Audit'!$K$3:$K$82)))</f>
        <v>#REF!</v>
      </c>
      <c r="V10" s="111" t="e">
        <f t="shared" si="9"/>
        <v>#REF!</v>
      </c>
      <c r="W10" s="112" t="e">
        <f t="shared" si="10"/>
        <v>#REF!</v>
      </c>
      <c r="X10" s="80" t="e">
        <f>COUNTIF('[4]CURRENT_ISO SIGN-OFF LOG'!$J$1598:$J$4948,A10)</f>
        <v>#VALUE!</v>
      </c>
      <c r="Y10" s="80" t="e">
        <f t="array" ref="Y10">SUM(IF('[4]CURRENT_ISO SIGN-OFF LOG'!#REF!=$A10,IF('[4]CURRENT_ISO SIGN-OFF LOG'!#REF!="Q",'[4]CURRENT_ISO SIGN-OFF LOG'!#REF!)))</f>
        <v>#REF!</v>
      </c>
      <c r="Z10" s="80" t="e">
        <f t="array" ref="Z10">SUM(IF('[4]CURRENT_ISO SIGN-OFF LOG'!#REF!=$A10,IF('[4]CURRENT_ISO SIGN-OFF LOG'!#REF!="C",'[4]CURRENT_ISO SIGN-OFF LOG'!#REF!)))</f>
        <v>#REF!</v>
      </c>
      <c r="AA10" s="81" t="e">
        <f t="shared" si="11"/>
        <v>#VALUE!</v>
      </c>
      <c r="AB10" s="82" t="e">
        <f t="shared" si="12"/>
        <v>#REF!</v>
      </c>
    </row>
    <row r="11" spans="1:28" ht="20.25" customHeight="1" x14ac:dyDescent="0.35">
      <c r="A11" s="104">
        <v>8</v>
      </c>
      <c r="B11" s="105">
        <f>SUMIF('Pipe Audit'!$J$3:$J$82,$A11,'Pipe Audit'!$K$3:$K$82)</f>
        <v>1643</v>
      </c>
      <c r="C11" s="105" t="e">
        <f>SUMIF('Pipe Audit'!#REF!,A11,'Pipe Audit'!$P$3:$P$82)</f>
        <v>#REF!</v>
      </c>
      <c r="D11" s="105" t="e">
        <f t="shared" si="0"/>
        <v>#REF!</v>
      </c>
      <c r="E11" s="106" t="e">
        <f t="shared" si="1"/>
        <v>#REF!</v>
      </c>
      <c r="F11" s="105">
        <f>SUMIF('Pipe Audit'!$J$3:$J$82,$A11,'Pipe Audit'!$L$3:$L$82)</f>
        <v>0</v>
      </c>
      <c r="G11" s="105">
        <f>SUMIF('Pipe Audit'!$J$3:$J$82,A11,'Pipe Audit'!$Q$3:$Q$82)</f>
        <v>0</v>
      </c>
      <c r="H11" s="105">
        <f t="shared" si="2"/>
        <v>0</v>
      </c>
      <c r="I11" s="107" t="e">
        <f t="shared" si="3"/>
        <v>#DIV/0!</v>
      </c>
      <c r="J11" s="105">
        <f t="shared" si="4"/>
        <v>0</v>
      </c>
      <c r="K11" s="105" t="e">
        <f>SUMIF('Pipe Audit'!$J$3:$J$82,A11,'Pipe Audit'!$BE$3:$BE$82)</f>
        <v>#REF!</v>
      </c>
      <c r="L11" s="105" t="e">
        <f t="shared" si="5"/>
        <v>#REF!</v>
      </c>
      <c r="M11" s="107" t="e">
        <f t="shared" si="6"/>
        <v>#REF!</v>
      </c>
      <c r="N11" s="105">
        <f>SUMIF('Pipe Audit'!$J$3:$J$82,$A11,'Pipe Audit'!$BA$3:$BA$82)</f>
        <v>0</v>
      </c>
      <c r="O11" s="108">
        <f t="array" ref="O11">SUM(IF('Pipe Audit'!$J$3:$J$82=$A11,IF('Pipe Audit'!$S$3:$S$82=1,'Pipe Audit'!$BA$3:$BA$82)))</f>
        <v>0</v>
      </c>
      <c r="P11" s="108">
        <f t="shared" si="7"/>
        <v>0</v>
      </c>
      <c r="Q11" s="109" t="e">
        <f t="shared" si="8"/>
        <v>#DIV/0!</v>
      </c>
      <c r="R11" s="110" t="e">
        <f t="array" ref="R11">SUM(IF('Pipe Audit'!#REF!=$A11,IF('Pipe Audit'!$BA$3:$BA$82=1,'Pipe Audit'!$K$3:$K$82)))</f>
        <v>#REF!</v>
      </c>
      <c r="S11" s="110" t="e">
        <f t="array" ref="S11">SUM(IF('Pipe Audit'!#REF!=$A11,IF('Pipe Audit'!$S$3:$S$82=1,'Pipe Audit'!$K$3:$K$82)))</f>
        <v>#REF!</v>
      </c>
      <c r="T11" s="110" t="e">
        <f t="array" ref="T11">SUM(IF('Pipe Audit'!#REF!=$A11,IF('Pipe Audit'!$AA$3:$AA$82&gt;0,'Pipe Audit'!$BA$3:$BA$82)))</f>
        <v>#REF!</v>
      </c>
      <c r="U11" s="110" t="e">
        <f t="array" ref="U11">SUM(IF('Pipe Audit'!#REF!=$A11,IF('Pipe Audit'!$AA$3:$AA$82&gt;0,'Pipe Audit'!$K$3:$K$82)))</f>
        <v>#REF!</v>
      </c>
      <c r="V11" s="111" t="e">
        <f t="shared" si="9"/>
        <v>#REF!</v>
      </c>
      <c r="W11" s="112" t="e">
        <f t="shared" si="10"/>
        <v>#REF!</v>
      </c>
      <c r="X11" s="80" t="e">
        <f>COUNTIF('[4]CURRENT_ISO SIGN-OFF LOG'!$J$1598:$J$4948,A11)</f>
        <v>#VALUE!</v>
      </c>
      <c r="Y11" s="80" t="e">
        <f t="array" ref="Y11">SUM(IF('[4]CURRENT_ISO SIGN-OFF LOG'!#REF!=$A11,IF('[4]CURRENT_ISO SIGN-OFF LOG'!#REF!="Q",'[4]CURRENT_ISO SIGN-OFF LOG'!#REF!)))</f>
        <v>#REF!</v>
      </c>
      <c r="Z11" s="80" t="e">
        <f t="array" ref="Z11">SUM(IF('[4]CURRENT_ISO SIGN-OFF LOG'!#REF!=$A11,IF('[4]CURRENT_ISO SIGN-OFF LOG'!#REF!="C",'[4]CURRENT_ISO SIGN-OFF LOG'!#REF!)))</f>
        <v>#REF!</v>
      </c>
      <c r="AA11" s="81" t="e">
        <f t="shared" si="11"/>
        <v>#VALUE!</v>
      </c>
      <c r="AB11" s="82" t="e">
        <f t="shared" si="12"/>
        <v>#REF!</v>
      </c>
    </row>
    <row r="12" spans="1:28" ht="20.25" customHeight="1" x14ac:dyDescent="0.35">
      <c r="A12" s="104">
        <v>9</v>
      </c>
      <c r="B12" s="105">
        <f>SUMIF('Pipe Audit'!$J$3:$J$82,$A12,'Pipe Audit'!$K$3:$K$82)</f>
        <v>0</v>
      </c>
      <c r="C12" s="105" t="e">
        <f>SUMIF('Pipe Audit'!#REF!,A12,'Pipe Audit'!$P$3:$P$82)</f>
        <v>#REF!</v>
      </c>
      <c r="D12" s="105" t="e">
        <f t="shared" si="0"/>
        <v>#REF!</v>
      </c>
      <c r="E12" s="106" t="e">
        <f t="shared" si="1"/>
        <v>#REF!</v>
      </c>
      <c r="F12" s="105">
        <f>SUMIF('Pipe Audit'!$J$3:$J$82,$A12,'Pipe Audit'!$L$3:$L$82)</f>
        <v>0</v>
      </c>
      <c r="G12" s="105">
        <f>SUMIF('Pipe Audit'!$J$3:$J$82,A12,'Pipe Audit'!$Q$3:$Q$82)</f>
        <v>0</v>
      </c>
      <c r="H12" s="105">
        <f t="shared" si="2"/>
        <v>0</v>
      </c>
      <c r="I12" s="107" t="e">
        <f t="shared" si="3"/>
        <v>#DIV/0!</v>
      </c>
      <c r="J12" s="105">
        <f t="shared" si="4"/>
        <v>0</v>
      </c>
      <c r="K12" s="105">
        <f>SUMIF('Pipe Audit'!$J$3:$J$82,A12,'Pipe Audit'!$BE$3:$BE$82)</f>
        <v>0</v>
      </c>
      <c r="L12" s="105">
        <f t="shared" si="5"/>
        <v>0</v>
      </c>
      <c r="M12" s="107" t="e">
        <f t="shared" si="6"/>
        <v>#DIV/0!</v>
      </c>
      <c r="N12" s="105">
        <f>SUMIF('Pipe Audit'!$J$3:$J$82,$A12,'Pipe Audit'!$BA$3:$BA$82)</f>
        <v>0</v>
      </c>
      <c r="O12" s="108">
        <f t="array" ref="O12">SUM(IF('Pipe Audit'!$J$3:$J$82=$A12,IF('Pipe Audit'!$S$3:$S$82=1,'Pipe Audit'!$BA$3:$BA$82)))</f>
        <v>0</v>
      </c>
      <c r="P12" s="108">
        <f t="shared" si="7"/>
        <v>0</v>
      </c>
      <c r="Q12" s="109" t="e">
        <f t="shared" si="8"/>
        <v>#DIV/0!</v>
      </c>
      <c r="R12" s="110" t="e">
        <f t="array" ref="R12">SUM(IF('Pipe Audit'!#REF!=$A12,IF('Pipe Audit'!$BA$3:$BA$82=1,'Pipe Audit'!$K$3:$K$82)))</f>
        <v>#REF!</v>
      </c>
      <c r="S12" s="110" t="e">
        <f t="array" ref="S12">SUM(IF('Pipe Audit'!#REF!=$A12,IF('Pipe Audit'!$S$3:$S$82=1,'Pipe Audit'!$K$3:$K$82)))</f>
        <v>#REF!</v>
      </c>
      <c r="T12" s="110" t="e">
        <f t="array" ref="T12">SUM(IF('Pipe Audit'!#REF!=$A12,IF('Pipe Audit'!$AA$3:$AA$82&gt;0,'Pipe Audit'!$BA$3:$BA$82)))</f>
        <v>#REF!</v>
      </c>
      <c r="U12" s="110" t="e">
        <f t="array" ref="U12">SUM(IF('Pipe Audit'!#REF!=$A12,IF('Pipe Audit'!$AA$3:$AA$82&gt;0,'Pipe Audit'!$K$3:$K$82)))</f>
        <v>#REF!</v>
      </c>
      <c r="V12" s="111" t="e">
        <f t="shared" si="9"/>
        <v>#REF!</v>
      </c>
      <c r="W12" s="112" t="e">
        <f t="shared" si="10"/>
        <v>#REF!</v>
      </c>
      <c r="X12" s="80" t="e">
        <f>COUNTIF('[4]CURRENT_ISO SIGN-OFF LOG'!$J$1598:$J$4948,A12)</f>
        <v>#VALUE!</v>
      </c>
      <c r="Y12" s="80" t="e">
        <f t="array" ref="Y12">SUM(IF('[4]CURRENT_ISO SIGN-OFF LOG'!#REF!=$A12,IF('[4]CURRENT_ISO SIGN-OFF LOG'!#REF!="Q",'[4]CURRENT_ISO SIGN-OFF LOG'!#REF!)))</f>
        <v>#REF!</v>
      </c>
      <c r="Z12" s="80" t="e">
        <f t="array" ref="Z12">SUM(IF('[4]CURRENT_ISO SIGN-OFF LOG'!#REF!=$A12,IF('[4]CURRENT_ISO SIGN-OFF LOG'!#REF!="C",'[4]CURRENT_ISO SIGN-OFF LOG'!#REF!)))</f>
        <v>#REF!</v>
      </c>
      <c r="AA12" s="81" t="e">
        <f t="shared" si="11"/>
        <v>#VALUE!</v>
      </c>
      <c r="AB12" s="82" t="e">
        <f t="shared" si="12"/>
        <v>#REF!</v>
      </c>
    </row>
    <row r="13" spans="1:28" ht="20.25" customHeight="1" x14ac:dyDescent="0.35">
      <c r="A13" s="104">
        <v>10</v>
      </c>
      <c r="B13" s="105">
        <f>SUMIF('Pipe Audit'!$J$3:$J$82,$A13,'Pipe Audit'!$K$3:$K$82)</f>
        <v>2164</v>
      </c>
      <c r="C13" s="105" t="e">
        <f>SUMIF('Pipe Audit'!#REF!,A13,'Pipe Audit'!$P$3:$P$82)</f>
        <v>#REF!</v>
      </c>
      <c r="D13" s="105" t="e">
        <f t="shared" si="0"/>
        <v>#REF!</v>
      </c>
      <c r="E13" s="106" t="e">
        <f t="shared" si="1"/>
        <v>#REF!</v>
      </c>
      <c r="F13" s="105">
        <f>SUMIF('Pipe Audit'!$J$3:$J$82,$A13,'Pipe Audit'!$L$3:$L$82)</f>
        <v>0</v>
      </c>
      <c r="G13" s="105">
        <f>SUMIF('Pipe Audit'!$J$3:$J$82,A13,'Pipe Audit'!$Q$3:$Q$82)</f>
        <v>0</v>
      </c>
      <c r="H13" s="105">
        <f t="shared" si="2"/>
        <v>0</v>
      </c>
      <c r="I13" s="107" t="e">
        <f t="shared" si="3"/>
        <v>#DIV/0!</v>
      </c>
      <c r="J13" s="105">
        <f t="shared" si="4"/>
        <v>0</v>
      </c>
      <c r="K13" s="105" t="e">
        <f>SUMIF('Pipe Audit'!$J$3:$J$82,A13,'Pipe Audit'!$BE$3:$BE$82)</f>
        <v>#REF!</v>
      </c>
      <c r="L13" s="105" t="e">
        <f t="shared" si="5"/>
        <v>#REF!</v>
      </c>
      <c r="M13" s="107" t="e">
        <f t="shared" si="6"/>
        <v>#REF!</v>
      </c>
      <c r="N13" s="105">
        <f>SUMIF('Pipe Audit'!$J$3:$J$82,$A13,'Pipe Audit'!$BA$3:$BA$82)</f>
        <v>0</v>
      </c>
      <c r="O13" s="108">
        <f t="array" ref="O13">SUM(IF('Pipe Audit'!$J$3:$J$82=$A13,IF('Pipe Audit'!$S$3:$S$82=1,'Pipe Audit'!$BA$3:$BA$82)))</f>
        <v>0</v>
      </c>
      <c r="P13" s="108">
        <f t="shared" si="7"/>
        <v>0</v>
      </c>
      <c r="Q13" s="109" t="e">
        <f t="shared" si="8"/>
        <v>#DIV/0!</v>
      </c>
      <c r="R13" s="110" t="e">
        <f t="array" ref="R13">SUM(IF('Pipe Audit'!#REF!=$A13,IF('Pipe Audit'!$BA$3:$BA$82=1,'Pipe Audit'!$K$3:$K$82)))</f>
        <v>#REF!</v>
      </c>
      <c r="S13" s="110" t="e">
        <f t="array" ref="S13">SUM(IF('Pipe Audit'!#REF!=$A13,IF('Pipe Audit'!$S$3:$S$82=1,'Pipe Audit'!$K$3:$K$82)))</f>
        <v>#REF!</v>
      </c>
      <c r="T13" s="110" t="e">
        <f t="array" ref="T13">SUM(IF('Pipe Audit'!#REF!=$A13,IF('Pipe Audit'!$AA$3:$AA$82&gt;0,'Pipe Audit'!$BA$3:$BA$82)))</f>
        <v>#REF!</v>
      </c>
      <c r="U13" s="110" t="e">
        <f t="array" ref="U13">SUM(IF('Pipe Audit'!#REF!=$A13,IF('Pipe Audit'!$AA$3:$AA$82&gt;0,'Pipe Audit'!$K$3:$K$82)))</f>
        <v>#REF!</v>
      </c>
      <c r="V13" s="111" t="e">
        <f t="shared" si="9"/>
        <v>#REF!</v>
      </c>
      <c r="W13" s="112" t="e">
        <f t="shared" si="10"/>
        <v>#REF!</v>
      </c>
      <c r="X13" s="80" t="e">
        <f>COUNTIF('[4]CURRENT_ISO SIGN-OFF LOG'!$J$1598:$J$4948,A13)</f>
        <v>#VALUE!</v>
      </c>
      <c r="Y13" s="80" t="e">
        <f t="array" ref="Y13">SUM(IF('[4]CURRENT_ISO SIGN-OFF LOG'!#REF!=$A13,IF('[4]CURRENT_ISO SIGN-OFF LOG'!#REF!="Q",'[4]CURRENT_ISO SIGN-OFF LOG'!#REF!)))</f>
        <v>#REF!</v>
      </c>
      <c r="Z13" s="80" t="e">
        <f t="array" ref="Z13">SUM(IF('[4]CURRENT_ISO SIGN-OFF LOG'!#REF!=$A13,IF('[4]CURRENT_ISO SIGN-OFF LOG'!#REF!="C",'[4]CURRENT_ISO SIGN-OFF LOG'!#REF!)))</f>
        <v>#REF!</v>
      </c>
      <c r="AA13" s="81" t="e">
        <f t="shared" si="11"/>
        <v>#VALUE!</v>
      </c>
      <c r="AB13" s="82" t="e">
        <f t="shared" si="12"/>
        <v>#REF!</v>
      </c>
    </row>
    <row r="14" spans="1:28" ht="20.25" customHeight="1" x14ac:dyDescent="0.35">
      <c r="A14" s="104">
        <v>12</v>
      </c>
      <c r="B14" s="105">
        <f>SUMIF('Pipe Audit'!$J$3:$J$82,$A14,'Pipe Audit'!$K$3:$K$82)</f>
        <v>0</v>
      </c>
      <c r="C14" s="105" t="e">
        <f>SUMIF('Pipe Audit'!#REF!,A14,'Pipe Audit'!$P$3:$P$82)</f>
        <v>#REF!</v>
      </c>
      <c r="D14" s="105" t="e">
        <f t="shared" si="0"/>
        <v>#REF!</v>
      </c>
      <c r="E14" s="106" t="e">
        <f t="shared" si="1"/>
        <v>#REF!</v>
      </c>
      <c r="F14" s="105">
        <f>SUMIF('Pipe Audit'!$J$3:$J$82,$A14,'Pipe Audit'!$L$3:$L$82)</f>
        <v>0</v>
      </c>
      <c r="G14" s="105">
        <f>SUMIF('Pipe Audit'!$J$3:$J$82,A14,'Pipe Audit'!$Q$3:$Q$82)</f>
        <v>0</v>
      </c>
      <c r="H14" s="105">
        <f t="shared" si="2"/>
        <v>0</v>
      </c>
      <c r="I14" s="107" t="e">
        <f t="shared" si="3"/>
        <v>#DIV/0!</v>
      </c>
      <c r="J14" s="105">
        <f t="shared" si="4"/>
        <v>0</v>
      </c>
      <c r="K14" s="105">
        <f>SUMIF('Pipe Audit'!$J$3:$J$82,A14,'Pipe Audit'!$BE$3:$BE$82)</f>
        <v>0</v>
      </c>
      <c r="L14" s="105">
        <f t="shared" si="5"/>
        <v>0</v>
      </c>
      <c r="M14" s="107" t="e">
        <f t="shared" si="6"/>
        <v>#DIV/0!</v>
      </c>
      <c r="N14" s="105">
        <f>SUMIF('Pipe Audit'!$J$3:$J$82,$A14,'Pipe Audit'!$BA$3:$BA$82)</f>
        <v>0</v>
      </c>
      <c r="O14" s="108">
        <f t="array" ref="O14">SUM(IF('Pipe Audit'!$J$3:$J$82=$A14,IF('Pipe Audit'!$S$3:$S$82=1,'Pipe Audit'!$BA$3:$BA$82)))</f>
        <v>0</v>
      </c>
      <c r="P14" s="108">
        <f t="shared" si="7"/>
        <v>0</v>
      </c>
      <c r="Q14" s="109" t="e">
        <f t="shared" si="8"/>
        <v>#DIV/0!</v>
      </c>
      <c r="R14" s="110" t="e">
        <f t="array" ref="R14">SUM(IF('Pipe Audit'!#REF!=$A14,IF('Pipe Audit'!$BA$3:$BA$82=1,'Pipe Audit'!$K$3:$K$82)))</f>
        <v>#REF!</v>
      </c>
      <c r="S14" s="110" t="e">
        <f t="array" ref="S14">SUM(IF('Pipe Audit'!#REF!=$A14,IF('Pipe Audit'!$S$3:$S$82=1,'Pipe Audit'!$K$3:$K$82)))</f>
        <v>#REF!</v>
      </c>
      <c r="T14" s="110" t="e">
        <f t="array" ref="T14">SUM(IF('Pipe Audit'!#REF!=$A14,IF('Pipe Audit'!$AA$3:$AA$82&gt;0,'Pipe Audit'!$BA$3:$BA$82)))</f>
        <v>#REF!</v>
      </c>
      <c r="U14" s="110" t="e">
        <f t="array" ref="U14">SUM(IF('Pipe Audit'!#REF!=$A14,IF('Pipe Audit'!$AA$3:$AA$82&gt;0,'Pipe Audit'!$K$3:$K$82)))</f>
        <v>#REF!</v>
      </c>
      <c r="V14" s="111" t="e">
        <f t="shared" si="9"/>
        <v>#REF!</v>
      </c>
      <c r="W14" s="112" t="e">
        <f t="shared" si="10"/>
        <v>#REF!</v>
      </c>
      <c r="X14" s="80" t="e">
        <f>COUNTIF('[4]CURRENT_ISO SIGN-OFF LOG'!$J$1598:$J$4948,A14)</f>
        <v>#VALUE!</v>
      </c>
      <c r="Y14" s="80" t="e">
        <f t="array" ref="Y14">SUM(IF('[4]CURRENT_ISO SIGN-OFF LOG'!#REF!=$A14,IF('[4]CURRENT_ISO SIGN-OFF LOG'!#REF!="Q",'[4]CURRENT_ISO SIGN-OFF LOG'!#REF!)))</f>
        <v>#REF!</v>
      </c>
      <c r="Z14" s="80" t="e">
        <f t="array" ref="Z14">SUM(IF('[4]CURRENT_ISO SIGN-OFF LOG'!#REF!=$A14,IF('[4]CURRENT_ISO SIGN-OFF LOG'!#REF!="C",'[4]CURRENT_ISO SIGN-OFF LOG'!#REF!)))</f>
        <v>#REF!</v>
      </c>
      <c r="AA14" s="81" t="e">
        <f t="shared" si="11"/>
        <v>#VALUE!</v>
      </c>
      <c r="AB14" s="82" t="e">
        <f t="shared" si="12"/>
        <v>#REF!</v>
      </c>
    </row>
    <row r="15" spans="1:28" ht="20.25" customHeight="1" x14ac:dyDescent="0.35">
      <c r="A15" s="104">
        <v>14</v>
      </c>
      <c r="B15" s="105">
        <f>SUMIF('Pipe Audit'!$J$3:$J$82,$A15,'Pipe Audit'!$K$3:$K$82)</f>
        <v>0</v>
      </c>
      <c r="C15" s="105" t="e">
        <f>SUMIF('Pipe Audit'!#REF!,A15,'Pipe Audit'!$P$3:$P$82)</f>
        <v>#REF!</v>
      </c>
      <c r="D15" s="105" t="e">
        <f t="shared" si="0"/>
        <v>#REF!</v>
      </c>
      <c r="E15" s="106" t="e">
        <f t="shared" si="1"/>
        <v>#REF!</v>
      </c>
      <c r="F15" s="105">
        <f>SUMIF('Pipe Audit'!$J$3:$J$82,$A15,'Pipe Audit'!$L$3:$L$82)</f>
        <v>0</v>
      </c>
      <c r="G15" s="105">
        <f>SUMIF('Pipe Audit'!$J$3:$J$82,A15,'Pipe Audit'!$Q$3:$Q$82)</f>
        <v>0</v>
      </c>
      <c r="H15" s="105">
        <f t="shared" si="2"/>
        <v>0</v>
      </c>
      <c r="I15" s="107" t="e">
        <f t="shared" si="3"/>
        <v>#DIV/0!</v>
      </c>
      <c r="J15" s="105">
        <f t="shared" si="4"/>
        <v>0</v>
      </c>
      <c r="K15" s="105">
        <f>SUMIF('Pipe Audit'!$J$3:$J$82,A15,'Pipe Audit'!$BE$3:$BE$82)</f>
        <v>0</v>
      </c>
      <c r="L15" s="105">
        <f t="shared" si="5"/>
        <v>0</v>
      </c>
      <c r="M15" s="107" t="e">
        <f t="shared" si="6"/>
        <v>#DIV/0!</v>
      </c>
      <c r="N15" s="105">
        <f>SUMIF('Pipe Audit'!$J$3:$J$82,$A15,'Pipe Audit'!$BA$3:$BA$82)</f>
        <v>0</v>
      </c>
      <c r="O15" s="108">
        <f t="array" ref="O15">SUM(IF('Pipe Audit'!$J$3:$J$82=$A15,IF('Pipe Audit'!$S$3:$S$82=1,'Pipe Audit'!$BA$3:$BA$82)))</f>
        <v>0</v>
      </c>
      <c r="P15" s="108">
        <f t="shared" si="7"/>
        <v>0</v>
      </c>
      <c r="Q15" s="109" t="e">
        <f t="shared" si="8"/>
        <v>#DIV/0!</v>
      </c>
      <c r="R15" s="110" t="e">
        <f t="array" ref="R15">SUM(IF('Pipe Audit'!#REF!=$A15,IF('Pipe Audit'!$BA$3:$BA$82=1,'Pipe Audit'!$K$3:$K$82)))</f>
        <v>#REF!</v>
      </c>
      <c r="S15" s="110" t="e">
        <f t="array" ref="S15">SUM(IF('Pipe Audit'!#REF!=$A15,IF('Pipe Audit'!$S$3:$S$82=1,'Pipe Audit'!$K$3:$K$82)))</f>
        <v>#REF!</v>
      </c>
      <c r="T15" s="110" t="e">
        <f t="array" ref="T15">SUM(IF('Pipe Audit'!#REF!=$A15,IF('Pipe Audit'!$AA$3:$AA$82&gt;0,'Pipe Audit'!$BA$3:$BA$82)))</f>
        <v>#REF!</v>
      </c>
      <c r="U15" s="110" t="e">
        <f t="array" ref="U15">SUM(IF('Pipe Audit'!#REF!=$A15,IF('Pipe Audit'!$AA$3:$AA$82&gt;0,'Pipe Audit'!$K$3:$K$82)))</f>
        <v>#REF!</v>
      </c>
      <c r="V15" s="111" t="e">
        <f t="shared" si="9"/>
        <v>#REF!</v>
      </c>
      <c r="W15" s="112" t="e">
        <f t="shared" si="10"/>
        <v>#REF!</v>
      </c>
      <c r="X15" s="80" t="e">
        <f>COUNTIF('[4]CURRENT_ISO SIGN-OFF LOG'!$J$1598:$J$4948,A15)</f>
        <v>#VALUE!</v>
      </c>
      <c r="Y15" s="80" t="e">
        <f t="array" ref="Y15">SUM(IF('[4]CURRENT_ISO SIGN-OFF LOG'!#REF!=$A15,IF('[4]CURRENT_ISO SIGN-OFF LOG'!#REF!="Q",'[4]CURRENT_ISO SIGN-OFF LOG'!#REF!)))</f>
        <v>#REF!</v>
      </c>
      <c r="Z15" s="80" t="e">
        <f t="array" ref="Z15">SUM(IF('[4]CURRENT_ISO SIGN-OFF LOG'!#REF!=$A15,IF('[4]CURRENT_ISO SIGN-OFF LOG'!#REF!="C",'[4]CURRENT_ISO SIGN-OFF LOG'!#REF!)))</f>
        <v>#REF!</v>
      </c>
      <c r="AA15" s="81" t="e">
        <f t="shared" si="11"/>
        <v>#VALUE!</v>
      </c>
      <c r="AB15" s="82" t="e">
        <f t="shared" si="12"/>
        <v>#REF!</v>
      </c>
    </row>
    <row r="16" spans="1:28" ht="20.25" customHeight="1" x14ac:dyDescent="0.35">
      <c r="A16" s="104">
        <v>16</v>
      </c>
      <c r="B16" s="105">
        <f>SUMIF('Pipe Audit'!$J$3:$J$82,$A16,'Pipe Audit'!$K$3:$K$82)</f>
        <v>0</v>
      </c>
      <c r="C16" s="105" t="e">
        <f>SUMIF('Pipe Audit'!#REF!,A16,'Pipe Audit'!$P$3:$P$82)</f>
        <v>#REF!</v>
      </c>
      <c r="D16" s="105" t="e">
        <f t="shared" si="0"/>
        <v>#REF!</v>
      </c>
      <c r="E16" s="106" t="e">
        <f t="shared" si="1"/>
        <v>#REF!</v>
      </c>
      <c r="F16" s="105">
        <f>SUMIF('Pipe Audit'!$J$3:$J$82,$A16,'Pipe Audit'!$L$3:$L$82)</f>
        <v>0</v>
      </c>
      <c r="G16" s="105">
        <f>SUMIF('Pipe Audit'!$J$3:$J$82,A16,'Pipe Audit'!$Q$3:$Q$82)</f>
        <v>0</v>
      </c>
      <c r="H16" s="105">
        <f t="shared" si="2"/>
        <v>0</v>
      </c>
      <c r="I16" s="107" t="e">
        <f t="shared" si="3"/>
        <v>#DIV/0!</v>
      </c>
      <c r="J16" s="105">
        <f t="shared" si="4"/>
        <v>0</v>
      </c>
      <c r="K16" s="105">
        <f>SUMIF('Pipe Audit'!$J$3:$J$82,A16,'Pipe Audit'!$BE$3:$BE$82)</f>
        <v>0</v>
      </c>
      <c r="L16" s="105">
        <f t="shared" si="5"/>
        <v>0</v>
      </c>
      <c r="M16" s="107" t="e">
        <f t="shared" si="6"/>
        <v>#DIV/0!</v>
      </c>
      <c r="N16" s="105">
        <f>SUMIF('Pipe Audit'!$J$3:$J$82,$A16,'Pipe Audit'!$BA$3:$BA$82)</f>
        <v>0</v>
      </c>
      <c r="O16" s="108">
        <f t="array" ref="O16">SUM(IF('Pipe Audit'!$J$3:$J$82=$A16,IF('Pipe Audit'!$S$3:$S$82=1,'Pipe Audit'!$BA$3:$BA$82)))</f>
        <v>0</v>
      </c>
      <c r="P16" s="108">
        <f t="shared" si="7"/>
        <v>0</v>
      </c>
      <c r="Q16" s="109" t="e">
        <f t="shared" si="8"/>
        <v>#DIV/0!</v>
      </c>
      <c r="R16" s="110" t="e">
        <f t="array" ref="R16">SUM(IF('Pipe Audit'!#REF!=$A16,IF('Pipe Audit'!$BA$3:$BA$82=1,'Pipe Audit'!$K$3:$K$82)))</f>
        <v>#REF!</v>
      </c>
      <c r="S16" s="110" t="e">
        <f t="array" ref="S16">SUM(IF('Pipe Audit'!#REF!=$A16,IF('Pipe Audit'!$S$3:$S$82=1,'Pipe Audit'!$K$3:$K$82)))</f>
        <v>#REF!</v>
      </c>
      <c r="T16" s="110" t="e">
        <f t="array" ref="T16">SUM(IF('Pipe Audit'!#REF!=$A16,IF('Pipe Audit'!$AA$3:$AA$82&gt;0,'Pipe Audit'!$BA$3:$BA$82)))</f>
        <v>#REF!</v>
      </c>
      <c r="U16" s="110" t="e">
        <f t="array" ref="U16">SUM(IF('Pipe Audit'!#REF!=$A16,IF('Pipe Audit'!$AA$3:$AA$82&gt;0,'Pipe Audit'!$K$3:$K$82)))</f>
        <v>#REF!</v>
      </c>
      <c r="V16" s="111" t="e">
        <f t="shared" si="9"/>
        <v>#REF!</v>
      </c>
      <c r="W16" s="112" t="e">
        <f t="shared" si="10"/>
        <v>#REF!</v>
      </c>
      <c r="X16" s="80" t="e">
        <f>COUNTIF('[4]CURRENT_ISO SIGN-OFF LOG'!$J$1598:$J$4948,A16)</f>
        <v>#VALUE!</v>
      </c>
      <c r="Y16" s="80" t="e">
        <f t="array" ref="Y16">SUM(IF('[4]CURRENT_ISO SIGN-OFF LOG'!#REF!=$A16,IF('[4]CURRENT_ISO SIGN-OFF LOG'!#REF!="Q",'[4]CURRENT_ISO SIGN-OFF LOG'!#REF!)))</f>
        <v>#REF!</v>
      </c>
      <c r="Z16" s="80" t="e">
        <f t="array" ref="Z16">SUM(IF('[4]CURRENT_ISO SIGN-OFF LOG'!#REF!=$A16,IF('[4]CURRENT_ISO SIGN-OFF LOG'!#REF!="C",'[4]CURRENT_ISO SIGN-OFF LOG'!#REF!)))</f>
        <v>#REF!</v>
      </c>
      <c r="AA16" s="81" t="e">
        <f t="shared" si="11"/>
        <v>#VALUE!</v>
      </c>
      <c r="AB16" s="82" t="e">
        <f t="shared" si="12"/>
        <v>#REF!</v>
      </c>
    </row>
    <row r="17" spans="1:28" ht="20.25" customHeight="1" x14ac:dyDescent="0.35">
      <c r="A17" s="104">
        <v>18</v>
      </c>
      <c r="B17" s="105">
        <f>SUMIF('Pipe Audit'!$J$3:$J$82,$A17,'Pipe Audit'!$K$3:$K$82)</f>
        <v>0</v>
      </c>
      <c r="C17" s="105" t="e">
        <f>SUMIF('Pipe Audit'!#REF!,A17,'Pipe Audit'!$P$3:$P$82)</f>
        <v>#REF!</v>
      </c>
      <c r="D17" s="105" t="e">
        <f t="shared" si="0"/>
        <v>#REF!</v>
      </c>
      <c r="E17" s="106" t="e">
        <f t="shared" si="1"/>
        <v>#REF!</v>
      </c>
      <c r="F17" s="105">
        <f>SUMIF('Pipe Audit'!$J$3:$J$82,$A17,'Pipe Audit'!$L$3:$L$82)</f>
        <v>0</v>
      </c>
      <c r="G17" s="105">
        <f>SUMIF('Pipe Audit'!$J$3:$J$82,A17,'Pipe Audit'!$Q$3:$Q$82)</f>
        <v>0</v>
      </c>
      <c r="H17" s="105">
        <f t="shared" si="2"/>
        <v>0</v>
      </c>
      <c r="I17" s="107" t="e">
        <f t="shared" si="3"/>
        <v>#DIV/0!</v>
      </c>
      <c r="J17" s="105">
        <f t="shared" si="4"/>
        <v>0</v>
      </c>
      <c r="K17" s="105">
        <f>SUMIF('Pipe Audit'!$J$3:$J$82,A17,'Pipe Audit'!$BE$3:$BE$82)</f>
        <v>0</v>
      </c>
      <c r="L17" s="105">
        <f t="shared" si="5"/>
        <v>0</v>
      </c>
      <c r="M17" s="107" t="e">
        <f t="shared" si="6"/>
        <v>#DIV/0!</v>
      </c>
      <c r="N17" s="105">
        <f>SUMIF('Pipe Audit'!$J$3:$J$82,$A17,'Pipe Audit'!$BA$3:$BA$82)</f>
        <v>0</v>
      </c>
      <c r="O17" s="108">
        <f t="array" ref="O17">SUM(IF('Pipe Audit'!$J$3:$J$82=$A17,IF('Pipe Audit'!$S$3:$S$82=1,'Pipe Audit'!$BA$3:$BA$82)))</f>
        <v>0</v>
      </c>
      <c r="P17" s="108">
        <f t="shared" si="7"/>
        <v>0</v>
      </c>
      <c r="Q17" s="109" t="e">
        <f t="shared" si="8"/>
        <v>#DIV/0!</v>
      </c>
      <c r="R17" s="110" t="e">
        <f t="array" ref="R17">SUM(IF('Pipe Audit'!#REF!=$A17,IF('Pipe Audit'!$BA$3:$BA$82=1,'Pipe Audit'!$K$3:$K$82)))</f>
        <v>#REF!</v>
      </c>
      <c r="S17" s="110" t="e">
        <f t="array" ref="S17">SUM(IF('Pipe Audit'!#REF!=$A17,IF('Pipe Audit'!$S$3:$S$82=1,'Pipe Audit'!$K$3:$K$82)))</f>
        <v>#REF!</v>
      </c>
      <c r="T17" s="110" t="e">
        <f t="array" ref="T17">SUM(IF('Pipe Audit'!#REF!=$A17,IF('Pipe Audit'!$AA$3:$AA$82&gt;0,'Pipe Audit'!$BA$3:$BA$82)))</f>
        <v>#REF!</v>
      </c>
      <c r="U17" s="110" t="e">
        <f t="array" ref="U17">SUM(IF('Pipe Audit'!#REF!=$A17,IF('Pipe Audit'!$AA$3:$AA$82&gt;0,'Pipe Audit'!$K$3:$K$82)))</f>
        <v>#REF!</v>
      </c>
      <c r="V17" s="111" t="e">
        <f t="shared" si="9"/>
        <v>#REF!</v>
      </c>
      <c r="W17" s="112" t="e">
        <f t="shared" si="10"/>
        <v>#REF!</v>
      </c>
      <c r="X17" s="80" t="e">
        <f>COUNTIF('[4]CURRENT_ISO SIGN-OFF LOG'!$J$1598:$J$4948,A17)</f>
        <v>#VALUE!</v>
      </c>
      <c r="Y17" s="80" t="e">
        <f t="array" ref="Y17">SUM(IF('[4]CURRENT_ISO SIGN-OFF LOG'!#REF!=$A17,IF('[4]CURRENT_ISO SIGN-OFF LOG'!#REF!="Q",'[4]CURRENT_ISO SIGN-OFF LOG'!#REF!)))</f>
        <v>#REF!</v>
      </c>
      <c r="Z17" s="80" t="e">
        <f t="array" ref="Z17">SUM(IF('[4]CURRENT_ISO SIGN-OFF LOG'!#REF!=$A17,IF('[4]CURRENT_ISO SIGN-OFF LOG'!#REF!="C",'[4]CURRENT_ISO SIGN-OFF LOG'!#REF!)))</f>
        <v>#REF!</v>
      </c>
      <c r="AA17" s="81" t="e">
        <f t="shared" si="11"/>
        <v>#VALUE!</v>
      </c>
      <c r="AB17" s="82" t="e">
        <f t="shared" si="12"/>
        <v>#REF!</v>
      </c>
    </row>
    <row r="18" spans="1:28" ht="20.25" customHeight="1" x14ac:dyDescent="0.35">
      <c r="A18" s="104">
        <v>20</v>
      </c>
      <c r="B18" s="105">
        <f>SUMIF('Pipe Audit'!$J$3:$J$82,$A18,'Pipe Audit'!$K$3:$K$82)</f>
        <v>0</v>
      </c>
      <c r="C18" s="105" t="e">
        <f>SUMIF('Pipe Audit'!#REF!,A18,'Pipe Audit'!$P$3:$P$82)</f>
        <v>#REF!</v>
      </c>
      <c r="D18" s="105" t="e">
        <f t="shared" si="0"/>
        <v>#REF!</v>
      </c>
      <c r="E18" s="106" t="e">
        <f t="shared" si="1"/>
        <v>#REF!</v>
      </c>
      <c r="F18" s="105">
        <f>SUMIF('Pipe Audit'!$J$3:$J$82,$A18,'Pipe Audit'!$L$3:$L$82)</f>
        <v>0</v>
      </c>
      <c r="G18" s="105">
        <f>SUMIF('Pipe Audit'!$J$3:$J$82,A18,'Pipe Audit'!$Q$3:$Q$82)</f>
        <v>0</v>
      </c>
      <c r="H18" s="105">
        <f t="shared" si="2"/>
        <v>0</v>
      </c>
      <c r="I18" s="107" t="e">
        <f t="shared" si="3"/>
        <v>#DIV/0!</v>
      </c>
      <c r="J18" s="105">
        <f t="shared" si="4"/>
        <v>0</v>
      </c>
      <c r="K18" s="105">
        <f>SUMIF('Pipe Audit'!$J$3:$J$82,A18,'Pipe Audit'!$BE$3:$BE$82)</f>
        <v>0</v>
      </c>
      <c r="L18" s="105">
        <f t="shared" si="5"/>
        <v>0</v>
      </c>
      <c r="M18" s="107" t="e">
        <f t="shared" si="6"/>
        <v>#DIV/0!</v>
      </c>
      <c r="N18" s="105">
        <f>SUMIF('Pipe Audit'!$J$3:$J$82,$A18,'Pipe Audit'!$BA$3:$BA$82)</f>
        <v>0</v>
      </c>
      <c r="O18" s="108">
        <f t="array" ref="O18">SUM(IF('Pipe Audit'!$J$3:$J$82=$A18,IF('Pipe Audit'!$S$3:$S$82=1,'Pipe Audit'!$BA$3:$BA$82)))</f>
        <v>0</v>
      </c>
      <c r="P18" s="108">
        <f t="shared" si="7"/>
        <v>0</v>
      </c>
      <c r="Q18" s="109" t="e">
        <f t="shared" si="8"/>
        <v>#DIV/0!</v>
      </c>
      <c r="R18" s="110" t="e">
        <f t="array" ref="R18">SUM(IF('Pipe Audit'!#REF!=$A18,IF('Pipe Audit'!$BA$3:$BA$82=1,'Pipe Audit'!$K$3:$K$82)))</f>
        <v>#REF!</v>
      </c>
      <c r="S18" s="110" t="e">
        <f t="array" ref="S18">SUM(IF('Pipe Audit'!#REF!=$A18,IF('Pipe Audit'!$S$3:$S$82=1,'Pipe Audit'!$K$3:$K$82)))</f>
        <v>#REF!</v>
      </c>
      <c r="T18" s="110" t="e">
        <f t="array" ref="T18">SUM(IF('Pipe Audit'!#REF!=$A18,IF('Pipe Audit'!$AA$3:$AA$82&gt;0,'Pipe Audit'!$BA$3:$BA$82)))</f>
        <v>#REF!</v>
      </c>
      <c r="U18" s="110" t="e">
        <f t="array" ref="U18">SUM(IF('Pipe Audit'!#REF!=$A18,IF('Pipe Audit'!$AA$3:$AA$82&gt;0,'Pipe Audit'!$K$3:$K$82)))</f>
        <v>#REF!</v>
      </c>
      <c r="V18" s="111" t="e">
        <f t="shared" si="9"/>
        <v>#REF!</v>
      </c>
      <c r="W18" s="112" t="e">
        <f t="shared" si="10"/>
        <v>#REF!</v>
      </c>
      <c r="X18" s="80" t="e">
        <f>COUNTIF('[4]CURRENT_ISO SIGN-OFF LOG'!$J$1598:$J$4948,A18)</f>
        <v>#VALUE!</v>
      </c>
      <c r="Y18" s="80" t="e">
        <f t="array" ref="Y18">SUM(IF('[4]CURRENT_ISO SIGN-OFF LOG'!#REF!=$A18,IF('[4]CURRENT_ISO SIGN-OFF LOG'!#REF!="Q",'[4]CURRENT_ISO SIGN-OFF LOG'!#REF!)))</f>
        <v>#REF!</v>
      </c>
      <c r="Z18" s="80" t="e">
        <f t="array" ref="Z18">SUM(IF('[4]CURRENT_ISO SIGN-OFF LOG'!#REF!=$A18,IF('[4]CURRENT_ISO SIGN-OFF LOG'!#REF!="C",'[4]CURRENT_ISO SIGN-OFF LOG'!#REF!)))</f>
        <v>#REF!</v>
      </c>
      <c r="AA18" s="81" t="e">
        <f t="shared" si="11"/>
        <v>#VALUE!</v>
      </c>
      <c r="AB18" s="82" t="e">
        <f t="shared" si="12"/>
        <v>#REF!</v>
      </c>
    </row>
    <row r="19" spans="1:28" ht="20.25" customHeight="1" x14ac:dyDescent="0.35">
      <c r="A19" s="104">
        <v>24</v>
      </c>
      <c r="B19" s="105">
        <f>SUMIF('Pipe Audit'!$J$3:$J$82,$A19,'Pipe Audit'!$K$3:$K$82)</f>
        <v>0</v>
      </c>
      <c r="C19" s="105" t="e">
        <f>SUMIF('Pipe Audit'!#REF!,A19,'Pipe Audit'!$P$3:$P$82)</f>
        <v>#REF!</v>
      </c>
      <c r="D19" s="105" t="e">
        <f t="shared" si="0"/>
        <v>#REF!</v>
      </c>
      <c r="E19" s="106" t="e">
        <f t="shared" si="1"/>
        <v>#REF!</v>
      </c>
      <c r="F19" s="105">
        <f>SUMIF('Pipe Audit'!$J$3:$J$82,$A19,'Pipe Audit'!$L$3:$L$82)</f>
        <v>0</v>
      </c>
      <c r="G19" s="105">
        <f>SUMIF('Pipe Audit'!$J$3:$J$82,A19,'Pipe Audit'!$Q$3:$Q$82)</f>
        <v>0</v>
      </c>
      <c r="H19" s="105">
        <f t="shared" si="2"/>
        <v>0</v>
      </c>
      <c r="I19" s="107" t="e">
        <f t="shared" si="3"/>
        <v>#DIV/0!</v>
      </c>
      <c r="J19" s="105">
        <f t="shared" si="4"/>
        <v>0</v>
      </c>
      <c r="K19" s="105">
        <f>SUMIF('Pipe Audit'!$J$3:$J$82,A19,'Pipe Audit'!$BE$3:$BE$82)</f>
        <v>0</v>
      </c>
      <c r="L19" s="105">
        <f t="shared" si="5"/>
        <v>0</v>
      </c>
      <c r="M19" s="107" t="e">
        <f t="shared" si="6"/>
        <v>#DIV/0!</v>
      </c>
      <c r="N19" s="105">
        <f>SUMIF('Pipe Audit'!$J$3:$J$82,$A19,'Pipe Audit'!$BA$3:$BA$82)</f>
        <v>0</v>
      </c>
      <c r="O19" s="108">
        <f t="array" ref="O19">SUM(IF('Pipe Audit'!$J$3:$J$82=$A19,IF('Pipe Audit'!$S$3:$S$82=1,'Pipe Audit'!$BA$3:$BA$82)))</f>
        <v>0</v>
      </c>
      <c r="P19" s="108">
        <f t="shared" si="7"/>
        <v>0</v>
      </c>
      <c r="Q19" s="109" t="e">
        <f t="shared" si="8"/>
        <v>#DIV/0!</v>
      </c>
      <c r="R19" s="110" t="e">
        <f t="array" ref="R19">SUM(IF('Pipe Audit'!#REF!=$A19,IF('Pipe Audit'!$BA$3:$BA$82=1,'Pipe Audit'!$K$3:$K$82)))</f>
        <v>#REF!</v>
      </c>
      <c r="S19" s="110" t="e">
        <f t="array" ref="S19">SUM(IF('Pipe Audit'!#REF!=$A19,IF('Pipe Audit'!$S$3:$S$82=1,'Pipe Audit'!$K$3:$K$82)))</f>
        <v>#REF!</v>
      </c>
      <c r="T19" s="110" t="e">
        <f t="array" ref="T19">SUM(IF('Pipe Audit'!#REF!=$A19,IF('Pipe Audit'!$AA$3:$AA$82&gt;0,'Pipe Audit'!$BA$3:$BA$82)))</f>
        <v>#REF!</v>
      </c>
      <c r="U19" s="110" t="e">
        <f t="array" ref="U19">SUM(IF('Pipe Audit'!#REF!=$A19,IF('Pipe Audit'!$AA$3:$AA$82&gt;0,'Pipe Audit'!$K$3:$K$82)))</f>
        <v>#REF!</v>
      </c>
      <c r="V19" s="111" t="e">
        <f t="shared" si="9"/>
        <v>#REF!</v>
      </c>
      <c r="W19" s="112" t="e">
        <f t="shared" si="10"/>
        <v>#REF!</v>
      </c>
      <c r="X19" s="80" t="e">
        <f>COUNTIF('[4]CURRENT_ISO SIGN-OFF LOG'!$J$1598:$J$4948,A19)</f>
        <v>#VALUE!</v>
      </c>
      <c r="Y19" s="80" t="e">
        <f t="array" ref="Y19">SUM(IF('[4]CURRENT_ISO SIGN-OFF LOG'!#REF!=$A19,IF('[4]CURRENT_ISO SIGN-OFF LOG'!#REF!="Q",'[4]CURRENT_ISO SIGN-OFF LOG'!#REF!)))</f>
        <v>#REF!</v>
      </c>
      <c r="Z19" s="80" t="e">
        <f t="array" ref="Z19">SUM(IF('[4]CURRENT_ISO SIGN-OFF LOG'!#REF!=$A19,IF('[4]CURRENT_ISO SIGN-OFF LOG'!#REF!="C",'[4]CURRENT_ISO SIGN-OFF LOG'!#REF!)))</f>
        <v>#REF!</v>
      </c>
      <c r="AA19" s="81" t="e">
        <f t="shared" si="11"/>
        <v>#VALUE!</v>
      </c>
      <c r="AB19" s="82" t="e">
        <f t="shared" si="12"/>
        <v>#REF!</v>
      </c>
    </row>
    <row r="20" spans="1:28" ht="20.25" customHeight="1" x14ac:dyDescent="0.35">
      <c r="A20" s="104">
        <v>26</v>
      </c>
      <c r="B20" s="105">
        <f>SUMIF('Pipe Audit'!$J$3:$J$82,$A20,'Pipe Audit'!$K$3:$K$82)</f>
        <v>0</v>
      </c>
      <c r="C20" s="105" t="e">
        <f>SUMIF('Pipe Audit'!#REF!,A20,'Pipe Audit'!$P$3:$P$82)</f>
        <v>#REF!</v>
      </c>
      <c r="D20" s="105" t="e">
        <f t="shared" si="0"/>
        <v>#REF!</v>
      </c>
      <c r="E20" s="106" t="e">
        <f t="shared" si="1"/>
        <v>#REF!</v>
      </c>
      <c r="F20" s="105">
        <f>SUMIF('Pipe Audit'!$J$3:$J$82,$A20,'Pipe Audit'!$L$3:$L$82)</f>
        <v>0</v>
      </c>
      <c r="G20" s="105">
        <f>SUMIF('Pipe Audit'!$J$3:$J$82,A20,'Pipe Audit'!$Q$3:$Q$82)</f>
        <v>0</v>
      </c>
      <c r="H20" s="105">
        <f t="shared" si="2"/>
        <v>0</v>
      </c>
      <c r="I20" s="107" t="e">
        <f t="shared" si="3"/>
        <v>#DIV/0!</v>
      </c>
      <c r="J20" s="105">
        <f t="shared" si="4"/>
        <v>0</v>
      </c>
      <c r="K20" s="105">
        <f>SUMIF('Pipe Audit'!$J$3:$J$82,A20,'Pipe Audit'!$BE$3:$BE$82)</f>
        <v>0</v>
      </c>
      <c r="L20" s="105">
        <f t="shared" si="5"/>
        <v>0</v>
      </c>
      <c r="M20" s="107" t="e">
        <f t="shared" si="6"/>
        <v>#DIV/0!</v>
      </c>
      <c r="N20" s="105">
        <f>SUMIF('Pipe Audit'!$J$3:$J$82,$A20,'Pipe Audit'!$BA$3:$BA$82)</f>
        <v>0</v>
      </c>
      <c r="O20" s="108">
        <f t="array" ref="O20">SUM(IF('Pipe Audit'!$J$3:$J$82=$A20,IF('Pipe Audit'!$S$3:$S$82=1,'Pipe Audit'!$BA$3:$BA$82)))</f>
        <v>0</v>
      </c>
      <c r="P20" s="108">
        <f t="shared" si="7"/>
        <v>0</v>
      </c>
      <c r="Q20" s="109" t="e">
        <f t="shared" si="8"/>
        <v>#DIV/0!</v>
      </c>
      <c r="R20" s="110" t="e">
        <f t="array" ref="R20">SUM(IF('Pipe Audit'!#REF!=$A20,IF('Pipe Audit'!$BA$3:$BA$82=1,'Pipe Audit'!$K$3:$K$82)))</f>
        <v>#REF!</v>
      </c>
      <c r="S20" s="110" t="e">
        <f t="array" ref="S20">SUM(IF('Pipe Audit'!#REF!=$A20,IF('Pipe Audit'!$S$3:$S$82=1,'Pipe Audit'!$K$3:$K$82)))</f>
        <v>#REF!</v>
      </c>
      <c r="T20" s="110" t="e">
        <f t="array" ref="T20">SUM(IF('Pipe Audit'!#REF!=$A20,IF('Pipe Audit'!$AA$3:$AA$82&gt;0,'Pipe Audit'!$BA$3:$BA$82)))</f>
        <v>#REF!</v>
      </c>
      <c r="U20" s="110" t="e">
        <f t="array" ref="U20">SUM(IF('Pipe Audit'!#REF!=$A20,IF('Pipe Audit'!$AA$3:$AA$82&gt;0,'Pipe Audit'!$K$3:$K$82)))</f>
        <v>#REF!</v>
      </c>
      <c r="V20" s="111" t="e">
        <f t="shared" si="9"/>
        <v>#REF!</v>
      </c>
      <c r="W20" s="112" t="e">
        <f t="shared" si="10"/>
        <v>#REF!</v>
      </c>
      <c r="X20" s="80" t="e">
        <f>COUNTIF('[4]CURRENT_ISO SIGN-OFF LOG'!$J$1598:$J$4948,A20)</f>
        <v>#VALUE!</v>
      </c>
      <c r="Y20" s="80" t="e">
        <f t="array" ref="Y20">SUM(IF('[4]CURRENT_ISO SIGN-OFF LOG'!#REF!=$A20,IF('[4]CURRENT_ISO SIGN-OFF LOG'!#REF!="Q",'[4]CURRENT_ISO SIGN-OFF LOG'!#REF!)))</f>
        <v>#REF!</v>
      </c>
      <c r="Z20" s="80" t="e">
        <f t="array" ref="Z20">SUM(IF('[4]CURRENT_ISO SIGN-OFF LOG'!#REF!=$A20,IF('[4]CURRENT_ISO SIGN-OFF LOG'!#REF!="C",'[4]CURRENT_ISO SIGN-OFF LOG'!#REF!)))</f>
        <v>#REF!</v>
      </c>
      <c r="AA20" s="81" t="e">
        <f t="shared" si="11"/>
        <v>#VALUE!</v>
      </c>
      <c r="AB20" s="82" t="e">
        <f t="shared" si="12"/>
        <v>#REF!</v>
      </c>
    </row>
    <row r="21" spans="1:28" ht="20.25" customHeight="1" x14ac:dyDescent="0.35">
      <c r="A21" s="104">
        <v>30</v>
      </c>
      <c r="B21" s="105">
        <f>SUMIF('Pipe Audit'!$J$3:$J$82,$A21,'Pipe Audit'!$K$3:$K$82)</f>
        <v>0</v>
      </c>
      <c r="C21" s="105" t="e">
        <f>SUMIF('Pipe Audit'!#REF!,A21,'Pipe Audit'!$P$3:$P$82)</f>
        <v>#REF!</v>
      </c>
      <c r="D21" s="105" t="e">
        <f t="shared" si="0"/>
        <v>#REF!</v>
      </c>
      <c r="E21" s="106" t="e">
        <f t="shared" si="1"/>
        <v>#REF!</v>
      </c>
      <c r="F21" s="105">
        <f>SUMIF('Pipe Audit'!$J$3:$J$82,$A21,'Pipe Audit'!$L$3:$L$82)</f>
        <v>0</v>
      </c>
      <c r="G21" s="105">
        <f>SUMIF('Pipe Audit'!$J$3:$J$82,A21,'Pipe Audit'!$Q$3:$Q$82)</f>
        <v>0</v>
      </c>
      <c r="H21" s="105">
        <f t="shared" si="2"/>
        <v>0</v>
      </c>
      <c r="I21" s="107" t="e">
        <f t="shared" si="3"/>
        <v>#DIV/0!</v>
      </c>
      <c r="J21" s="105">
        <f t="shared" si="4"/>
        <v>0</v>
      </c>
      <c r="K21" s="105">
        <f>SUMIF('Pipe Audit'!$J$3:$J$82,A21,'Pipe Audit'!$BE$3:$BE$82)</f>
        <v>0</v>
      </c>
      <c r="L21" s="105">
        <f t="shared" si="5"/>
        <v>0</v>
      </c>
      <c r="M21" s="107" t="e">
        <f t="shared" si="6"/>
        <v>#DIV/0!</v>
      </c>
      <c r="N21" s="105">
        <f>SUMIF('Pipe Audit'!$J$3:$J$82,$A21,'Pipe Audit'!$BA$3:$BA$82)</f>
        <v>0</v>
      </c>
      <c r="O21" s="108">
        <f t="array" ref="O21">SUM(IF('Pipe Audit'!$J$3:$J$82=$A21,IF('Pipe Audit'!$S$3:$S$82=1,'Pipe Audit'!$BA$3:$BA$82)))</f>
        <v>0</v>
      </c>
      <c r="P21" s="108">
        <f t="shared" si="7"/>
        <v>0</v>
      </c>
      <c r="Q21" s="109" t="e">
        <f t="shared" si="8"/>
        <v>#DIV/0!</v>
      </c>
      <c r="R21" s="110" t="e">
        <f t="array" ref="R21">SUM(IF('Pipe Audit'!#REF!=$A21,IF('Pipe Audit'!$BA$3:$BA$82=1,'Pipe Audit'!$K$3:$K$82)))</f>
        <v>#REF!</v>
      </c>
      <c r="S21" s="110" t="e">
        <f t="array" ref="S21">SUM(IF('Pipe Audit'!#REF!=$A21,IF('Pipe Audit'!$S$3:$S$82=1,'Pipe Audit'!$K$3:$K$82)))</f>
        <v>#REF!</v>
      </c>
      <c r="T21" s="110" t="e">
        <f t="array" ref="T21">SUM(IF('Pipe Audit'!#REF!=$A21,IF('Pipe Audit'!$AA$3:$AA$82&gt;0,'Pipe Audit'!$BA$3:$BA$82)))</f>
        <v>#REF!</v>
      </c>
      <c r="U21" s="110" t="e">
        <f t="array" ref="U21">SUM(IF('Pipe Audit'!#REF!=$A21,IF('Pipe Audit'!$AA$3:$AA$82&gt;0,'Pipe Audit'!$K$3:$K$82)))</f>
        <v>#REF!</v>
      </c>
      <c r="V21" s="111" t="e">
        <f t="shared" si="9"/>
        <v>#REF!</v>
      </c>
      <c r="W21" s="112" t="e">
        <f t="shared" si="10"/>
        <v>#REF!</v>
      </c>
      <c r="X21" s="80" t="e">
        <f>COUNTIF('[4]CURRENT_ISO SIGN-OFF LOG'!$J$1598:$J$4948,A21)</f>
        <v>#VALUE!</v>
      </c>
      <c r="Y21" s="80" t="e">
        <f t="array" ref="Y21">SUM(IF('[4]CURRENT_ISO SIGN-OFF LOG'!#REF!=$A21,IF('[4]CURRENT_ISO SIGN-OFF LOG'!#REF!="Q",'[4]CURRENT_ISO SIGN-OFF LOG'!#REF!)))</f>
        <v>#REF!</v>
      </c>
      <c r="Z21" s="80" t="e">
        <f t="array" ref="Z21">SUM(IF('[4]CURRENT_ISO SIGN-OFF LOG'!#REF!=$A21,IF('[4]CURRENT_ISO SIGN-OFF LOG'!#REF!="C",'[4]CURRENT_ISO SIGN-OFF LOG'!#REF!)))</f>
        <v>#REF!</v>
      </c>
      <c r="AA21" s="81" t="e">
        <f t="shared" si="11"/>
        <v>#VALUE!</v>
      </c>
      <c r="AB21" s="82" t="e">
        <f t="shared" si="12"/>
        <v>#REF!</v>
      </c>
    </row>
    <row r="22" spans="1:28" ht="20.25" customHeight="1" x14ac:dyDescent="0.35">
      <c r="A22" s="104">
        <v>36</v>
      </c>
      <c r="B22" s="105">
        <f>SUMIF('Pipe Audit'!$J$3:$J$82,$A22,'Pipe Audit'!$K$3:$K$82)</f>
        <v>0</v>
      </c>
      <c r="C22" s="105" t="e">
        <f>SUMIF('Pipe Audit'!#REF!,A22,'Pipe Audit'!$P$3:$P$82)</f>
        <v>#REF!</v>
      </c>
      <c r="D22" s="105" t="e">
        <f t="shared" si="0"/>
        <v>#REF!</v>
      </c>
      <c r="E22" s="106" t="e">
        <f t="shared" si="1"/>
        <v>#REF!</v>
      </c>
      <c r="F22" s="105">
        <f>SUMIF('Pipe Audit'!$J$3:$J$82,$A22,'Pipe Audit'!$L$3:$L$82)</f>
        <v>0</v>
      </c>
      <c r="G22" s="105">
        <f>SUMIF('Pipe Audit'!$J$3:$J$82,A22,'Pipe Audit'!$Q$3:$Q$82)</f>
        <v>0</v>
      </c>
      <c r="H22" s="105">
        <f t="shared" si="2"/>
        <v>0</v>
      </c>
      <c r="I22" s="107" t="e">
        <f t="shared" si="3"/>
        <v>#DIV/0!</v>
      </c>
      <c r="J22" s="105">
        <f t="shared" si="4"/>
        <v>0</v>
      </c>
      <c r="K22" s="105">
        <f>SUMIF('Pipe Audit'!$J$3:$J$82,A22,'Pipe Audit'!$BE$3:$BE$82)</f>
        <v>0</v>
      </c>
      <c r="L22" s="105">
        <f t="shared" si="5"/>
        <v>0</v>
      </c>
      <c r="M22" s="107" t="e">
        <f t="shared" si="6"/>
        <v>#DIV/0!</v>
      </c>
      <c r="N22" s="105">
        <f>SUMIF('Pipe Audit'!$J$3:$J$82,$A22,'Pipe Audit'!$BA$3:$BA$82)</f>
        <v>0</v>
      </c>
      <c r="O22" s="108">
        <f t="array" ref="O22">SUM(IF('Pipe Audit'!$J$3:$J$82=$A22,IF('Pipe Audit'!$S$3:$S$82=1,'Pipe Audit'!$BA$3:$BA$82)))</f>
        <v>0</v>
      </c>
      <c r="P22" s="108">
        <f t="shared" si="7"/>
        <v>0</v>
      </c>
      <c r="Q22" s="109" t="e">
        <f t="shared" si="8"/>
        <v>#DIV/0!</v>
      </c>
      <c r="R22" s="110" t="e">
        <f t="array" ref="R22">SUM(IF('Pipe Audit'!#REF!=$A22,IF('Pipe Audit'!$BA$3:$BA$82=1,'Pipe Audit'!$K$3:$K$82)))</f>
        <v>#REF!</v>
      </c>
      <c r="S22" s="110" t="e">
        <f t="array" ref="S22">SUM(IF('Pipe Audit'!#REF!=$A22,IF('Pipe Audit'!$S$3:$S$82=1,'Pipe Audit'!$K$3:$K$82)))</f>
        <v>#REF!</v>
      </c>
      <c r="T22" s="110" t="e">
        <f t="array" ref="T22">SUM(IF('Pipe Audit'!#REF!=$A22,IF('Pipe Audit'!$AA$3:$AA$82&gt;0,'Pipe Audit'!$BA$3:$BA$82)))</f>
        <v>#REF!</v>
      </c>
      <c r="U22" s="110" t="e">
        <f t="array" ref="U22">SUM(IF('Pipe Audit'!#REF!=$A22,IF('Pipe Audit'!$AA$3:$AA$82&gt;0,'Pipe Audit'!$K$3:$K$82)))</f>
        <v>#REF!</v>
      </c>
      <c r="V22" s="111" t="e">
        <f t="shared" si="9"/>
        <v>#REF!</v>
      </c>
      <c r="W22" s="112" t="e">
        <f t="shared" si="10"/>
        <v>#REF!</v>
      </c>
      <c r="X22" s="80" t="e">
        <f>COUNTIF('[4]CURRENT_ISO SIGN-OFF LOG'!$J$1598:$J$4948,A22)</f>
        <v>#VALUE!</v>
      </c>
      <c r="Y22" s="80" t="e">
        <f t="array" ref="Y22">SUM(IF('[4]CURRENT_ISO SIGN-OFF LOG'!#REF!=$A22,IF('[4]CURRENT_ISO SIGN-OFF LOG'!#REF!="Q",'[4]CURRENT_ISO SIGN-OFF LOG'!#REF!)))</f>
        <v>#REF!</v>
      </c>
      <c r="Z22" s="80" t="e">
        <f t="array" ref="Z22">SUM(IF('[4]CURRENT_ISO SIGN-OFF LOG'!#REF!=$A22,IF('[4]CURRENT_ISO SIGN-OFF LOG'!#REF!="C",'[4]CURRENT_ISO SIGN-OFF LOG'!#REF!)))</f>
        <v>#REF!</v>
      </c>
      <c r="AA22" s="81" t="e">
        <f t="shared" si="11"/>
        <v>#VALUE!</v>
      </c>
      <c r="AB22" s="82" t="e">
        <f t="shared" si="12"/>
        <v>#REF!</v>
      </c>
    </row>
    <row r="23" spans="1:28" ht="20.25" customHeight="1" x14ac:dyDescent="0.35">
      <c r="A23" s="104">
        <v>42</v>
      </c>
      <c r="B23" s="105">
        <f>SUMIF('Pipe Audit'!$J$3:$J$82,$A23,'Pipe Audit'!$K$3:$K$82)</f>
        <v>0</v>
      </c>
      <c r="C23" s="105" t="e">
        <f>SUMIF('Pipe Audit'!#REF!,A23,'Pipe Audit'!$P$3:$P$82)</f>
        <v>#REF!</v>
      </c>
      <c r="D23" s="105" t="e">
        <f t="shared" si="0"/>
        <v>#REF!</v>
      </c>
      <c r="E23" s="106" t="e">
        <f t="shared" si="1"/>
        <v>#REF!</v>
      </c>
      <c r="F23" s="105">
        <f>SUMIF('Pipe Audit'!$J$3:$J$82,$A23,'Pipe Audit'!$L$3:$L$82)</f>
        <v>0</v>
      </c>
      <c r="G23" s="105">
        <f>SUMIF('Pipe Audit'!$J$3:$J$82,A23,'Pipe Audit'!$Q$3:$Q$82)</f>
        <v>0</v>
      </c>
      <c r="H23" s="105">
        <f t="shared" si="2"/>
        <v>0</v>
      </c>
      <c r="I23" s="107" t="e">
        <f t="shared" si="3"/>
        <v>#DIV/0!</v>
      </c>
      <c r="J23" s="105">
        <f t="shared" si="4"/>
        <v>0</v>
      </c>
      <c r="K23" s="105">
        <f>SUMIF('Pipe Audit'!$J$3:$J$82,A23,'Pipe Audit'!$BE$3:$BE$82)</f>
        <v>0</v>
      </c>
      <c r="L23" s="105">
        <f t="shared" si="5"/>
        <v>0</v>
      </c>
      <c r="M23" s="107" t="e">
        <f t="shared" si="6"/>
        <v>#DIV/0!</v>
      </c>
      <c r="N23" s="105">
        <f>SUMIF('Pipe Audit'!$J$3:$J$82,$A23,'Pipe Audit'!$BA$3:$BA$82)</f>
        <v>0</v>
      </c>
      <c r="O23" s="108">
        <f t="array" ref="O23">SUM(IF('Pipe Audit'!$J$3:$J$82=$A23,IF('Pipe Audit'!$S$3:$S$82=1,'Pipe Audit'!$BA$3:$BA$82)))</f>
        <v>0</v>
      </c>
      <c r="P23" s="108">
        <f t="shared" si="7"/>
        <v>0</v>
      </c>
      <c r="Q23" s="109" t="e">
        <f t="shared" si="8"/>
        <v>#DIV/0!</v>
      </c>
      <c r="R23" s="110" t="e">
        <f t="array" ref="R23">SUM(IF('Pipe Audit'!#REF!=$A23,IF('Pipe Audit'!$BA$3:$BA$82=1,'Pipe Audit'!$K$3:$K$82)))</f>
        <v>#REF!</v>
      </c>
      <c r="S23" s="110" t="e">
        <f t="array" ref="S23">SUM(IF('Pipe Audit'!#REF!=$A23,IF('Pipe Audit'!$S$3:$S$82=1,'Pipe Audit'!$K$3:$K$82)))</f>
        <v>#REF!</v>
      </c>
      <c r="T23" s="110" t="e">
        <f t="array" ref="T23">SUM(IF('Pipe Audit'!#REF!=$A23,IF('Pipe Audit'!$AA$3:$AA$82&gt;0,'Pipe Audit'!$BA$3:$BA$82)))</f>
        <v>#REF!</v>
      </c>
      <c r="U23" s="110" t="e">
        <f t="array" ref="U23">SUM(IF('Pipe Audit'!#REF!=$A23,IF('Pipe Audit'!$AA$3:$AA$82&gt;0,'Pipe Audit'!$K$3:$K$82)))</f>
        <v>#REF!</v>
      </c>
      <c r="V23" s="111" t="e">
        <f t="shared" si="9"/>
        <v>#REF!</v>
      </c>
      <c r="W23" s="112" t="e">
        <f t="shared" si="10"/>
        <v>#REF!</v>
      </c>
      <c r="X23" s="80" t="e">
        <f>COUNTIF('[4]CURRENT_ISO SIGN-OFF LOG'!$J$1598:$J$4948,A23)</f>
        <v>#VALUE!</v>
      </c>
      <c r="Y23" s="80" t="e">
        <f t="array" ref="Y23">SUM(IF('[4]CURRENT_ISO SIGN-OFF LOG'!#REF!=$A23,IF('[4]CURRENT_ISO SIGN-OFF LOG'!#REF!="Q",'[4]CURRENT_ISO SIGN-OFF LOG'!#REF!)))</f>
        <v>#REF!</v>
      </c>
      <c r="Z23" s="80" t="e">
        <f t="array" ref="Z23">SUM(IF('[4]CURRENT_ISO SIGN-OFF LOG'!#REF!=$A23,IF('[4]CURRENT_ISO SIGN-OFF LOG'!#REF!="C",'[4]CURRENT_ISO SIGN-OFF LOG'!#REF!)))</f>
        <v>#REF!</v>
      </c>
      <c r="AA23" s="81" t="e">
        <f t="shared" si="11"/>
        <v>#VALUE!</v>
      </c>
      <c r="AB23" s="82" t="e">
        <f t="shared" si="12"/>
        <v>#REF!</v>
      </c>
    </row>
    <row r="24" spans="1:28" ht="20.25" customHeight="1" x14ac:dyDescent="0.35">
      <c r="A24" s="104">
        <v>48</v>
      </c>
      <c r="B24" s="105">
        <f>SUMIF('Pipe Audit'!$J$3:$J$82,$A24,'Pipe Audit'!$K$3:$K$82)</f>
        <v>0</v>
      </c>
      <c r="C24" s="105" t="e">
        <f>SUMIF('Pipe Audit'!#REF!,A24,'Pipe Audit'!$P$3:$P$82)</f>
        <v>#REF!</v>
      </c>
      <c r="D24" s="105" t="e">
        <f t="shared" si="0"/>
        <v>#REF!</v>
      </c>
      <c r="E24" s="106" t="e">
        <f t="shared" si="1"/>
        <v>#REF!</v>
      </c>
      <c r="F24" s="105">
        <f>SUMIF('Pipe Audit'!$J$3:$J$82,$A24,'Pipe Audit'!$L$3:$L$82)</f>
        <v>0</v>
      </c>
      <c r="G24" s="105">
        <f>SUMIF('Pipe Audit'!$J$3:$J$82,A24,'Pipe Audit'!$Q$3:$Q$82)</f>
        <v>0</v>
      </c>
      <c r="H24" s="105">
        <f t="shared" si="2"/>
        <v>0</v>
      </c>
      <c r="I24" s="107" t="e">
        <f t="shared" si="3"/>
        <v>#DIV/0!</v>
      </c>
      <c r="J24" s="105">
        <f t="shared" si="4"/>
        <v>0</v>
      </c>
      <c r="K24" s="105">
        <f>SUMIF('Pipe Audit'!$J$3:$J$82,A24,'Pipe Audit'!$BE$3:$BE$82)</f>
        <v>0</v>
      </c>
      <c r="L24" s="105">
        <f t="shared" si="5"/>
        <v>0</v>
      </c>
      <c r="M24" s="107" t="e">
        <f t="shared" si="6"/>
        <v>#DIV/0!</v>
      </c>
      <c r="N24" s="105">
        <f>SUMIF('Pipe Audit'!$J$3:$J$82,$A24,'Pipe Audit'!$BA$3:$BA$82)</f>
        <v>0</v>
      </c>
      <c r="O24" s="108">
        <f t="array" ref="O24">SUM(IF('Pipe Audit'!$J$3:$J$82=$A24,IF('Pipe Audit'!$S$3:$S$82=1,'Pipe Audit'!$BA$3:$BA$82)))</f>
        <v>0</v>
      </c>
      <c r="P24" s="108">
        <f t="shared" si="7"/>
        <v>0</v>
      </c>
      <c r="Q24" s="109" t="e">
        <f t="shared" si="8"/>
        <v>#DIV/0!</v>
      </c>
      <c r="R24" s="110" t="e">
        <f t="array" ref="R24">SUM(IF('Pipe Audit'!#REF!=$A24,IF('Pipe Audit'!$BA$3:$BA$82=1,'Pipe Audit'!$K$3:$K$82)))</f>
        <v>#REF!</v>
      </c>
      <c r="S24" s="110" t="e">
        <f t="array" ref="S24">SUM(IF('Pipe Audit'!#REF!=$A24,IF('Pipe Audit'!$S$3:$S$82=1,'Pipe Audit'!$K$3:$K$82)))</f>
        <v>#REF!</v>
      </c>
      <c r="T24" s="110" t="e">
        <f t="array" ref="T24">SUM(IF('Pipe Audit'!#REF!=$A24,IF('Pipe Audit'!$AA$3:$AA$82&gt;0,'Pipe Audit'!$BA$3:$BA$82)))</f>
        <v>#REF!</v>
      </c>
      <c r="U24" s="110" t="e">
        <f t="array" ref="U24">SUM(IF('Pipe Audit'!#REF!=$A24,IF('Pipe Audit'!$AA$3:$AA$82&gt;0,'Pipe Audit'!$K$3:$K$82)))</f>
        <v>#REF!</v>
      </c>
      <c r="V24" s="111" t="e">
        <f t="shared" si="9"/>
        <v>#REF!</v>
      </c>
      <c r="W24" s="112" t="e">
        <f t="shared" si="10"/>
        <v>#REF!</v>
      </c>
      <c r="X24" s="80" t="e">
        <f>COUNTIF('[4]CURRENT_ISO SIGN-OFF LOG'!$J$1598:$J$4948,A24)</f>
        <v>#VALUE!</v>
      </c>
      <c r="Y24" s="80" t="e">
        <f t="array" ref="Y24">SUM(IF('[4]CURRENT_ISO SIGN-OFF LOG'!#REF!=$A24,IF('[4]CURRENT_ISO SIGN-OFF LOG'!#REF!="Q",'[4]CURRENT_ISO SIGN-OFF LOG'!#REF!)))</f>
        <v>#REF!</v>
      </c>
      <c r="Z24" s="80" t="e">
        <f t="array" ref="Z24">SUM(IF('[4]CURRENT_ISO SIGN-OFF LOG'!#REF!=$A24,IF('[4]CURRENT_ISO SIGN-OFF LOG'!#REF!="C",'[4]CURRENT_ISO SIGN-OFF LOG'!#REF!)))</f>
        <v>#REF!</v>
      </c>
      <c r="AA24" s="81" t="e">
        <f t="shared" si="11"/>
        <v>#VALUE!</v>
      </c>
      <c r="AB24" s="82" t="e">
        <f t="shared" si="12"/>
        <v>#REF!</v>
      </c>
    </row>
    <row r="25" spans="1:28" ht="20.25" customHeight="1" x14ac:dyDescent="0.35">
      <c r="A25" s="113"/>
      <c r="B25" s="105">
        <f>SUMIF('Pipe Audit'!$J$3:$J$82,$A25,'Pipe Audit'!$K$3:$K$82)</f>
        <v>0</v>
      </c>
      <c r="C25" s="105" t="e">
        <f>SUMIF('Pipe Audit'!#REF!,A25,'Pipe Audit'!$P$3:$P$82)</f>
        <v>#REF!</v>
      </c>
      <c r="D25" s="105" t="e">
        <f t="shared" si="0"/>
        <v>#REF!</v>
      </c>
      <c r="E25" s="106" t="e">
        <f t="shared" si="1"/>
        <v>#REF!</v>
      </c>
      <c r="F25" s="105">
        <f>SUMIF('Pipe Audit'!$J$3:$J$82,$A25,'Pipe Audit'!$L$3:$L$82)</f>
        <v>0</v>
      </c>
      <c r="G25" s="105">
        <f>SUMIF('Pipe Audit'!$J$3:$J$82,A25,'Pipe Audit'!$Q$3:$Q$82)</f>
        <v>0</v>
      </c>
      <c r="H25" s="105">
        <f t="shared" si="2"/>
        <v>0</v>
      </c>
      <c r="I25" s="107" t="e">
        <f t="shared" si="3"/>
        <v>#DIV/0!</v>
      </c>
      <c r="J25" s="105">
        <f t="shared" si="4"/>
        <v>0</v>
      </c>
      <c r="K25" s="105">
        <f>SUMIF('Pipe Audit'!$J$3:$J$82,A25,'Pipe Audit'!$BE$3:$BE$82)</f>
        <v>0</v>
      </c>
      <c r="L25" s="105">
        <f t="shared" si="5"/>
        <v>0</v>
      </c>
      <c r="M25" s="107" t="e">
        <f t="shared" si="6"/>
        <v>#DIV/0!</v>
      </c>
      <c r="N25" s="105">
        <f>SUMIF('Pipe Audit'!$J$3:$J$82,$A25,'Pipe Audit'!$BA$3:$BA$82)</f>
        <v>0</v>
      </c>
      <c r="O25" s="108">
        <f t="array" ref="O25">SUM(IF('Pipe Audit'!$J$3:$J$82=$A25,IF('Pipe Audit'!$S$3:$S$82=1,'Pipe Audit'!$BA$3:$BA$82)))</f>
        <v>0</v>
      </c>
      <c r="P25" s="108">
        <f t="shared" si="7"/>
        <v>0</v>
      </c>
      <c r="Q25" s="109" t="e">
        <f t="shared" si="8"/>
        <v>#DIV/0!</v>
      </c>
      <c r="R25" s="110" t="e">
        <f t="array" ref="R25">SUM(IF('Pipe Audit'!#REF!=$A25,IF('Pipe Audit'!$BA$3:$BA$82=1,'Pipe Audit'!$K$3:$K$82)))</f>
        <v>#REF!</v>
      </c>
      <c r="S25" s="110" t="e">
        <f t="array" ref="S25">SUM(IF('Pipe Audit'!#REF!=$A25,IF('Pipe Audit'!$S$3:$S$82=1,'Pipe Audit'!$K$3:$K$82)))</f>
        <v>#REF!</v>
      </c>
      <c r="T25" s="110" t="e">
        <f t="array" ref="T25">SUM(IF('Pipe Audit'!#REF!=$A25,IF('Pipe Audit'!$AA$3:$AA$82&gt;0,'Pipe Audit'!$BA$3:$BA$82)))</f>
        <v>#REF!</v>
      </c>
      <c r="U25" s="110" t="e">
        <f t="array" ref="U25">SUM(IF('Pipe Audit'!#REF!=$A25,IF('Pipe Audit'!$AA$3:$AA$82&gt;0,'Pipe Audit'!$K$3:$K$82)))</f>
        <v>#REF!</v>
      </c>
      <c r="V25" s="111" t="e">
        <f t="shared" si="9"/>
        <v>#REF!</v>
      </c>
      <c r="W25" s="112" t="e">
        <f t="shared" si="10"/>
        <v>#REF!</v>
      </c>
      <c r="X25" s="80" t="e">
        <f>COUNTIF('[4]CURRENT_ISO SIGN-OFF LOG'!$J$1598:$J$4948,A25)</f>
        <v>#VALUE!</v>
      </c>
      <c r="Y25" s="80" t="e">
        <f t="array" ref="Y25">SUM(IF('[4]CURRENT_ISO SIGN-OFF LOG'!#REF!=$A25,IF('[4]CURRENT_ISO SIGN-OFF LOG'!#REF!="Q",'[4]CURRENT_ISO SIGN-OFF LOG'!#REF!)))</f>
        <v>#REF!</v>
      </c>
      <c r="Z25" s="80" t="e">
        <f t="array" ref="Z25">SUM(IF('[4]CURRENT_ISO SIGN-OFF LOG'!#REF!=$A25,IF('[4]CURRENT_ISO SIGN-OFF LOG'!#REF!="C",'[4]CURRENT_ISO SIGN-OFF LOG'!#REF!)))</f>
        <v>#REF!</v>
      </c>
      <c r="AA25" s="81" t="e">
        <f t="shared" ref="AA25:AA32" si="13">X25-Z25</f>
        <v>#VALUE!</v>
      </c>
      <c r="AB25" s="82" t="e">
        <f t="shared" ref="AB25:AB32" si="14">Z25/AA25</f>
        <v>#REF!</v>
      </c>
    </row>
    <row r="26" spans="1:28" ht="20.25" customHeight="1" x14ac:dyDescent="0.35">
      <c r="A26" s="114"/>
      <c r="B26" s="105">
        <f>SUMIF('Pipe Audit'!$J$3:$J$82,$A26,'Pipe Audit'!$K$3:$K$82)</f>
        <v>0</v>
      </c>
      <c r="C26" s="105" t="e">
        <f>SUMIF('Pipe Audit'!#REF!,A26,'Pipe Audit'!$P$3:$P$82)</f>
        <v>#REF!</v>
      </c>
      <c r="D26" s="105" t="e">
        <f t="shared" si="0"/>
        <v>#REF!</v>
      </c>
      <c r="E26" s="106" t="e">
        <f t="shared" si="1"/>
        <v>#REF!</v>
      </c>
      <c r="F26" s="105">
        <f>SUMIF('Pipe Audit'!$J$3:$J$82,$A26,'Pipe Audit'!$L$3:$L$82)</f>
        <v>0</v>
      </c>
      <c r="G26" s="105">
        <f>SUMIF('Pipe Audit'!$J$3:$J$82,A26,'Pipe Audit'!$Q$3:$Q$82)</f>
        <v>0</v>
      </c>
      <c r="H26" s="105">
        <f t="shared" si="2"/>
        <v>0</v>
      </c>
      <c r="I26" s="107" t="e">
        <f t="shared" si="3"/>
        <v>#DIV/0!</v>
      </c>
      <c r="J26" s="105">
        <f t="shared" si="4"/>
        <v>0</v>
      </c>
      <c r="K26" s="105">
        <f>SUMIF('Pipe Audit'!$J$3:$J$82,A26,'Pipe Audit'!$BE$3:$BE$82)</f>
        <v>0</v>
      </c>
      <c r="L26" s="105">
        <f t="shared" si="5"/>
        <v>0</v>
      </c>
      <c r="M26" s="107" t="e">
        <f t="shared" si="6"/>
        <v>#DIV/0!</v>
      </c>
      <c r="N26" s="105">
        <f>SUMIF('Pipe Audit'!$J$3:$J$82,$A26,'Pipe Audit'!$BA$3:$BA$82)</f>
        <v>0</v>
      </c>
      <c r="O26" s="108">
        <f t="array" ref="O26">SUM(IF('Pipe Audit'!$J$3:$J$82=$A26,IF('Pipe Audit'!$S$3:$S$82=1,'Pipe Audit'!$BA$3:$BA$82)))</f>
        <v>0</v>
      </c>
      <c r="P26" s="108">
        <f t="shared" si="7"/>
        <v>0</v>
      </c>
      <c r="Q26" s="109" t="e">
        <f t="shared" si="8"/>
        <v>#DIV/0!</v>
      </c>
      <c r="R26" s="110" t="e">
        <f t="array" ref="R26">SUM(IF('Pipe Audit'!#REF!=$A26,IF('Pipe Audit'!$BA$3:$BA$82=1,'Pipe Audit'!$K$3:$K$82)))</f>
        <v>#REF!</v>
      </c>
      <c r="S26" s="110" t="e">
        <f t="array" ref="S26">SUM(IF('Pipe Audit'!#REF!=$A26,IF('Pipe Audit'!$S$3:$S$82=1,'Pipe Audit'!$K$3:$K$82)))</f>
        <v>#REF!</v>
      </c>
      <c r="T26" s="110" t="e">
        <f t="array" ref="T26">SUM(IF('Pipe Audit'!#REF!=$A26,IF('Pipe Audit'!$AA$3:$AA$82&gt;0,'Pipe Audit'!$BA$3:$BA$82)))</f>
        <v>#REF!</v>
      </c>
      <c r="U26" s="110" t="e">
        <f t="array" ref="U26">SUM(IF('Pipe Audit'!#REF!=$A26,IF('Pipe Audit'!$AA$3:$AA$82&gt;0,'Pipe Audit'!$K$3:$K$82)))</f>
        <v>#REF!</v>
      </c>
      <c r="V26" s="111" t="e">
        <f t="shared" si="9"/>
        <v>#REF!</v>
      </c>
      <c r="W26" s="112" t="e">
        <f t="shared" si="10"/>
        <v>#REF!</v>
      </c>
      <c r="X26" s="80" t="e">
        <f>COUNTIF('[4]CURRENT_ISO SIGN-OFF LOG'!$J$1598:$J$4948,A26)</f>
        <v>#VALUE!</v>
      </c>
      <c r="Y26" s="80" t="e">
        <f t="array" ref="Y26">SUM(IF('[4]CURRENT_ISO SIGN-OFF LOG'!#REF!=$A26,IF('[4]CURRENT_ISO SIGN-OFF LOG'!#REF!="Q",'[4]CURRENT_ISO SIGN-OFF LOG'!#REF!)))</f>
        <v>#REF!</v>
      </c>
      <c r="Z26" s="80" t="e">
        <f t="array" ref="Z26">SUM(IF('[4]CURRENT_ISO SIGN-OFF LOG'!#REF!=$A26,IF('[4]CURRENT_ISO SIGN-OFF LOG'!#REF!="C",'[4]CURRENT_ISO SIGN-OFF LOG'!#REF!)))</f>
        <v>#REF!</v>
      </c>
      <c r="AA26" s="81" t="e">
        <f t="shared" si="13"/>
        <v>#VALUE!</v>
      </c>
      <c r="AB26" s="82" t="e">
        <f t="shared" si="14"/>
        <v>#REF!</v>
      </c>
    </row>
    <row r="27" spans="1:28" ht="20.25" customHeight="1" x14ac:dyDescent="0.35">
      <c r="A27" s="114"/>
      <c r="B27" s="105">
        <f>SUMIF('Pipe Audit'!$J$3:$J$82,$A27,'Pipe Audit'!$K$3:$K$82)</f>
        <v>0</v>
      </c>
      <c r="C27" s="105" t="e">
        <f>SUMIF('Pipe Audit'!#REF!,A27,'Pipe Audit'!$P$3:$P$82)</f>
        <v>#REF!</v>
      </c>
      <c r="D27" s="105" t="e">
        <f t="shared" si="0"/>
        <v>#REF!</v>
      </c>
      <c r="E27" s="106" t="e">
        <f t="shared" si="1"/>
        <v>#REF!</v>
      </c>
      <c r="F27" s="105">
        <f>SUMIF('Pipe Audit'!$J$3:$J$82,$A27,'Pipe Audit'!$L$3:$L$82)</f>
        <v>0</v>
      </c>
      <c r="G27" s="105">
        <f>SUMIF('Pipe Audit'!$J$3:$J$82,A27,'Pipe Audit'!$Q$3:$Q$82)</f>
        <v>0</v>
      </c>
      <c r="H27" s="105">
        <f t="shared" si="2"/>
        <v>0</v>
      </c>
      <c r="I27" s="107" t="e">
        <f t="shared" si="3"/>
        <v>#DIV/0!</v>
      </c>
      <c r="J27" s="105">
        <f t="shared" si="4"/>
        <v>0</v>
      </c>
      <c r="K27" s="105">
        <f>SUMIF('Pipe Audit'!$J$3:$J$82,A27,'Pipe Audit'!$BE$3:$BE$82)</f>
        <v>0</v>
      </c>
      <c r="L27" s="105">
        <f t="shared" si="5"/>
        <v>0</v>
      </c>
      <c r="M27" s="107" t="e">
        <f t="shared" si="6"/>
        <v>#DIV/0!</v>
      </c>
      <c r="N27" s="105">
        <f>SUMIF('Pipe Audit'!$J$3:$J$82,$A27,'Pipe Audit'!$BA$3:$BA$82)</f>
        <v>0</v>
      </c>
      <c r="O27" s="108">
        <f t="array" ref="O27">SUM(IF('Pipe Audit'!$J$3:$J$82=$A27,IF('Pipe Audit'!$S$3:$S$82=1,'Pipe Audit'!$BA$3:$BA$82)))</f>
        <v>0</v>
      </c>
      <c r="P27" s="108">
        <f t="shared" si="7"/>
        <v>0</v>
      </c>
      <c r="Q27" s="109" t="e">
        <f t="shared" si="8"/>
        <v>#DIV/0!</v>
      </c>
      <c r="R27" s="110" t="e">
        <f t="array" ref="R27">SUM(IF('Pipe Audit'!#REF!=$A27,IF('Pipe Audit'!$BA$3:$BA$82=1,'Pipe Audit'!$K$3:$K$82)))</f>
        <v>#REF!</v>
      </c>
      <c r="S27" s="110" t="e">
        <f t="array" ref="S27">SUM(IF('Pipe Audit'!#REF!=$A27,IF('Pipe Audit'!$S$3:$S$82=1,'Pipe Audit'!$K$3:$K$82)))</f>
        <v>#REF!</v>
      </c>
      <c r="T27" s="110" t="e">
        <f t="array" ref="T27">SUM(IF('Pipe Audit'!#REF!=$A27,IF('Pipe Audit'!$AA$3:$AA$82&gt;0,'Pipe Audit'!$BA$3:$BA$82)))</f>
        <v>#REF!</v>
      </c>
      <c r="U27" s="110" t="e">
        <f t="array" ref="U27">SUM(IF('Pipe Audit'!#REF!=$A27,IF('Pipe Audit'!$AA$3:$AA$82&gt;0,'Pipe Audit'!$K$3:$K$82)))</f>
        <v>#REF!</v>
      </c>
      <c r="V27" s="111" t="e">
        <f t="shared" si="9"/>
        <v>#REF!</v>
      </c>
      <c r="W27" s="112" t="e">
        <f t="shared" si="10"/>
        <v>#REF!</v>
      </c>
      <c r="X27" s="80" t="e">
        <f>COUNTIF('[4]CURRENT_ISO SIGN-OFF LOG'!$J$1598:$J$4948,A27)</f>
        <v>#VALUE!</v>
      </c>
      <c r="Y27" s="80" t="e">
        <f t="array" ref="Y27">SUM(IF('[4]CURRENT_ISO SIGN-OFF LOG'!#REF!=$A27,IF('[4]CURRENT_ISO SIGN-OFF LOG'!#REF!="Q",'[4]CURRENT_ISO SIGN-OFF LOG'!#REF!)))</f>
        <v>#REF!</v>
      </c>
      <c r="Z27" s="80" t="e">
        <f t="array" ref="Z27">SUM(IF('[4]CURRENT_ISO SIGN-OFF LOG'!#REF!=$A27,IF('[4]CURRENT_ISO SIGN-OFF LOG'!#REF!="C",'[4]CURRENT_ISO SIGN-OFF LOG'!#REF!)))</f>
        <v>#REF!</v>
      </c>
      <c r="AA27" s="81" t="e">
        <f t="shared" si="13"/>
        <v>#VALUE!</v>
      </c>
      <c r="AB27" s="82" t="e">
        <f t="shared" si="14"/>
        <v>#REF!</v>
      </c>
    </row>
    <row r="28" spans="1:28" ht="20.25" customHeight="1" x14ac:dyDescent="0.35">
      <c r="A28" s="114"/>
      <c r="B28" s="105">
        <f>SUMIF('Pipe Audit'!$J$3:$J$82,$A28,'Pipe Audit'!$K$3:$K$82)</f>
        <v>0</v>
      </c>
      <c r="C28" s="105" t="e">
        <f>SUMIF('Pipe Audit'!#REF!,A28,'Pipe Audit'!$P$3:$P$82)</f>
        <v>#REF!</v>
      </c>
      <c r="D28" s="105" t="e">
        <f t="shared" si="0"/>
        <v>#REF!</v>
      </c>
      <c r="E28" s="106" t="e">
        <f t="shared" si="1"/>
        <v>#REF!</v>
      </c>
      <c r="F28" s="105">
        <f>SUMIF('Pipe Audit'!$J$3:$J$82,$A28,'Pipe Audit'!$L$3:$L$82)</f>
        <v>0</v>
      </c>
      <c r="G28" s="105">
        <f>SUMIF('Pipe Audit'!$J$3:$J$82,A28,'Pipe Audit'!$Q$3:$Q$82)</f>
        <v>0</v>
      </c>
      <c r="H28" s="105">
        <f t="shared" si="2"/>
        <v>0</v>
      </c>
      <c r="I28" s="107" t="e">
        <f t="shared" si="3"/>
        <v>#DIV/0!</v>
      </c>
      <c r="J28" s="105">
        <f t="shared" si="4"/>
        <v>0</v>
      </c>
      <c r="K28" s="105">
        <f>SUMIF('Pipe Audit'!$J$3:$J$82,A28,'Pipe Audit'!$BE$3:$BE$82)</f>
        <v>0</v>
      </c>
      <c r="L28" s="105">
        <f t="shared" si="5"/>
        <v>0</v>
      </c>
      <c r="M28" s="107" t="e">
        <f t="shared" si="6"/>
        <v>#DIV/0!</v>
      </c>
      <c r="N28" s="105">
        <f>SUMIF('Pipe Audit'!$J$3:$J$82,$A28,'Pipe Audit'!$BA$3:$BA$82)</f>
        <v>0</v>
      </c>
      <c r="O28" s="108">
        <f t="array" ref="O28">SUM(IF('Pipe Audit'!$J$3:$J$82=$A28,IF('Pipe Audit'!$S$3:$S$82=1,'Pipe Audit'!$BA$3:$BA$82)))</f>
        <v>0</v>
      </c>
      <c r="P28" s="108">
        <f t="shared" si="7"/>
        <v>0</v>
      </c>
      <c r="Q28" s="109" t="e">
        <f t="shared" si="8"/>
        <v>#DIV/0!</v>
      </c>
      <c r="R28" s="110" t="e">
        <f t="array" ref="R28">SUM(IF('Pipe Audit'!#REF!=$A28,IF('Pipe Audit'!$BA$3:$BA$82=1,'Pipe Audit'!$K$3:$K$82)))</f>
        <v>#REF!</v>
      </c>
      <c r="S28" s="110" t="e">
        <f t="array" ref="S28">SUM(IF('Pipe Audit'!#REF!=$A28,IF('Pipe Audit'!$S$3:$S$82=1,'Pipe Audit'!$K$3:$K$82)))</f>
        <v>#REF!</v>
      </c>
      <c r="T28" s="110" t="e">
        <f t="array" ref="T28">SUM(IF('Pipe Audit'!#REF!=$A28,IF('Pipe Audit'!$AA$3:$AA$82&gt;0,'Pipe Audit'!$BA$3:$BA$82)))</f>
        <v>#REF!</v>
      </c>
      <c r="U28" s="110" t="e">
        <f t="array" ref="U28">SUM(IF('Pipe Audit'!#REF!=$A28,IF('Pipe Audit'!$AA$3:$AA$82&gt;0,'Pipe Audit'!$K$3:$K$82)))</f>
        <v>#REF!</v>
      </c>
      <c r="V28" s="111" t="e">
        <f t="shared" si="9"/>
        <v>#REF!</v>
      </c>
      <c r="W28" s="112" t="e">
        <f t="shared" si="10"/>
        <v>#REF!</v>
      </c>
      <c r="X28" s="80" t="e">
        <f>COUNTIF('[4]CURRENT_ISO SIGN-OFF LOG'!$J$1598:$J$4948,A28)</f>
        <v>#VALUE!</v>
      </c>
      <c r="Y28" s="80" t="e">
        <f t="array" ref="Y28">SUM(IF('[4]CURRENT_ISO SIGN-OFF LOG'!#REF!=$A28,IF('[4]CURRENT_ISO SIGN-OFF LOG'!#REF!="Q",'[4]CURRENT_ISO SIGN-OFF LOG'!#REF!)))</f>
        <v>#REF!</v>
      </c>
      <c r="Z28" s="80" t="e">
        <f t="array" ref="Z28">SUM(IF('[4]CURRENT_ISO SIGN-OFF LOG'!#REF!=$A28,IF('[4]CURRENT_ISO SIGN-OFF LOG'!#REF!="C",'[4]CURRENT_ISO SIGN-OFF LOG'!#REF!)))</f>
        <v>#REF!</v>
      </c>
      <c r="AA28" s="81" t="e">
        <f t="shared" si="13"/>
        <v>#VALUE!</v>
      </c>
      <c r="AB28" s="82" t="e">
        <f t="shared" si="14"/>
        <v>#REF!</v>
      </c>
    </row>
    <row r="29" spans="1:28" ht="20.25" customHeight="1" x14ac:dyDescent="0.35">
      <c r="A29" s="114"/>
      <c r="B29" s="105">
        <f>SUMIF('Pipe Audit'!$J$3:$J$82,$A29,'Pipe Audit'!$K$3:$K$82)</f>
        <v>0</v>
      </c>
      <c r="C29" s="105" t="e">
        <f>SUMIF('Pipe Audit'!#REF!,A29,'Pipe Audit'!$P$3:$P$82)</f>
        <v>#REF!</v>
      </c>
      <c r="D29" s="105" t="e">
        <f t="shared" si="0"/>
        <v>#REF!</v>
      </c>
      <c r="E29" s="106" t="e">
        <f t="shared" si="1"/>
        <v>#REF!</v>
      </c>
      <c r="F29" s="105">
        <f>SUMIF('Pipe Audit'!$J$3:$J$82,$A29,'Pipe Audit'!$L$3:$L$82)</f>
        <v>0</v>
      </c>
      <c r="G29" s="105">
        <f>SUMIF('Pipe Audit'!$J$3:$J$82,A29,'Pipe Audit'!$Q$3:$Q$82)</f>
        <v>0</v>
      </c>
      <c r="H29" s="105">
        <f t="shared" si="2"/>
        <v>0</v>
      </c>
      <c r="I29" s="107" t="e">
        <f t="shared" si="3"/>
        <v>#DIV/0!</v>
      </c>
      <c r="J29" s="105">
        <f t="shared" si="4"/>
        <v>0</v>
      </c>
      <c r="K29" s="105">
        <f>SUMIF('Pipe Audit'!$J$3:$J$82,A29,'Pipe Audit'!$BE$3:$BE$82)</f>
        <v>0</v>
      </c>
      <c r="L29" s="105">
        <f t="shared" si="5"/>
        <v>0</v>
      </c>
      <c r="M29" s="107" t="e">
        <f t="shared" si="6"/>
        <v>#DIV/0!</v>
      </c>
      <c r="N29" s="105">
        <f>SUMIF('Pipe Audit'!$J$3:$J$82,$A29,'Pipe Audit'!$BA$3:$BA$82)</f>
        <v>0</v>
      </c>
      <c r="O29" s="108">
        <f t="array" ref="O29">SUM(IF('Pipe Audit'!$J$3:$J$82=$A29,IF('Pipe Audit'!$S$3:$S$82=1,'Pipe Audit'!$BA$3:$BA$82)))</f>
        <v>0</v>
      </c>
      <c r="P29" s="108">
        <f t="shared" si="7"/>
        <v>0</v>
      </c>
      <c r="Q29" s="109" t="e">
        <f t="shared" si="8"/>
        <v>#DIV/0!</v>
      </c>
      <c r="R29" s="110" t="e">
        <f t="array" ref="R29">SUM(IF('Pipe Audit'!#REF!=$A29,IF('Pipe Audit'!$BA$3:$BA$82=1,'Pipe Audit'!$K$3:$K$82)))</f>
        <v>#REF!</v>
      </c>
      <c r="S29" s="110" t="e">
        <f t="array" ref="S29">SUM(IF('Pipe Audit'!#REF!=$A29,IF('Pipe Audit'!$S$3:$S$82=1,'Pipe Audit'!$K$3:$K$82)))</f>
        <v>#REF!</v>
      </c>
      <c r="T29" s="110" t="e">
        <f t="array" ref="T29">SUM(IF('Pipe Audit'!#REF!=$A29,IF('Pipe Audit'!$AA$3:$AA$82&gt;0,'Pipe Audit'!$BA$3:$BA$82)))</f>
        <v>#REF!</v>
      </c>
      <c r="U29" s="110" t="e">
        <f t="array" ref="U29">SUM(IF('Pipe Audit'!#REF!=$A29,IF('Pipe Audit'!$AA$3:$AA$82&gt;0,'Pipe Audit'!$K$3:$K$82)))</f>
        <v>#REF!</v>
      </c>
      <c r="V29" s="111" t="e">
        <f t="shared" si="9"/>
        <v>#REF!</v>
      </c>
      <c r="W29" s="112" t="e">
        <f t="shared" si="10"/>
        <v>#REF!</v>
      </c>
      <c r="X29" s="80" t="e">
        <f>COUNTIF('[4]CURRENT_ISO SIGN-OFF LOG'!$J$1598:$J$4948,A29)</f>
        <v>#VALUE!</v>
      </c>
      <c r="Y29" s="80" t="e">
        <f t="array" ref="Y29">SUM(IF('[4]CURRENT_ISO SIGN-OFF LOG'!#REF!=$A29,IF('[4]CURRENT_ISO SIGN-OFF LOG'!#REF!="Q",'[4]CURRENT_ISO SIGN-OFF LOG'!#REF!)))</f>
        <v>#REF!</v>
      </c>
      <c r="Z29" s="80" t="e">
        <f t="array" ref="Z29">SUM(IF('[4]CURRENT_ISO SIGN-OFF LOG'!#REF!=$A29,IF('[4]CURRENT_ISO SIGN-OFF LOG'!#REF!="C",'[4]CURRENT_ISO SIGN-OFF LOG'!#REF!)))</f>
        <v>#REF!</v>
      </c>
      <c r="AA29" s="81" t="e">
        <f t="shared" si="13"/>
        <v>#VALUE!</v>
      </c>
      <c r="AB29" s="82" t="e">
        <f t="shared" si="14"/>
        <v>#REF!</v>
      </c>
    </row>
    <row r="30" spans="1:28" ht="20.25" customHeight="1" x14ac:dyDescent="0.35">
      <c r="A30" s="114"/>
      <c r="B30" s="105">
        <f>SUMIF('Pipe Audit'!$J$3:$J$82,$A30,'Pipe Audit'!$K$3:$K$82)</f>
        <v>0</v>
      </c>
      <c r="C30" s="105" t="e">
        <f>SUMIF('Pipe Audit'!#REF!,A30,'Pipe Audit'!$P$3:$P$82)</f>
        <v>#REF!</v>
      </c>
      <c r="D30" s="105" t="e">
        <f t="shared" si="0"/>
        <v>#REF!</v>
      </c>
      <c r="E30" s="106" t="e">
        <f t="shared" si="1"/>
        <v>#REF!</v>
      </c>
      <c r="F30" s="105">
        <f>SUMIF('Pipe Audit'!$J$3:$J$82,$A30,'Pipe Audit'!$L$3:$L$82)</f>
        <v>0</v>
      </c>
      <c r="G30" s="105">
        <f>SUMIF('Pipe Audit'!$J$3:$J$82,A30,'Pipe Audit'!$Q$3:$Q$82)</f>
        <v>0</v>
      </c>
      <c r="H30" s="105">
        <f t="shared" si="2"/>
        <v>0</v>
      </c>
      <c r="I30" s="107" t="e">
        <f t="shared" si="3"/>
        <v>#DIV/0!</v>
      </c>
      <c r="J30" s="105">
        <f t="shared" si="4"/>
        <v>0</v>
      </c>
      <c r="K30" s="105">
        <f>SUMIF('Pipe Audit'!$J$3:$J$82,A30,'Pipe Audit'!$BE$3:$BE$82)</f>
        <v>0</v>
      </c>
      <c r="L30" s="105">
        <f t="shared" si="5"/>
        <v>0</v>
      </c>
      <c r="M30" s="107" t="e">
        <f t="shared" si="6"/>
        <v>#DIV/0!</v>
      </c>
      <c r="N30" s="105">
        <f>SUMIF('Pipe Audit'!$J$3:$J$82,$A30,'Pipe Audit'!$BA$3:$BA$82)</f>
        <v>0</v>
      </c>
      <c r="O30" s="108">
        <f t="array" ref="O30">SUM(IF('Pipe Audit'!$J$3:$J$82=$A30,IF('Pipe Audit'!$S$3:$S$82=1,'Pipe Audit'!$BA$3:$BA$82)))</f>
        <v>0</v>
      </c>
      <c r="P30" s="108">
        <f t="shared" si="7"/>
        <v>0</v>
      </c>
      <c r="Q30" s="109" t="e">
        <f t="shared" si="8"/>
        <v>#DIV/0!</v>
      </c>
      <c r="R30" s="110" t="e">
        <f t="array" ref="R30">SUM(IF('Pipe Audit'!#REF!=$A30,IF('Pipe Audit'!$BA$3:$BA$82=1,'Pipe Audit'!$K$3:$K$82)))</f>
        <v>#REF!</v>
      </c>
      <c r="S30" s="110" t="e">
        <f t="array" ref="S30">SUM(IF('Pipe Audit'!#REF!=$A30,IF('Pipe Audit'!$S$3:$S$82=1,'Pipe Audit'!$K$3:$K$82)))</f>
        <v>#REF!</v>
      </c>
      <c r="T30" s="110" t="e">
        <f t="array" ref="T30">SUM(IF('Pipe Audit'!#REF!=$A30,IF('Pipe Audit'!$AA$3:$AA$82&gt;0,'Pipe Audit'!$BA$3:$BA$82)))</f>
        <v>#REF!</v>
      </c>
      <c r="U30" s="110" t="e">
        <f t="array" ref="U30">SUM(IF('Pipe Audit'!#REF!=$A30,IF('Pipe Audit'!$AA$3:$AA$82&gt;0,'Pipe Audit'!$K$3:$K$82)))</f>
        <v>#REF!</v>
      </c>
      <c r="V30" s="111" t="e">
        <f t="shared" si="9"/>
        <v>#REF!</v>
      </c>
      <c r="W30" s="112" t="e">
        <f t="shared" si="10"/>
        <v>#REF!</v>
      </c>
      <c r="X30" s="80" t="e">
        <f>COUNTIF('[4]CURRENT_ISO SIGN-OFF LOG'!$J$1598:$J$4948,A30)</f>
        <v>#VALUE!</v>
      </c>
      <c r="Y30" s="80" t="e">
        <f t="array" ref="Y30">SUM(IF('[4]CURRENT_ISO SIGN-OFF LOG'!#REF!=$A30,IF('[4]CURRENT_ISO SIGN-OFF LOG'!#REF!="Q",'[4]CURRENT_ISO SIGN-OFF LOG'!#REF!)))</f>
        <v>#REF!</v>
      </c>
      <c r="Z30" s="80" t="e">
        <f t="array" ref="Z30">SUM(IF('[4]CURRENT_ISO SIGN-OFF LOG'!#REF!=$A30,IF('[4]CURRENT_ISO SIGN-OFF LOG'!#REF!="C",'[4]CURRENT_ISO SIGN-OFF LOG'!#REF!)))</f>
        <v>#REF!</v>
      </c>
      <c r="AA30" s="81" t="e">
        <f t="shared" si="13"/>
        <v>#VALUE!</v>
      </c>
      <c r="AB30" s="82" t="e">
        <f t="shared" si="14"/>
        <v>#REF!</v>
      </c>
    </row>
    <row r="31" spans="1:28" ht="20.25" customHeight="1" x14ac:dyDescent="0.35">
      <c r="A31" s="114"/>
      <c r="B31" s="105">
        <f>SUMIF('Pipe Audit'!$J$3:$J$82,$A31,'Pipe Audit'!$K$3:$K$82)</f>
        <v>0</v>
      </c>
      <c r="C31" s="105" t="e">
        <f>SUMIF('Pipe Audit'!#REF!,A31,'Pipe Audit'!$P$3:$P$82)</f>
        <v>#REF!</v>
      </c>
      <c r="D31" s="105" t="e">
        <f t="shared" si="0"/>
        <v>#REF!</v>
      </c>
      <c r="E31" s="106" t="e">
        <f t="shared" si="1"/>
        <v>#REF!</v>
      </c>
      <c r="F31" s="105">
        <f>SUMIF('Pipe Audit'!$J$3:$J$82,$A31,'Pipe Audit'!$L$3:$L$82)</f>
        <v>0</v>
      </c>
      <c r="G31" s="105">
        <f>SUMIF('Pipe Audit'!$J$3:$J$82,A31,'Pipe Audit'!$Q$3:$Q$82)</f>
        <v>0</v>
      </c>
      <c r="H31" s="105">
        <f t="shared" si="2"/>
        <v>0</v>
      </c>
      <c r="I31" s="107" t="e">
        <f t="shared" si="3"/>
        <v>#DIV/0!</v>
      </c>
      <c r="J31" s="105">
        <f t="shared" si="4"/>
        <v>0</v>
      </c>
      <c r="K31" s="105">
        <f>SUMIF('Pipe Audit'!$J$3:$J$82,A31,'Pipe Audit'!$BE$3:$BE$82)</f>
        <v>0</v>
      </c>
      <c r="L31" s="105">
        <f t="shared" si="5"/>
        <v>0</v>
      </c>
      <c r="M31" s="107" t="e">
        <f t="shared" si="6"/>
        <v>#DIV/0!</v>
      </c>
      <c r="N31" s="105">
        <f>SUMIF('Pipe Audit'!$J$3:$J$82,$A31,'Pipe Audit'!$BA$3:$BA$82)</f>
        <v>0</v>
      </c>
      <c r="O31" s="108">
        <f t="array" ref="O31">SUM(IF('Pipe Audit'!$J$3:$J$82=$A31,IF('Pipe Audit'!$S$3:$S$82=1,'Pipe Audit'!$BA$3:$BA$82)))</f>
        <v>0</v>
      </c>
      <c r="P31" s="108">
        <f t="shared" si="7"/>
        <v>0</v>
      </c>
      <c r="Q31" s="109" t="e">
        <f t="shared" si="8"/>
        <v>#DIV/0!</v>
      </c>
      <c r="R31" s="110" t="e">
        <f t="array" ref="R31">SUM(IF('Pipe Audit'!#REF!=$A31,IF('Pipe Audit'!$BA$3:$BA$82=1,'Pipe Audit'!$K$3:$K$82)))</f>
        <v>#REF!</v>
      </c>
      <c r="S31" s="110" t="e">
        <f t="array" ref="S31">SUM(IF('Pipe Audit'!#REF!=$A31,IF('Pipe Audit'!$S$3:$S$82=1,'Pipe Audit'!$K$3:$K$82)))</f>
        <v>#REF!</v>
      </c>
      <c r="T31" s="110" t="e">
        <f t="array" ref="T31">SUM(IF('Pipe Audit'!#REF!=$A31,IF('Pipe Audit'!$AA$3:$AA$82&gt;0,'Pipe Audit'!$BA$3:$BA$82)))</f>
        <v>#REF!</v>
      </c>
      <c r="U31" s="110" t="e">
        <f t="array" ref="U31">SUM(IF('Pipe Audit'!#REF!=$A31,IF('Pipe Audit'!$AA$3:$AA$82&gt;0,'Pipe Audit'!$K$3:$K$82)))</f>
        <v>#REF!</v>
      </c>
      <c r="V31" s="111" t="e">
        <f t="shared" si="9"/>
        <v>#REF!</v>
      </c>
      <c r="W31" s="112" t="e">
        <f t="shared" si="10"/>
        <v>#REF!</v>
      </c>
      <c r="X31" s="80" t="e">
        <f>COUNTIF('[4]CURRENT_ISO SIGN-OFF LOG'!$J$1598:$J$4948,A31)</f>
        <v>#VALUE!</v>
      </c>
      <c r="Y31" s="80" t="e">
        <f t="array" ref="Y31">SUM(IF('[4]CURRENT_ISO SIGN-OFF LOG'!#REF!=$A31,IF('[4]CURRENT_ISO SIGN-OFF LOG'!#REF!="Q",'[4]CURRENT_ISO SIGN-OFF LOG'!#REF!)))</f>
        <v>#REF!</v>
      </c>
      <c r="Z31" s="80" t="e">
        <f t="array" ref="Z31">SUM(IF('[4]CURRENT_ISO SIGN-OFF LOG'!#REF!=$A31,IF('[4]CURRENT_ISO SIGN-OFF LOG'!#REF!="C",'[4]CURRENT_ISO SIGN-OFF LOG'!#REF!)))</f>
        <v>#REF!</v>
      </c>
      <c r="AA31" s="81" t="e">
        <f t="shared" si="13"/>
        <v>#VALUE!</v>
      </c>
      <c r="AB31" s="82" t="e">
        <f t="shared" si="14"/>
        <v>#REF!</v>
      </c>
    </row>
    <row r="32" spans="1:28" ht="20.25" customHeight="1" thickBot="1" x14ac:dyDescent="0.4">
      <c r="A32" s="114"/>
      <c r="B32" s="105">
        <f>SUMIF('Pipe Audit'!$J$3:$J$82,$A32,'Pipe Audit'!$K$3:$K$82)</f>
        <v>0</v>
      </c>
      <c r="C32" s="105" t="e">
        <f>SUMIF('Pipe Audit'!#REF!,A32,'Pipe Audit'!$P$3:$P$82)</f>
        <v>#REF!</v>
      </c>
      <c r="D32" s="105" t="e">
        <f t="shared" si="0"/>
        <v>#REF!</v>
      </c>
      <c r="E32" s="106" t="e">
        <f t="shared" si="1"/>
        <v>#REF!</v>
      </c>
      <c r="F32" s="105">
        <f>SUMIF('Pipe Audit'!$J$3:$J$82,$A32,'Pipe Audit'!$L$3:$L$82)</f>
        <v>0</v>
      </c>
      <c r="G32" s="105">
        <f>SUMIF('Pipe Audit'!$J$3:$J$82,A32,'Pipe Audit'!$Q$3:$Q$82)</f>
        <v>0</v>
      </c>
      <c r="H32" s="105">
        <f t="shared" si="2"/>
        <v>0</v>
      </c>
      <c r="I32" s="107" t="e">
        <f t="shared" si="3"/>
        <v>#DIV/0!</v>
      </c>
      <c r="J32" s="105">
        <f t="shared" si="4"/>
        <v>0</v>
      </c>
      <c r="K32" s="105">
        <f>SUMIF('Pipe Audit'!$J$3:$J$82,A32,'Pipe Audit'!$BE$3:$BE$82)</f>
        <v>0</v>
      </c>
      <c r="L32" s="105">
        <f t="shared" si="5"/>
        <v>0</v>
      </c>
      <c r="M32" s="107" t="e">
        <f t="shared" si="6"/>
        <v>#DIV/0!</v>
      </c>
      <c r="N32" s="105">
        <f>SUMIF('Pipe Audit'!$J$3:$J$82,$A32,'Pipe Audit'!$BA$3:$BA$82)</f>
        <v>0</v>
      </c>
      <c r="O32" s="108">
        <f t="array" ref="O32">SUM(IF('Pipe Audit'!$J$3:$J$82=$A32,IF('Pipe Audit'!$S$3:$S$82=1,'Pipe Audit'!$BA$3:$BA$82)))</f>
        <v>0</v>
      </c>
      <c r="P32" s="108">
        <f t="shared" si="7"/>
        <v>0</v>
      </c>
      <c r="Q32" s="109" t="e">
        <f t="shared" si="8"/>
        <v>#DIV/0!</v>
      </c>
      <c r="R32" s="110" t="e">
        <f t="array" ref="R32">SUM(IF('Pipe Audit'!#REF!=$A32,IF('Pipe Audit'!$BA$3:$BA$82=1,'Pipe Audit'!$K$3:$K$82)))</f>
        <v>#REF!</v>
      </c>
      <c r="S32" s="110" t="e">
        <f t="array" ref="S32">SUM(IF('Pipe Audit'!#REF!=$A32,IF('Pipe Audit'!$S$3:$S$82=1,'Pipe Audit'!$K$3:$K$82)))</f>
        <v>#REF!</v>
      </c>
      <c r="T32" s="110" t="e">
        <f t="array" ref="T32">SUM(IF('Pipe Audit'!#REF!=$A32,IF('Pipe Audit'!$AA$3:$AA$82&gt;0,'Pipe Audit'!$BA$3:$BA$82)))</f>
        <v>#REF!</v>
      </c>
      <c r="U32" s="110" t="e">
        <f t="array" ref="U32">SUM(IF('Pipe Audit'!#REF!=$A32,IF('Pipe Audit'!$AA$3:$AA$82&gt;0,'Pipe Audit'!$K$3:$K$82)))</f>
        <v>#REF!</v>
      </c>
      <c r="V32" s="111" t="e">
        <f t="shared" si="9"/>
        <v>#REF!</v>
      </c>
      <c r="W32" s="112" t="e">
        <f t="shared" si="10"/>
        <v>#REF!</v>
      </c>
      <c r="X32" s="80" t="e">
        <f>COUNTIF('[4]CURRENT_ISO SIGN-OFF LOG'!$J$1598:$J$4948,A32)</f>
        <v>#VALUE!</v>
      </c>
      <c r="Y32" s="80" t="e">
        <f t="array" ref="Y32">SUM(IF('[4]CURRENT_ISO SIGN-OFF LOG'!#REF!=$A32,IF('[4]CURRENT_ISO SIGN-OFF LOG'!#REF!="Q",'[4]CURRENT_ISO SIGN-OFF LOG'!#REF!)))</f>
        <v>#REF!</v>
      </c>
      <c r="Z32" s="80" t="e">
        <f t="array" ref="Z32">SUM(IF('[4]CURRENT_ISO SIGN-OFF LOG'!#REF!=$A32,IF('[4]CURRENT_ISO SIGN-OFF LOG'!#REF!="C",'[4]CURRENT_ISO SIGN-OFF LOG'!#REF!)))</f>
        <v>#REF!</v>
      </c>
      <c r="AA32" s="81" t="e">
        <f t="shared" si="13"/>
        <v>#VALUE!</v>
      </c>
      <c r="AB32" s="82" t="e">
        <f t="shared" si="14"/>
        <v>#REF!</v>
      </c>
    </row>
    <row r="33" spans="2:28" ht="16" thickBot="1" x14ac:dyDescent="0.4">
      <c r="B33" s="115">
        <f>SUM(B3:B32)</f>
        <v>9760</v>
      </c>
      <c r="C33" s="115" t="e">
        <f>SUM(C3:C32)</f>
        <v>#REF!</v>
      </c>
      <c r="D33" s="115" t="e">
        <f>SUM(D3:D32)</f>
        <v>#REF!</v>
      </c>
      <c r="E33" s="116" t="e">
        <f>C33/B33</f>
        <v>#REF!</v>
      </c>
      <c r="F33" s="115">
        <f>SUM(F3:F32)</f>
        <v>5.0599999999999996</v>
      </c>
      <c r="G33" s="115">
        <f>SUM(G3:G32)</f>
        <v>100</v>
      </c>
      <c r="H33" s="115">
        <f>SUM(H3:H32)</f>
        <v>-94.94</v>
      </c>
      <c r="I33" s="117">
        <f>SUM(G33/F33)</f>
        <v>19.762845849802375</v>
      </c>
      <c r="J33" s="115">
        <f>SUM(J3:J32)</f>
        <v>3.5419999999999994</v>
      </c>
      <c r="K33" s="115" t="e">
        <f>SUM(K3:K32)</f>
        <v>#REF!</v>
      </c>
      <c r="L33" s="115" t="e">
        <f>SUM(L3:L32)</f>
        <v>#REF!</v>
      </c>
      <c r="M33" s="117" t="e">
        <f>SUM(K33/J33)</f>
        <v>#REF!</v>
      </c>
      <c r="N33" s="115">
        <f>SUM(N3:N32)</f>
        <v>0</v>
      </c>
      <c r="O33" s="115">
        <f>SUM(O3:O32)</f>
        <v>0</v>
      </c>
      <c r="P33" s="115">
        <f>SUM(P3:P32)</f>
        <v>0</v>
      </c>
      <c r="Q33" s="118" t="e">
        <f>SUM(O33/N33)</f>
        <v>#DIV/0!</v>
      </c>
      <c r="R33" s="119" t="e">
        <f>SUM(R3:R32)</f>
        <v>#REF!</v>
      </c>
      <c r="S33" s="119" t="e">
        <f>SUM(S3:S32)</f>
        <v>#REF!</v>
      </c>
      <c r="T33" s="119" t="e">
        <f>SUM(T3:T32)</f>
        <v>#REF!</v>
      </c>
      <c r="U33" s="119" t="e">
        <f>SUM(U3:U32)</f>
        <v>#REF!</v>
      </c>
      <c r="V33" s="119" t="e">
        <f>SUM(V3:V32)</f>
        <v>#REF!</v>
      </c>
      <c r="W33" s="120" t="e">
        <f>+SUM(T33/N33)</f>
        <v>#REF!</v>
      </c>
      <c r="X33" s="40" t="e">
        <f>SUM(X3:X32)</f>
        <v>#VALUE!</v>
      </c>
      <c r="Y33" s="40" t="e">
        <f>SUM(Y3:Y32)</f>
        <v>#REF!</v>
      </c>
      <c r="Z33" s="40" t="e">
        <f>SUM(Z3:Z32)</f>
        <v>#REF!</v>
      </c>
      <c r="AA33" s="40" t="e">
        <f>SUM(AA3:AA32)</f>
        <v>#VALUE!</v>
      </c>
      <c r="AB33" s="62" t="e">
        <f>Z33/X33</f>
        <v>#REF!</v>
      </c>
    </row>
  </sheetData>
  <autoFilter ref="A2:W33" xr:uid="{00000000-0009-0000-0000-000009000000}"/>
  <sortState xmlns:xlrd2="http://schemas.microsoft.com/office/spreadsheetml/2017/richdata2" ref="A21:A3678">
    <sortCondition ref="A21"/>
  </sortState>
  <mergeCells count="1">
    <mergeCell ref="X1:A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a8beaf-1c45-488d-a0c9-23f9e05838b8" xsi:nil="true"/>
    <lcf76f155ced4ddcb4097134ff3c332f xmlns="74e96fc0-e434-4b1c-a91d-4b84a454836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404AAB815C934AA817DBC68F2D1E22" ma:contentTypeVersion="9" ma:contentTypeDescription="Create a new document." ma:contentTypeScope="" ma:versionID="324fe7fb9e956f02d0fcb4fabde74d51">
  <xsd:schema xmlns:xsd="http://www.w3.org/2001/XMLSchema" xmlns:xs="http://www.w3.org/2001/XMLSchema" xmlns:p="http://schemas.microsoft.com/office/2006/metadata/properties" xmlns:ns2="74e96fc0-e434-4b1c-a91d-4b84a454836a" xmlns:ns3="29a8beaf-1c45-488d-a0c9-23f9e05838b8" targetNamespace="http://schemas.microsoft.com/office/2006/metadata/properties" ma:root="true" ma:fieldsID="4ba9c307dac341115b68fe1b5ab45f88" ns2:_="" ns3:_="">
    <xsd:import namespace="74e96fc0-e434-4b1c-a91d-4b84a454836a"/>
    <xsd:import namespace="29a8beaf-1c45-488d-a0c9-23f9e0583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96fc0-e434-4b1c-a91d-4b84a4548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3f060e9-d617-4cff-b04f-a5d89b018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8beaf-1c45-488d-a0c9-23f9e05838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b15def-4353-43b0-ad06-49e297510d85}" ma:internalName="TaxCatchAll" ma:showField="CatchAllData" ma:web="29a8beaf-1c45-488d-a0c9-23f9e0583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CAB5F7-400A-4BDB-8C0D-29BB9AD4AFCB}">
  <ds:schemaRefs>
    <ds:schemaRef ds:uri="http://schemas.microsoft.com/office/2006/metadata/properties"/>
    <ds:schemaRef ds:uri="http://schemas.microsoft.com/office/infopath/2007/PartnerControls"/>
    <ds:schemaRef ds:uri="29a8beaf-1c45-488d-a0c9-23f9e05838b8"/>
    <ds:schemaRef ds:uri="74e96fc0-e434-4b1c-a91d-4b84a454836a"/>
  </ds:schemaRefs>
</ds:datastoreItem>
</file>

<file path=customXml/itemProps2.xml><?xml version="1.0" encoding="utf-8"?>
<ds:datastoreItem xmlns:ds="http://schemas.openxmlformats.org/officeDocument/2006/customXml" ds:itemID="{CD13A3BA-BB40-4F3A-9938-37B4A12A3B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77816C-4000-4920-813E-08F43BF3A0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e96fc0-e434-4b1c-a91d-4b84a454836a"/>
    <ds:schemaRef ds:uri="29a8beaf-1c45-488d-a0c9-23f9e0583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Pipe Audit</vt:lpstr>
      <vt:lpstr>By Cost Code</vt:lpstr>
      <vt:lpstr>Model Area </vt:lpstr>
      <vt:lpstr>Weekly Gains</vt:lpstr>
      <vt:lpstr>By Schedule ID</vt:lpstr>
      <vt:lpstr>Supervisor Assingments</vt:lpstr>
      <vt:lpstr>By Pipe Size</vt:lpstr>
      <vt:lpstr>'By Cost Code'!Print_Area</vt:lpstr>
      <vt:lpstr>'Model Area '!Print_Area</vt:lpstr>
      <vt:lpstr>'Pipe Audit'!Print_Area</vt:lpstr>
      <vt:lpstr>'By Schedule ID'!Print_Titles</vt:lpstr>
      <vt:lpstr>'Model Area '!Print_Titles</vt:lpstr>
      <vt:lpstr>'Pipe Audit'!Print_Titles</vt:lpstr>
    </vt:vector>
  </TitlesOfParts>
  <Company>S&amp;B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S&amp;B ENGINEERS AND CONSTRUCTORS, LTD.</dc:creator>
  <cp:lastModifiedBy>Jerry Molina</cp:lastModifiedBy>
  <cp:lastPrinted>2022-05-10T13:31:41Z</cp:lastPrinted>
  <dcterms:created xsi:type="dcterms:W3CDTF">2011-07-13T21:08:05Z</dcterms:created>
  <dcterms:modified xsi:type="dcterms:W3CDTF">2025-12-09T21:52:53Z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0x0101002F404AAB815C934AA817DBC68F2D1E22</vt:lpwstr>
  </property>
  <property fmtid="{D5CDD505-2E9C-101B-9397-08002B2CF9AE}" pid="3" name="MediaServiceImageTags">
    <vt:lpwstr/>
  </property>
</Properties>
</file>