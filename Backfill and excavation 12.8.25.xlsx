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0" documentId="8_{8FE02522-B8D5-48AC-9AD4-CCE5939A27B6}" xr6:coauthVersionLast="47" xr6:coauthVersionMax="47" xr10:uidLastSave="{00000000-0000-0000-0000-000000000000}"/>
  <bookViews>
    <workbookView xWindow="-110" yWindow="-110" windowWidth="19420" windowHeight="10300" xr2:uid="{85C745BB-C6A2-411A-9364-FDE13A32A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</calcChain>
</file>

<file path=xl/sharedStrings.xml><?xml version="1.0" encoding="utf-8"?>
<sst xmlns="http://schemas.openxmlformats.org/spreadsheetml/2006/main" count="11" uniqueCount="11">
  <si>
    <t xml:space="preserve"> Clearing and Grubbing - 1' depth -</t>
  </si>
  <si>
    <t>2 Scarifing Site - 6" -</t>
  </si>
  <si>
    <t xml:space="preserve">3 Site Cut for bathtub </t>
  </si>
  <si>
    <t xml:space="preserve">4 Cut for Detention Pond </t>
  </si>
  <si>
    <t xml:space="preserve">5 Haul and Stockpile </t>
  </si>
  <si>
    <t xml:space="preserve">6 Site Fill and Compact </t>
  </si>
  <si>
    <t>CY</t>
  </si>
  <si>
    <t>Temp facility</t>
  </si>
  <si>
    <t>Percent complete</t>
  </si>
  <si>
    <t>QTY installed</t>
  </si>
  <si>
    <t>Pad Site back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</si>
</sst>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7B21-3F1E-45FD-87A1-ADEEBEDE9651}">
  <dimension ref="F2:I35"/>
  <sheetViews>
    <sheetView tabSelected="1" topLeftCell="B1" workbookViewId="0">
      <selection activeCell="F39" sqref="F39"/>
    </sheetView>
  </sheetViews>
  <sheetFormatPr defaultRowHeight="14.5" x14ac:dyDescent="0.35"/>
  <cols>
    <col min="6" max="6" width="69.54296875" bestFit="1" customWidth="1"/>
    <col min="8" max="8" width="23.6328125" customWidth="1"/>
    <col min="9" max="9" width="24.453125" customWidth="1"/>
  </cols>
  <sheetData>
    <row r="2" spans="6:9" x14ac:dyDescent="0.35">
      <c r="G2" t="s">
        <v>6</v>
      </c>
      <c r="H2" t="s">
        <v>9</v>
      </c>
      <c r="I2" t="s">
        <v>8</v>
      </c>
    </row>
    <row r="3" spans="6:9" x14ac:dyDescent="0.35">
      <c r="F3" t="s">
        <v>0</v>
      </c>
      <c r="G3">
        <v>42915</v>
      </c>
      <c r="H3">
        <v>42915</v>
      </c>
      <c r="I3" s="1">
        <v>1</v>
      </c>
    </row>
    <row r="4" spans="6:9" x14ac:dyDescent="0.35">
      <c r="F4" t="s">
        <v>1</v>
      </c>
      <c r="G4">
        <v>118519.9</v>
      </c>
      <c r="H4">
        <v>11815.9</v>
      </c>
      <c r="I4" s="1">
        <v>1</v>
      </c>
    </row>
    <row r="5" spans="6:9" x14ac:dyDescent="0.35">
      <c r="F5" t="s">
        <v>2</v>
      </c>
      <c r="G5">
        <v>24000</v>
      </c>
      <c r="H5">
        <v>9560</v>
      </c>
      <c r="I5" s="1">
        <v>0.4</v>
      </c>
    </row>
    <row r="6" spans="6:9" x14ac:dyDescent="0.35">
      <c r="F6" t="s">
        <v>3</v>
      </c>
      <c r="G6">
        <v>22500</v>
      </c>
      <c r="H6">
        <v>18675</v>
      </c>
      <c r="I6" s="1">
        <v>0.83</v>
      </c>
    </row>
    <row r="7" spans="6:9" x14ac:dyDescent="0.35">
      <c r="F7" t="s">
        <v>4</v>
      </c>
      <c r="G7">
        <v>42915</v>
      </c>
      <c r="H7">
        <v>42915</v>
      </c>
      <c r="I7" s="1">
        <v>1</v>
      </c>
    </row>
    <row r="8" spans="6:9" x14ac:dyDescent="0.35">
      <c r="F8" t="s">
        <v>5</v>
      </c>
      <c r="G8">
        <v>44000</v>
      </c>
      <c r="H8">
        <v>24200</v>
      </c>
      <c r="I8" s="1">
        <v>0.55000000000000004</v>
      </c>
    </row>
    <row r="9" spans="6:9" x14ac:dyDescent="0.35">
      <c r="F9" t="s">
        <v>7</v>
      </c>
      <c r="G9">
        <v>26428</v>
      </c>
      <c r="H9">
        <v>29823</v>
      </c>
      <c r="I9" s="1">
        <v>0.88</v>
      </c>
    </row>
    <row r="10" spans="6:9" x14ac:dyDescent="0.35">
      <c r="I10" s="1"/>
    </row>
    <row r="11" spans="6:9" x14ac:dyDescent="0.35">
      <c r="G11">
        <f>SUM(G3:G9)</f>
        <v>321277.90000000002</v>
      </c>
      <c r="H11">
        <f>SUM(H3:H9)</f>
        <v>179903.9</v>
      </c>
      <c r="I11" s="1">
        <f>H11/G11</f>
        <v>0.55996350822761221</v>
      </c>
    </row>
    <row r="35" spans="6:9" x14ac:dyDescent="0.35">
      <c r="F35" t="s">
        <v>10</v>
      </c>
      <c r="G35">
        <v>35000</v>
      </c>
      <c r="H35">
        <v>30162</v>
      </c>
      <c r="I35" s="2">
        <v>0.21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324fe7fb9e956f02d0fcb4fabde74d51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4ba9c307dac341115b68fe1b5ab45f88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AB2B53-AD13-43D9-8C0A-92B5EE1496E1}"/>
</file>

<file path=customXml/itemProps2.xml><?xml version="1.0" encoding="utf-8"?>
<ds:datastoreItem xmlns:ds="http://schemas.openxmlformats.org/officeDocument/2006/customXml" ds:itemID="{DCC3A63D-76C5-44D2-88B8-35C14ECBA975}"/>
</file>

<file path=customXml/itemProps3.xml><?xml version="1.0" encoding="utf-8"?>
<ds:datastoreItem xmlns:ds="http://schemas.openxmlformats.org/officeDocument/2006/customXml" ds:itemID="{751BE708-A929-4EAC-BACB-E15721D2A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Lee</dc:creator>
  <cp:lastModifiedBy>Sandra Lee</cp:lastModifiedBy>
  <dcterms:created xsi:type="dcterms:W3CDTF">2025-12-08T14:19:35Z</dcterms:created>
  <dcterms:modified xsi:type="dcterms:W3CDTF">2025-12-08T14:45:01Z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</Properties>
</file>